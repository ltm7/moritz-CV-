
<file path=[Content_Types].xml><?xml version="1.0" encoding="utf-8"?>
<Types xmlns="http://schemas.openxmlformats.org/package/2006/content-types">
  <Default Extension="xml" ContentType="application/xml"/>
  <Default Extension="vml" ContentType="application/vnd.openxmlformats-officedocument.vmlDrawing"/>
  <Default Extension="png" ContentType="image/png"/>
  <Default Extension="wmf" ContentType="image/x-wmf"/>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activeX/activeX2.bin" ContentType="application/vnd.ms-office.activeX"/>
  <Override PartName="/xl/activeX/activeX2.xml" ContentType="application/vnd.ms-office.activeX+xml"/>
  <Override PartName="/xl/charts/chart1.xml" ContentType="application/vnd.openxmlformats-officedocument.drawingml.chart+xml"/>
  <Override PartName="/xl/charts/chart2.xml" ContentType="application/vnd.openxmlformats-officedocument.drawingml.chart+xml"/>
  <Override PartName="/xl/charts/colors1.xml" ContentType="application/vnd.ms-office.chartcolorstyle+xml"/>
  <Override PartName="/xl/charts/colors2.xml" ContentType="application/vnd.ms-office.chartcolorstyle+xml"/>
  <Override PartName="/xl/charts/style1.xml" ContentType="application/vnd.ms-office.chartstyle+xml"/>
  <Override PartName="/xl/charts/style2.xml" ContentType="application/vnd.ms-office.chartstyle+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DieseArbeitsmappe" hidePivotFieldList="1"/>
  <bookViews>
    <workbookView windowWidth="24000" windowHeight="9480" activeTab="5"/>
  </bookViews>
  <sheets>
    <sheet name="Anweisungen" sheetId="1" r:id="rId1"/>
    <sheet name="Aufträge" sheetId="2" r:id="rId2"/>
    <sheet name="APE und OEE" sheetId="4" r:id="rId3"/>
    <sheet name="Prozesszeit " sheetId="3" r:id="rId4"/>
    <sheet name="Bestellung_Produktionsdatum" sheetId="6" r:id="rId5"/>
    <sheet name="Planning" sheetId="5" r:id="rId6"/>
  </sheets>
  <definedNames>
    <definedName name="Produkt">Aufträge!$B$5:$C$18</definedName>
    <definedName name="APE">'APE und OEE'!$B$6:$R$11</definedName>
    <definedName name="Kalender">Aufträge!$M$57:$N$200</definedName>
    <definedName name="Produktnummer">'Prozesszeit '!$B$5:$B$15</definedName>
    <definedName name="Prozesszeit">'Prozesszeit '!$D$5:$D$15</definedName>
    <definedName name="Zeit">'Prozesszeit '!$B$5:$D$15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<sst xmlns="http://schemas.openxmlformats.org/spreadsheetml/2006/main" count="1890" uniqueCount="370">
  <si>
    <t xml:space="preserve">ENDMONTAGEPLAN </t>
  </si>
  <si>
    <t>LEGENDE:</t>
  </si>
  <si>
    <t>VORAUSSETZUNGEN:</t>
  </si>
  <si>
    <t xml:space="preserve">Sie müssen  die  Fertigungszeit für jeden Ihrer Prozesse und die Gesamtausbeute Ihrer Maschinen kennen. </t>
  </si>
  <si>
    <t>Diese Tool eignet sich besonders für Fabriken, die mehrere Produkten auf derselben Produktionslinie montieren.</t>
  </si>
  <si>
    <r>
      <rPr>
        <sz val="11"/>
        <color theme="1"/>
        <rFont val="Calibri"/>
        <charset val="134"/>
        <scheme val="minor"/>
      </rPr>
      <t xml:space="preserve">                    </t>
    </r>
    <r>
      <rPr>
        <b/>
        <u/>
        <sz val="11"/>
        <color theme="4" tint="-0.499984740745262"/>
        <rFont val="Calibri"/>
        <charset val="134"/>
        <scheme val="minor"/>
      </rPr>
      <t>ZU BERÜCKSICHTIGEN:</t>
    </r>
  </si>
  <si>
    <r>
      <rPr>
        <sz val="11"/>
        <color theme="1"/>
        <rFont val="Calibri"/>
        <charset val="134"/>
        <scheme val="minor"/>
      </rPr>
      <t xml:space="preserve"> </t>
    </r>
    <r>
      <rPr>
        <sz val="11"/>
        <color theme="4"/>
        <rFont val="Calibri"/>
        <charset val="134"/>
        <scheme val="minor"/>
      </rPr>
      <t>Feiertage   werden im Kalender berücksichtigt.</t>
    </r>
  </si>
  <si>
    <t>Das Datum des Herstellungsbeginns und des Herstellungsendes einer Charge wird nach der Zuweisung zu einer Produktionslinie  berechnet.</t>
  </si>
  <si>
    <r>
      <rPr>
        <sz val="11"/>
        <color theme="4"/>
        <rFont val="Calibri"/>
        <charset val="134"/>
        <scheme val="minor"/>
      </rPr>
      <t xml:space="preserve">Die Bestellungen, die nicht rechtzeitig geliefert werden, müssen in </t>
    </r>
    <r>
      <rPr>
        <sz val="11"/>
        <color rgb="FFFF0000"/>
        <rFont val="Calibri"/>
        <charset val="134"/>
        <scheme val="minor"/>
      </rPr>
      <t>Rot</t>
    </r>
    <r>
      <rPr>
        <sz val="11"/>
        <color theme="4"/>
        <rFont val="Calibri"/>
        <charset val="134"/>
        <scheme val="minor"/>
      </rPr>
      <t xml:space="preserve"> markiert werden.</t>
    </r>
  </si>
  <si>
    <t>die Anlaufzeit der Maschinen muss in die OEE einbezogen werden.</t>
  </si>
  <si>
    <t xml:space="preserve">ZU ERFÜLLENDEN DATEN: </t>
  </si>
  <si>
    <t>Erfüllen Sie die Tabellen ''Bestelllung'' mit den Endprodukten, Bestellungen und Kalender.</t>
  </si>
  <si>
    <r>
      <rPr>
        <sz val="11"/>
        <color theme="4"/>
        <rFont val="Calibri"/>
        <charset val="134"/>
        <scheme val="minor"/>
      </rPr>
      <t xml:space="preserve">In Spalte B müssen die Produktnummer angegeben werden. </t>
    </r>
    <r>
      <rPr>
        <u/>
        <sz val="11"/>
        <color rgb="FFFF0000"/>
        <rFont val="Calibri"/>
        <charset val="134"/>
        <scheme val="minor"/>
      </rPr>
      <t>Achtung:</t>
    </r>
    <r>
      <rPr>
        <sz val="11"/>
        <color theme="4"/>
        <rFont val="Calibri"/>
        <charset val="134"/>
        <scheme val="minor"/>
      </rPr>
      <t xml:space="preserve"> die Produktkoden müssen einzigartig sein.</t>
    </r>
  </si>
  <si>
    <t>In Spalte C  muss die Produktbeschreibung angegeben werden.</t>
  </si>
  <si>
    <t>In Spalte E muss die Bestellungsnummer angegeben werden.</t>
  </si>
  <si>
    <r>
      <rPr>
        <sz val="11"/>
        <color theme="4"/>
        <rFont val="Calibri"/>
        <charset val="134"/>
        <scheme val="minor"/>
      </rPr>
      <t>In Spalte F muss der Kundenname angegeben werden.</t>
    </r>
    <r>
      <rPr>
        <sz val="11"/>
        <color theme="1"/>
        <rFont val="Calibri"/>
        <charset val="134"/>
        <scheme val="minor"/>
      </rPr>
      <t xml:space="preserve"> </t>
    </r>
  </si>
  <si>
    <t xml:space="preserve">In Spalte G muss die Produknummer entsprechend der Bestellung amgegeben werden. </t>
  </si>
  <si>
    <t xml:space="preserve">In Spalte I  muss  die Bestellungsmenge angegeben werden. </t>
  </si>
  <si>
    <t xml:space="preserve">In der Spalte J  muss das Lieferdatum schon geschrieben werden   </t>
  </si>
  <si>
    <t>In der Zelle L6 muss das Datum entsprechend dem ersten Tag Ihrer Produktionsplan angegeben werden</t>
  </si>
  <si>
    <t xml:space="preserve">In dem resultierenden Matriz müssen  für jeden Tag Arbeitszeiten mit einem X markiert werden </t>
  </si>
  <si>
    <t>Füllen Sie die Tabelle  " PAU  and OEE ''  aus, indem Sie die verschiedenen Arbeitszentren Ihrer Fabrik auflisten.</t>
  </si>
  <si>
    <t>Geben Sie in der Spalte "C" den PAU-Kode (Autonome Produktionseinheit) ein. Achten Sie darauf, keine leeren Zeilen zwischen zwei PAUs zu lassen.</t>
  </si>
  <si>
    <t>Geben Sie in der Spalte "D" die Beschreibung der PAU an.</t>
  </si>
  <si>
    <t>Geben Sie in den Spalten "E" bis "N" die tägliche Ausbeute Ihrer Produktionslinie  an.</t>
  </si>
  <si>
    <t>Der median wird berücksichtigt.</t>
  </si>
  <si>
    <t xml:space="preserve">Der Produktionsplan funktionniert auch mit unvollständigen Daten.  </t>
  </si>
  <si>
    <t>Erfüllen Sie die Tabelle ''Zeit ''</t>
  </si>
  <si>
    <t>Geben Sie in der Spalte "D" die erforderliche Prozesszeit pro Teil an, berücksichtigen Sie einen Wirkungsgrad (OEE) von 100%.</t>
  </si>
  <si>
    <t>Klicken Sie auf  "Kalender einrichten". Die Daten aus der vorherigen  tabelle "CAF" werden geladen.</t>
  </si>
  <si>
    <t>Zwischenrechnungen:</t>
  </si>
  <si>
    <t>Die Tabelle CAF  erstellt den endgültigen Montagekalender. In dieser Tabelle werden die Simulationen durchgeführt, um den optimalen Produktionsplan zu definieren</t>
  </si>
  <si>
    <t xml:space="preserve">Klicken Sie auf  ''Bestellung laden''. Die in den vorherigen Blättern eingegeben Daten werden angezeigt </t>
  </si>
  <si>
    <t>Ziel ist es, die optimale Lösung für die Zuweisung von Aufträgen zu PAU zu finden, um die Anzahl der überfälligen Aufträge zu minimieren.</t>
  </si>
  <si>
    <t>Dann erhält man die Auftragszuordnung zu den PAU, die Sequenzierung der Produktion sowie das Start- und Enddatum jeder Bestellung.</t>
  </si>
  <si>
    <t>ERGEBNISSE(output):</t>
  </si>
  <si>
    <t xml:space="preserve">GANTT </t>
  </si>
  <si>
    <t>Dashboard PAU</t>
  </si>
  <si>
    <t xml:space="preserve">grafische Darstellung der Ergebnisse aus den vorherigen  Tabellen </t>
  </si>
  <si>
    <t>Arbeitszeit</t>
  </si>
  <si>
    <t>Stellt die Arbeitsbelastung der PAU dar. Die blauen Zellen  stellen eine Produktion dar. Die Zahl gibt die Menge der in 1 Stunde produzierten Teile an. Die Zahl gibt die Menge die in 1 Stunde produzierten Teile an</t>
  </si>
  <si>
    <t xml:space="preserve">Die grauen Zellen weisen auf eine Unterbrechung der Herstellung hin ( Wochenende, Feiertage, Wartungszeit…) oder einen Mangel an Arbeitsaufwand: die PAU hat keine Befehle in </t>
  </si>
  <si>
    <t xml:space="preserve">ihrer Warteliste. </t>
  </si>
  <si>
    <t xml:space="preserve">1-PRODUKTEN </t>
  </si>
  <si>
    <t xml:space="preserve">2- BESTELLUNGEN </t>
  </si>
  <si>
    <t>3-KALENDER</t>
  </si>
  <si>
    <t>Produktnummer</t>
  </si>
  <si>
    <t>Produktbeschreibung</t>
  </si>
  <si>
    <t xml:space="preserve">Auftragsnummer </t>
  </si>
  <si>
    <t>Kunde</t>
  </si>
  <si>
    <t>Produktmenge</t>
  </si>
  <si>
    <t xml:space="preserve">Produktionsendtermin  </t>
  </si>
  <si>
    <t>Datum/Uhrzeit</t>
  </si>
  <si>
    <t>gesamt verfügbar stehende Zeit [h]</t>
  </si>
  <si>
    <t>Benzinmotor</t>
  </si>
  <si>
    <t>58X039</t>
  </si>
  <si>
    <t>Audi AG</t>
  </si>
  <si>
    <t>X</t>
  </si>
  <si>
    <t>Dieselmotor</t>
  </si>
  <si>
    <t>58X062</t>
  </si>
  <si>
    <t>Direkteinspritzungsmotor</t>
  </si>
  <si>
    <t>58X063</t>
  </si>
  <si>
    <t>Indirekteinspritzungsmotor</t>
  </si>
  <si>
    <t>58X030</t>
  </si>
  <si>
    <t>BMW Group</t>
  </si>
  <si>
    <t>Hybridmotor</t>
  </si>
  <si>
    <t>58X051</t>
  </si>
  <si>
    <t>Elektromotor</t>
  </si>
  <si>
    <t>58X052</t>
  </si>
  <si>
    <t>Wasserstoffmotor</t>
  </si>
  <si>
    <t>58X044</t>
  </si>
  <si>
    <t>Bugatti</t>
  </si>
  <si>
    <t>Erdgasverbrennungsmotor</t>
  </si>
  <si>
    <t>58X068</t>
  </si>
  <si>
    <t>Turbomotor</t>
  </si>
  <si>
    <t>58X069</t>
  </si>
  <si>
    <t>Variablekompressionsmotor</t>
  </si>
  <si>
    <t>58X033</t>
  </si>
  <si>
    <t>Flat Chrylser</t>
  </si>
  <si>
    <t>58X029</t>
  </si>
  <si>
    <t>Ford  Compagny</t>
  </si>
  <si>
    <t xml:space="preserve">Erfüllen Sie die Zelle </t>
  </si>
  <si>
    <t>rot</t>
  </si>
  <si>
    <t>58X065</t>
  </si>
  <si>
    <r>
      <rPr>
        <u/>
        <sz val="11"/>
        <color rgb="FFFF0000"/>
        <rFont val="Calibri"/>
        <charset val="134"/>
        <scheme val="minor"/>
      </rPr>
      <t>Achtung:</t>
    </r>
    <r>
      <rPr>
        <sz val="11"/>
        <color theme="1"/>
        <rFont val="Calibri"/>
        <charset val="134"/>
        <scheme val="minor"/>
      </rPr>
      <t xml:space="preserve"> Die Produktkoden müssen einzigartig sein </t>
    </r>
  </si>
  <si>
    <t>58X066</t>
  </si>
  <si>
    <t>58X084</t>
  </si>
  <si>
    <t>58X085</t>
  </si>
  <si>
    <t>58X094</t>
  </si>
  <si>
    <t>58X099</t>
  </si>
  <si>
    <t>58X104</t>
  </si>
  <si>
    <t>58X109</t>
  </si>
  <si>
    <t>58X032</t>
  </si>
  <si>
    <t xml:space="preserve">Honda </t>
  </si>
  <si>
    <t>58X055</t>
  </si>
  <si>
    <t>58X083</t>
  </si>
  <si>
    <t>58X089</t>
  </si>
  <si>
    <t>58X096</t>
  </si>
  <si>
    <t>58X034</t>
  </si>
  <si>
    <t xml:space="preserve">Hyundai </t>
  </si>
  <si>
    <t>58X040</t>
  </si>
  <si>
    <t xml:space="preserve">Jaguar Land Rover </t>
  </si>
  <si>
    <t>58X050</t>
  </si>
  <si>
    <t>58X121</t>
  </si>
  <si>
    <t>58X122</t>
  </si>
  <si>
    <t>58X070</t>
  </si>
  <si>
    <t>Kia  Corporation</t>
  </si>
  <si>
    <t>58X113</t>
  </si>
  <si>
    <t>58X115</t>
  </si>
  <si>
    <t>Kia Corporation</t>
  </si>
  <si>
    <t>58X124</t>
  </si>
  <si>
    <t xml:space="preserve">KIA Corporation </t>
  </si>
  <si>
    <t>58X125</t>
  </si>
  <si>
    <t>58X042</t>
  </si>
  <si>
    <t>Kia Motors Corporation</t>
  </si>
  <si>
    <t>58X031</t>
  </si>
  <si>
    <t xml:space="preserve">Mercedes Benz </t>
  </si>
  <si>
    <t>58X081</t>
  </si>
  <si>
    <t>58X082</t>
  </si>
  <si>
    <t>58X087</t>
  </si>
  <si>
    <t>58X095</t>
  </si>
  <si>
    <t>Datum in Stunden</t>
  </si>
  <si>
    <t>58X100</t>
  </si>
  <si>
    <t xml:space="preserve">Datum/Uhrzeit </t>
  </si>
  <si>
    <t>verfügbare Zeit</t>
  </si>
  <si>
    <t>58X105</t>
  </si>
  <si>
    <t>58X112</t>
  </si>
  <si>
    <t>58X117</t>
  </si>
  <si>
    <t>58X118</t>
  </si>
  <si>
    <t>58X037</t>
  </si>
  <si>
    <t xml:space="preserve">Mitshubi </t>
  </si>
  <si>
    <t>58X059</t>
  </si>
  <si>
    <t>58X060</t>
  </si>
  <si>
    <t>58X061</t>
  </si>
  <si>
    <t>58X035</t>
  </si>
  <si>
    <t>Nissan</t>
  </si>
  <si>
    <t>58X056</t>
  </si>
  <si>
    <t xml:space="preserve">Berechnung verfügbare Zeit </t>
  </si>
  <si>
    <t xml:space="preserve"> gerundete Stunde </t>
  </si>
  <si>
    <t>verfügbare Stunden</t>
  </si>
  <si>
    <t>Uhrzeit</t>
  </si>
  <si>
    <t>58X057</t>
  </si>
  <si>
    <t>58X041</t>
  </si>
  <si>
    <t>Peugeot</t>
  </si>
  <si>
    <t>58X123</t>
  </si>
  <si>
    <t xml:space="preserve">Peugeot </t>
  </si>
  <si>
    <t>58X071</t>
  </si>
  <si>
    <t>Peugot</t>
  </si>
  <si>
    <t>58X072</t>
  </si>
  <si>
    <t>58X086</t>
  </si>
  <si>
    <t>58X088</t>
  </si>
  <si>
    <t>58X093</t>
  </si>
  <si>
    <t>58X116</t>
  </si>
  <si>
    <t>58X038</t>
  </si>
  <si>
    <t>Renault Group</t>
  </si>
  <si>
    <t>58X058</t>
  </si>
  <si>
    <t>58X073</t>
  </si>
  <si>
    <t>58X074</t>
  </si>
  <si>
    <t>58X075</t>
  </si>
  <si>
    <t>58X043</t>
  </si>
  <si>
    <t xml:space="preserve">Rolls-Royce </t>
  </si>
  <si>
    <t>58X045</t>
  </si>
  <si>
    <t xml:space="preserve">SEAT </t>
  </si>
  <si>
    <t>58X067</t>
  </si>
  <si>
    <t>58X106</t>
  </si>
  <si>
    <t>58X111</t>
  </si>
  <si>
    <t>58X119</t>
  </si>
  <si>
    <t>58X120</t>
  </si>
  <si>
    <t>58X028</t>
  </si>
  <si>
    <t>Tesla</t>
  </si>
  <si>
    <t>58X079</t>
  </si>
  <si>
    <t>58X080</t>
  </si>
  <si>
    <t>58X097</t>
  </si>
  <si>
    <t>58X102</t>
  </si>
  <si>
    <t>58X107</t>
  </si>
  <si>
    <t>58X114</t>
  </si>
  <si>
    <t>58X078</t>
  </si>
  <si>
    <t xml:space="preserve">Tesla </t>
  </si>
  <si>
    <t>58X026</t>
  </si>
  <si>
    <t xml:space="preserve">TOYOTA </t>
  </si>
  <si>
    <t>58X046</t>
  </si>
  <si>
    <t>58X048</t>
  </si>
  <si>
    <t>58X049</t>
  </si>
  <si>
    <t>58X090</t>
  </si>
  <si>
    <t>58X091</t>
  </si>
  <si>
    <t>58X101</t>
  </si>
  <si>
    <t>58X027</t>
  </si>
  <si>
    <t>Volkswagen</t>
  </si>
  <si>
    <t>58X047</t>
  </si>
  <si>
    <t>58X053</t>
  </si>
  <si>
    <t>58X054</t>
  </si>
  <si>
    <t>58X092</t>
  </si>
  <si>
    <t>58X098</t>
  </si>
  <si>
    <t>58X103</t>
  </si>
  <si>
    <t>58X108</t>
  </si>
  <si>
    <t>58X110</t>
  </si>
  <si>
    <t>58X036</t>
  </si>
  <si>
    <t xml:space="preserve">Volvo Cars </t>
  </si>
  <si>
    <t>58X064</t>
  </si>
  <si>
    <t>58X076</t>
  </si>
  <si>
    <t>58X077</t>
  </si>
  <si>
    <t xml:space="preserve">4- OEE- OVERALL EQUIPMENT EFEFECTIVENESS - GESAMTANLAGEEFEKTIVITÄT </t>
  </si>
  <si>
    <t>APE= Autonome Produktionseinheit</t>
  </si>
  <si>
    <t xml:space="preserve">Produktionsleistung über  10 Tage </t>
  </si>
  <si>
    <t xml:space="preserve">gesamte Zeit </t>
  </si>
  <si>
    <t xml:space="preserve">Num APE </t>
  </si>
  <si>
    <t xml:space="preserve">Kode APE </t>
  </si>
  <si>
    <t>APE Beschreibung</t>
  </si>
  <si>
    <t>Tag 1</t>
  </si>
  <si>
    <t>Tag 2</t>
  </si>
  <si>
    <t>Tag 3</t>
  </si>
  <si>
    <t>Tag 4</t>
  </si>
  <si>
    <t>Tag 5</t>
  </si>
  <si>
    <t>Tag 6</t>
  </si>
  <si>
    <t>Tag 7</t>
  </si>
  <si>
    <t xml:space="preserve">Tag 8 </t>
  </si>
  <si>
    <t>Tag 9</t>
  </si>
  <si>
    <t>Tag 10</t>
  </si>
  <si>
    <t>Median</t>
  </si>
  <si>
    <t>Tendenz</t>
  </si>
  <si>
    <t>Verfügbar</t>
  </si>
  <si>
    <t>Effektiv</t>
  </si>
  <si>
    <t>A01</t>
  </si>
  <si>
    <t>Motor Typ 1</t>
  </si>
  <si>
    <t>A02</t>
  </si>
  <si>
    <t>Motor Typ 2</t>
  </si>
  <si>
    <t>A03</t>
  </si>
  <si>
    <t>Motor Typ 3</t>
  </si>
  <si>
    <t>A04</t>
  </si>
  <si>
    <t>Motor Typ 4</t>
  </si>
  <si>
    <t>A05</t>
  </si>
  <si>
    <t>Motor Typ 5</t>
  </si>
  <si>
    <t>Anzahl an APE:</t>
  </si>
  <si>
    <t xml:space="preserve">Erfüllen Sie die Zelle: </t>
  </si>
  <si>
    <t>WIE BERECHNET MAN GAE?</t>
  </si>
  <si>
    <t>5- PROZESSZEIT</t>
  </si>
  <si>
    <t xml:space="preserve">Produktnummer </t>
  </si>
  <si>
    <t xml:space="preserve">Produktbeschreibung </t>
  </si>
  <si>
    <t>Prozesszeit [min]</t>
  </si>
  <si>
    <t>2B- BESTELLUNG NACH PRODUKTIONSDATUM</t>
  </si>
  <si>
    <t xml:space="preserve">Bestellungsnummer </t>
  </si>
  <si>
    <t xml:space="preserve">Bestellungsmenge </t>
  </si>
  <si>
    <t>Produktionsdatum</t>
  </si>
  <si>
    <t xml:space="preserve">10- ENDMONTAGEKALENDER </t>
  </si>
  <si>
    <t xml:space="preserve">Tag des Beginns der Arbeit </t>
  </si>
  <si>
    <t>Anzahl APE aktiv</t>
  </si>
  <si>
    <t xml:space="preserve">erste Uhrzeit der Arbeit </t>
  </si>
  <si>
    <t xml:space="preserve">Anzahl an verspäteten Aufträge </t>
  </si>
  <si>
    <t>Auftragsnummer</t>
  </si>
  <si>
    <t>Produktsbeschreibung</t>
  </si>
  <si>
    <t>Produktsmenge</t>
  </si>
  <si>
    <t>Prozesszeit in min</t>
  </si>
  <si>
    <t>Aufwand in min</t>
  </si>
  <si>
    <t>Num. APE</t>
  </si>
  <si>
    <t>APE  Beschreibung</t>
  </si>
  <si>
    <t xml:space="preserve">OEE </t>
  </si>
  <si>
    <t>Prozesszeit pro Motor[min]</t>
  </si>
  <si>
    <t xml:space="preserve">Arbeitlast in min </t>
  </si>
  <si>
    <t>Arbeitslast in h</t>
  </si>
  <si>
    <t>Abgerundetes Produktionsdatum  in h</t>
  </si>
  <si>
    <t>Verfügbare Arbeitszeiten vor Ablauf Bestellung</t>
  </si>
  <si>
    <t>akkumulierte Arbeitslast per APE  in h</t>
  </si>
  <si>
    <t>Überschuss/ (Defizit) [h]</t>
  </si>
  <si>
    <t>Iteration J10</t>
  </si>
  <si>
    <t>APE 1</t>
  </si>
  <si>
    <t>APE 2</t>
  </si>
  <si>
    <t>APE3</t>
  </si>
  <si>
    <t>APE4</t>
  </si>
  <si>
    <t>APE5</t>
  </si>
  <si>
    <t>MAX</t>
  </si>
  <si>
    <t>APE</t>
  </si>
  <si>
    <t>Choix</t>
  </si>
  <si>
    <t>Iteration J11</t>
  </si>
  <si>
    <t>Iteration J12</t>
  </si>
  <si>
    <t>Iteration J13</t>
  </si>
  <si>
    <t>Iteration J14</t>
  </si>
  <si>
    <t>Iteration J15</t>
  </si>
  <si>
    <t>Iteration J16</t>
  </si>
  <si>
    <t>Iteration J17</t>
  </si>
  <si>
    <t>Iteration J18</t>
  </si>
  <si>
    <t>Iteration J19</t>
  </si>
  <si>
    <t>Iteration J20</t>
  </si>
  <si>
    <t>Iteration J21</t>
  </si>
  <si>
    <t>Iteration J22</t>
  </si>
  <si>
    <t>Iteration J23</t>
  </si>
  <si>
    <t>Iteration J24</t>
  </si>
  <si>
    <t>APE 3</t>
  </si>
  <si>
    <t>APE 4</t>
  </si>
  <si>
    <t>APE 5</t>
  </si>
  <si>
    <t>Iteration J25</t>
  </si>
  <si>
    <t>Iteration J26</t>
  </si>
  <si>
    <t>Iteration J27</t>
  </si>
  <si>
    <t>Iteration J28</t>
  </si>
  <si>
    <t>Iteration J29</t>
  </si>
  <si>
    <t>Iteration J30</t>
  </si>
  <si>
    <t>Iteration J31</t>
  </si>
  <si>
    <t>Iteration J32</t>
  </si>
  <si>
    <t>Iteration J33</t>
  </si>
  <si>
    <t>Iteration J34</t>
  </si>
  <si>
    <t>Iteration J35</t>
  </si>
  <si>
    <t>Iteration J36</t>
  </si>
  <si>
    <t>Iteration J37</t>
  </si>
  <si>
    <t>Iteration J38</t>
  </si>
  <si>
    <t>Iteration J39</t>
  </si>
  <si>
    <t>Iteration J40</t>
  </si>
  <si>
    <t>Iteration J41</t>
  </si>
  <si>
    <t>Iteration J42</t>
  </si>
  <si>
    <t>Iteration J43</t>
  </si>
  <si>
    <t>Iteration J44</t>
  </si>
  <si>
    <t>Iteration J45</t>
  </si>
  <si>
    <t>Iteration J46</t>
  </si>
  <si>
    <t>Iteration J47</t>
  </si>
  <si>
    <t>Iteration J48</t>
  </si>
  <si>
    <t>Iteration J49</t>
  </si>
  <si>
    <t>Iteration J50</t>
  </si>
  <si>
    <t>Iteration J51</t>
  </si>
  <si>
    <t>Iteration J52</t>
  </si>
  <si>
    <t>Iteration J53</t>
  </si>
  <si>
    <t>Iteration J54</t>
  </si>
  <si>
    <t>Iteration J55</t>
  </si>
  <si>
    <t>Iteration J56</t>
  </si>
  <si>
    <t>Iteration J57</t>
  </si>
  <si>
    <t>Iteration J58</t>
  </si>
  <si>
    <t>Iteration J59</t>
  </si>
  <si>
    <t>Iteration J60</t>
  </si>
  <si>
    <t>Iteration J61</t>
  </si>
  <si>
    <t>Iteration J62</t>
  </si>
  <si>
    <t>Iteration J63</t>
  </si>
  <si>
    <t>Iteration J64</t>
  </si>
  <si>
    <t>Iteration J65</t>
  </si>
  <si>
    <t>Iteration J66</t>
  </si>
  <si>
    <t>Iteration 67</t>
  </si>
  <si>
    <t>Iteration J70</t>
  </si>
  <si>
    <t>Iteration J71</t>
  </si>
  <si>
    <t>Iteration J72</t>
  </si>
  <si>
    <t>Iteration J73</t>
  </si>
  <si>
    <t>Iteration J74</t>
  </si>
  <si>
    <t>Iteration J75</t>
  </si>
  <si>
    <t>Iteration J76</t>
  </si>
  <si>
    <t>Iteration J77</t>
  </si>
  <si>
    <t>Iteration J78</t>
  </si>
  <si>
    <t>Iteration J79</t>
  </si>
  <si>
    <t>Iteration J80</t>
  </si>
  <si>
    <t>Iteration J81</t>
  </si>
  <si>
    <t>Iteration J82</t>
  </si>
  <si>
    <t>Iteration J83</t>
  </si>
  <si>
    <t>Iteration J84</t>
  </si>
  <si>
    <t>Iteration J85</t>
  </si>
  <si>
    <t>Iteration J86</t>
  </si>
  <si>
    <t>Iteration J87</t>
  </si>
  <si>
    <t>Iteration J88</t>
  </si>
  <si>
    <t>Iteration 89</t>
  </si>
  <si>
    <t>Iteration J90</t>
  </si>
  <si>
    <t>Iteration J91</t>
  </si>
  <si>
    <t>Iteration J92</t>
  </si>
  <si>
    <t>Iteration J93</t>
  </si>
  <si>
    <t>Iteration J94</t>
  </si>
  <si>
    <t>Iteration J95</t>
  </si>
  <si>
    <t>Iteration J96</t>
  </si>
  <si>
    <t>Iteration J97</t>
  </si>
  <si>
    <t>Iteration J98</t>
  </si>
  <si>
    <t>Iteration J99</t>
  </si>
  <si>
    <t>Iteration J100</t>
  </si>
  <si>
    <t>Iteration 101</t>
  </si>
  <si>
    <t>Iteration J102</t>
  </si>
  <si>
    <t>Iteration J68</t>
  </si>
  <si>
    <t>Iteration J69</t>
  </si>
  <si>
    <t>Iteration J103</t>
  </si>
  <si>
    <t>Iteration J104</t>
  </si>
  <si>
    <t>Iteration J107</t>
  </si>
</sst>
</file>

<file path=xl/styles.xml><?xml version="1.0" encoding="utf-8"?>
<styleSheet xmlns="http://schemas.openxmlformats.org/spreadsheetml/2006/main" xmlns:mc="http://schemas.openxmlformats.org/markup-compatibility/2006" xmlns:xr9="http://schemas.microsoft.com/office/spreadsheetml/2016/revision9" mc:Ignorable="xr9">
  <numFmts count="8">
    <numFmt numFmtId="41" formatCode="_-* #,##0_-;\-* #,##0_-;_-* &quot;-&quot;_-;_-@_-"/>
    <numFmt numFmtId="43" formatCode="_-* #,##0.00_-;\-* #,##0.00_-;_-* &quot;-&quot;??_-;_-@_-"/>
    <numFmt numFmtId="176" formatCode="_-* #,##0.00\ &quot;€&quot;_-;\-* #,##0.00\ &quot;€&quot;_-;_-* \-??\ &quot;€&quot;_-;_-@_-"/>
    <numFmt numFmtId="177" formatCode="_-* #,##0\ &quot;€&quot;_-;\-* #,##0\ &quot;€&quot;_-;_-* &quot;-&quot;\ &quot;€&quot;_-;_-@_-"/>
    <numFmt numFmtId="178" formatCode="d/m/yy\ h:mm;@"/>
    <numFmt numFmtId="179" formatCode="_-* #,##0.0\ _€_-;\-* #,##0.0\ _€_-;_-* &quot;-&quot;\ _€_-;_-@_-"/>
    <numFmt numFmtId="180" formatCode="h:mm;@"/>
    <numFmt numFmtId="181" formatCode="[$-F400]h:mm:ss\ AM/PM"/>
  </numFmts>
  <fonts count="39">
    <font>
      <sz val="11"/>
      <color theme="1"/>
      <name val="Calibri"/>
      <charset val="134"/>
      <scheme val="minor"/>
    </font>
    <font>
      <b/>
      <sz val="18"/>
      <color theme="1"/>
      <name val="Calibri"/>
      <charset val="134"/>
      <scheme val="minor"/>
    </font>
    <font>
      <b/>
      <sz val="11"/>
      <color theme="1"/>
      <name val="Calibri"/>
      <charset val="134"/>
      <scheme val="minor"/>
    </font>
    <font>
      <sz val="8"/>
      <color theme="1"/>
      <name val="Calibri"/>
      <charset val="134"/>
      <scheme val="minor"/>
    </font>
    <font>
      <sz val="10"/>
      <color theme="1"/>
      <name val="Calibri"/>
      <charset val="134"/>
      <scheme val="minor"/>
    </font>
    <font>
      <b/>
      <sz val="11"/>
      <color theme="0"/>
      <name val="Calibri"/>
      <charset val="134"/>
      <scheme val="minor"/>
    </font>
    <font>
      <b/>
      <sz val="10"/>
      <color theme="1"/>
      <name val="Arial"/>
      <charset val="134"/>
    </font>
    <font>
      <sz val="7"/>
      <color theme="1"/>
      <name val="Arial"/>
      <charset val="134"/>
    </font>
    <font>
      <b/>
      <sz val="7"/>
      <color theme="1"/>
      <name val="Arial"/>
      <charset val="134"/>
    </font>
    <font>
      <b/>
      <sz val="16"/>
      <color theme="1"/>
      <name val="Calibri"/>
      <charset val="134"/>
      <scheme val="minor"/>
    </font>
    <font>
      <b/>
      <sz val="11"/>
      <color rgb="FFFF0000"/>
      <name val="Calibri"/>
      <charset val="134"/>
      <scheme val="minor"/>
    </font>
    <font>
      <sz val="11"/>
      <color rgb="FFFF0000"/>
      <name val="Calibri"/>
      <charset val="134"/>
      <scheme val="minor"/>
    </font>
    <font>
      <sz val="9"/>
      <color theme="1"/>
      <name val="Calibri"/>
      <charset val="134"/>
      <scheme val="minor"/>
    </font>
    <font>
      <sz val="26"/>
      <color theme="4" tint="-0.249977111117893"/>
      <name val="Calibri"/>
      <charset val="134"/>
      <scheme val="minor"/>
    </font>
    <font>
      <b/>
      <u/>
      <sz val="11"/>
      <color theme="4" tint="-0.499984740745262"/>
      <name val="Calibri"/>
      <charset val="134"/>
      <scheme val="minor"/>
    </font>
    <font>
      <sz val="11"/>
      <color theme="4"/>
      <name val="Calibri"/>
      <charset val="134"/>
      <scheme val="minor"/>
    </font>
    <font>
      <b/>
      <sz val="11"/>
      <color theme="4" tint="-0.499984740745262"/>
      <name val="Calibri"/>
      <charset val="134"/>
      <scheme val="minor"/>
    </font>
    <font>
      <sz val="11"/>
      <color theme="4" tint="-0.249977111117893"/>
      <name val="Calibri"/>
      <charset val="134"/>
      <scheme val="minor"/>
    </font>
    <font>
      <sz val="11"/>
      <color theme="1"/>
      <name val="Calibri"/>
      <charset val="134"/>
      <scheme val="minor"/>
    </font>
    <font>
      <u/>
      <sz val="11"/>
      <color rgb="FF0000FF"/>
      <name val="Calibri"/>
      <charset val="0"/>
      <scheme val="minor"/>
    </font>
    <font>
      <u/>
      <sz val="11"/>
      <color rgb="FF800080"/>
      <name val="Calibri"/>
      <charset val="0"/>
      <scheme val="minor"/>
    </font>
    <font>
      <sz val="11"/>
      <color rgb="FFFF0000"/>
      <name val="Calibri"/>
      <charset val="0"/>
      <scheme val="minor"/>
    </font>
    <font>
      <b/>
      <sz val="18"/>
      <color theme="3"/>
      <name val="Calibri"/>
      <charset val="134"/>
      <scheme val="minor"/>
    </font>
    <font>
      <i/>
      <sz val="11"/>
      <color rgb="FF7F7F7F"/>
      <name val="Calibri"/>
      <charset val="0"/>
      <scheme val="minor"/>
    </font>
    <font>
      <b/>
      <sz val="15"/>
      <color theme="3"/>
      <name val="Calibri"/>
      <charset val="134"/>
      <scheme val="minor"/>
    </font>
    <font>
      <b/>
      <sz val="13"/>
      <color theme="3"/>
      <name val="Calibri"/>
      <charset val="134"/>
      <scheme val="minor"/>
    </font>
    <font>
      <b/>
      <sz val="11"/>
      <color theme="3"/>
      <name val="Calibri"/>
      <charset val="134"/>
      <scheme val="minor"/>
    </font>
    <font>
      <sz val="11"/>
      <color rgb="FF3F3F76"/>
      <name val="Calibri"/>
      <charset val="0"/>
      <scheme val="minor"/>
    </font>
    <font>
      <b/>
      <sz val="11"/>
      <color rgb="FF3F3F3F"/>
      <name val="Calibri"/>
      <charset val="0"/>
      <scheme val="minor"/>
    </font>
    <font>
      <b/>
      <sz val="11"/>
      <color rgb="FFFA7D00"/>
      <name val="Calibri"/>
      <charset val="0"/>
      <scheme val="minor"/>
    </font>
    <font>
      <b/>
      <sz val="11"/>
      <color rgb="FFFFFFFF"/>
      <name val="Calibri"/>
      <charset val="0"/>
      <scheme val="minor"/>
    </font>
    <font>
      <sz val="11"/>
      <color rgb="FFFA7D00"/>
      <name val="Calibri"/>
      <charset val="0"/>
      <scheme val="minor"/>
    </font>
    <font>
      <b/>
      <sz val="11"/>
      <color theme="1"/>
      <name val="Calibri"/>
      <charset val="0"/>
      <scheme val="minor"/>
    </font>
    <font>
      <sz val="11"/>
      <color rgb="FF006100"/>
      <name val="Calibri"/>
      <charset val="0"/>
      <scheme val="minor"/>
    </font>
    <font>
      <sz val="11"/>
      <color rgb="FF9C0006"/>
      <name val="Calibri"/>
      <charset val="0"/>
      <scheme val="minor"/>
    </font>
    <font>
      <sz val="11"/>
      <color rgb="FF9C6500"/>
      <name val="Calibri"/>
      <charset val="0"/>
      <scheme val="minor"/>
    </font>
    <font>
      <sz val="11"/>
      <color theme="0"/>
      <name val="Calibri"/>
      <charset val="0"/>
      <scheme val="minor"/>
    </font>
    <font>
      <sz val="11"/>
      <color theme="1"/>
      <name val="Calibri"/>
      <charset val="0"/>
      <scheme val="minor"/>
    </font>
    <font>
      <u/>
      <sz val="11"/>
      <color rgb="FFFF0000"/>
      <name val="Calibri"/>
      <charset val="134"/>
      <scheme val="minor"/>
    </font>
  </fonts>
  <fills count="36">
    <fill>
      <patternFill patternType="none"/>
    </fill>
    <fill>
      <patternFill patternType="gray125"/>
    </fill>
    <fill>
      <patternFill patternType="solid">
        <fgColor theme="4"/>
        <bgColor indexed="64"/>
      </patternFill>
    </fill>
    <fill>
      <patternFill patternType="solid">
        <fgColor theme="0"/>
        <bgColor indexed="64"/>
      </patternFill>
    </fill>
    <fill>
      <patternFill patternType="solid">
        <fgColor theme="7" tint="0.599993896298105"/>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51">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diagonal/>
    </border>
    <border>
      <left style="thin">
        <color auto="1"/>
      </left>
      <right style="thin">
        <color auto="1"/>
      </right>
      <top style="thin">
        <color auto="1"/>
      </top>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diagonal/>
    </border>
    <border>
      <left style="thin">
        <color auto="1"/>
      </left>
      <right style="medium">
        <color auto="1"/>
      </right>
      <top/>
      <bottom/>
      <diagonal/>
    </border>
    <border>
      <left style="medium">
        <color auto="1"/>
      </left>
      <right style="thin">
        <color auto="1"/>
      </right>
      <top/>
      <bottom/>
      <diagonal/>
    </border>
    <border>
      <left style="medium">
        <color auto="1"/>
      </left>
      <right style="medium">
        <color auto="1"/>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style="medium">
        <color auto="1"/>
      </right>
      <top style="medium">
        <color auto="1"/>
      </top>
      <bottom/>
      <diagonal/>
    </border>
    <border>
      <left style="thin">
        <color auto="1"/>
      </left>
      <right/>
      <top style="thin">
        <color auto="1"/>
      </top>
      <bottom style="hair">
        <color auto="1"/>
      </bottom>
      <diagonal/>
    </border>
    <border>
      <left/>
      <right/>
      <top style="thin">
        <color auto="1"/>
      </top>
      <bottom style="hair">
        <color auto="1"/>
      </bottom>
      <diagonal/>
    </border>
    <border>
      <left/>
      <right style="thin">
        <color auto="1"/>
      </right>
      <top style="thin">
        <color auto="1"/>
      </top>
      <bottom style="hair">
        <color auto="1"/>
      </bottom>
      <diagonal/>
    </border>
    <border>
      <left/>
      <right/>
      <top style="hair">
        <color auto="1"/>
      </top>
      <bottom/>
      <diagonal/>
    </border>
    <border>
      <left/>
      <right/>
      <top style="hair">
        <color auto="1"/>
      </top>
      <bottom style="hair">
        <color auto="1"/>
      </bottom>
      <diagonal/>
    </border>
    <border>
      <left style="thin">
        <color auto="1"/>
      </left>
      <right/>
      <top style="hair">
        <color auto="1"/>
      </top>
      <bottom/>
      <diagonal/>
    </border>
    <border>
      <left/>
      <right/>
      <top/>
      <bottom style="hair">
        <color auto="1"/>
      </bottom>
      <diagonal/>
    </border>
    <border>
      <left/>
      <right style="thin">
        <color auto="1"/>
      </right>
      <top style="hair">
        <color auto="1"/>
      </top>
      <bottom/>
      <diagonal/>
    </border>
    <border>
      <left style="thin">
        <color auto="1"/>
      </left>
      <right/>
      <top style="hair">
        <color auto="1"/>
      </top>
      <bottom style="hair">
        <color auto="1"/>
      </bottom>
      <diagonal/>
    </border>
    <border>
      <left/>
      <right/>
      <top style="hair">
        <color auto="1"/>
      </top>
      <bottom style="thin">
        <color auto="1"/>
      </bottom>
      <diagonal/>
    </border>
    <border>
      <left style="thin">
        <color auto="1"/>
      </left>
      <right/>
      <top style="hair">
        <color auto="1"/>
      </top>
      <bottom style="thin">
        <color auto="1"/>
      </bottom>
      <diagonal/>
    </border>
    <border>
      <left/>
      <right style="thin">
        <color auto="1"/>
      </right>
      <top style="hair">
        <color auto="1"/>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18" fillId="0" borderId="0" applyFont="0" applyFill="0" applyBorder="0" applyAlignment="0" applyProtection="0">
      <alignment vertical="center"/>
    </xf>
    <xf numFmtId="176" fontId="18" fillId="0" borderId="0" applyFont="0" applyFill="0" applyBorder="0" applyAlignment="0" applyProtection="0">
      <alignment vertical="center"/>
    </xf>
    <xf numFmtId="9" fontId="18" fillId="0" borderId="0" applyFont="0" applyFill="0" applyBorder="0" applyAlignment="0" applyProtection="0">
      <alignment vertical="center"/>
    </xf>
    <xf numFmtId="41" fontId="18" fillId="0" borderId="0" applyFont="0" applyFill="0" applyBorder="0" applyAlignment="0" applyProtection="0">
      <alignment vertical="center"/>
    </xf>
    <xf numFmtId="177" fontId="18" fillId="0" borderId="0" applyFon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18" fillId="5" borderId="43" applyNumberFormat="0" applyFont="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44" applyNumberFormat="0" applyFill="0" applyAlignment="0" applyProtection="0">
      <alignment vertical="center"/>
    </xf>
    <xf numFmtId="0" fontId="25" fillId="0" borderId="44" applyNumberFormat="0" applyFill="0" applyAlignment="0" applyProtection="0">
      <alignment vertical="center"/>
    </xf>
    <xf numFmtId="0" fontId="26" fillId="0" borderId="45" applyNumberFormat="0" applyFill="0" applyAlignment="0" applyProtection="0">
      <alignment vertical="center"/>
    </xf>
    <xf numFmtId="0" fontId="26" fillId="0" borderId="0" applyNumberFormat="0" applyFill="0" applyBorder="0" applyAlignment="0" applyProtection="0">
      <alignment vertical="center"/>
    </xf>
    <xf numFmtId="0" fontId="27" fillId="6" borderId="46" applyNumberFormat="0" applyAlignment="0" applyProtection="0">
      <alignment vertical="center"/>
    </xf>
    <xf numFmtId="0" fontId="28" fillId="7" borderId="47" applyNumberFormat="0" applyAlignment="0" applyProtection="0">
      <alignment vertical="center"/>
    </xf>
    <xf numFmtId="0" fontId="29" fillId="7" borderId="46" applyNumberFormat="0" applyAlignment="0" applyProtection="0">
      <alignment vertical="center"/>
    </xf>
    <xf numFmtId="0" fontId="30" fillId="8" borderId="48" applyNumberFormat="0" applyAlignment="0" applyProtection="0">
      <alignment vertical="center"/>
    </xf>
    <xf numFmtId="0" fontId="31" fillId="0" borderId="49" applyNumberFormat="0" applyFill="0" applyAlignment="0" applyProtection="0">
      <alignment vertical="center"/>
    </xf>
    <xf numFmtId="0" fontId="32" fillId="0" borderId="50" applyNumberFormat="0" applyFill="0" applyAlignment="0" applyProtection="0">
      <alignment vertical="center"/>
    </xf>
    <xf numFmtId="0" fontId="33" fillId="9" borderId="0" applyNumberFormat="0" applyBorder="0" applyAlignment="0" applyProtection="0">
      <alignment vertical="center"/>
    </xf>
    <xf numFmtId="0" fontId="34" fillId="10" borderId="0" applyNumberFormat="0" applyBorder="0" applyAlignment="0" applyProtection="0">
      <alignment vertical="center"/>
    </xf>
    <xf numFmtId="0" fontId="35" fillId="11" borderId="0" applyNumberFormat="0" applyBorder="0" applyAlignment="0" applyProtection="0">
      <alignment vertical="center"/>
    </xf>
    <xf numFmtId="0" fontId="36" fillId="12" borderId="0" applyNumberFormat="0" applyBorder="0" applyAlignment="0" applyProtection="0">
      <alignment vertical="center"/>
    </xf>
    <xf numFmtId="0" fontId="37" fillId="13" borderId="0" applyNumberFormat="0" applyBorder="0" applyAlignment="0" applyProtection="0">
      <alignment vertical="center"/>
    </xf>
    <xf numFmtId="0" fontId="37" fillId="14" borderId="0" applyNumberFormat="0" applyBorder="0" applyAlignment="0" applyProtection="0">
      <alignment vertical="center"/>
    </xf>
    <xf numFmtId="0" fontId="36" fillId="15" borderId="0" applyNumberFormat="0" applyBorder="0" applyAlignment="0" applyProtection="0">
      <alignment vertical="center"/>
    </xf>
    <xf numFmtId="0" fontId="36" fillId="16" borderId="0" applyNumberFormat="0" applyBorder="0" applyAlignment="0" applyProtection="0">
      <alignment vertical="center"/>
    </xf>
    <xf numFmtId="0" fontId="37" fillId="17" borderId="0" applyNumberFormat="0" applyBorder="0" applyAlignment="0" applyProtection="0">
      <alignment vertical="center"/>
    </xf>
    <xf numFmtId="0" fontId="37" fillId="18" borderId="0" applyNumberFormat="0" applyBorder="0" applyAlignment="0" applyProtection="0">
      <alignment vertical="center"/>
    </xf>
    <xf numFmtId="0" fontId="36" fillId="19" borderId="0" applyNumberFormat="0" applyBorder="0" applyAlignment="0" applyProtection="0">
      <alignment vertical="center"/>
    </xf>
    <xf numFmtId="0" fontId="36" fillId="20" borderId="0" applyNumberFormat="0" applyBorder="0" applyAlignment="0" applyProtection="0">
      <alignment vertical="center"/>
    </xf>
    <xf numFmtId="0" fontId="37" fillId="21" borderId="0" applyNumberFormat="0" applyBorder="0" applyAlignment="0" applyProtection="0">
      <alignment vertical="center"/>
    </xf>
    <xf numFmtId="0" fontId="37" fillId="22" borderId="0" applyNumberFormat="0" applyBorder="0" applyAlignment="0" applyProtection="0">
      <alignment vertical="center"/>
    </xf>
    <xf numFmtId="0" fontId="36" fillId="23" borderId="0" applyNumberFormat="0" applyBorder="0" applyAlignment="0" applyProtection="0">
      <alignment vertical="center"/>
    </xf>
    <xf numFmtId="0" fontId="36" fillId="24" borderId="0" applyNumberFormat="0" applyBorder="0" applyAlignment="0" applyProtection="0">
      <alignment vertical="center"/>
    </xf>
    <xf numFmtId="0" fontId="37" fillId="25" borderId="0" applyNumberFormat="0" applyBorder="0" applyAlignment="0" applyProtection="0">
      <alignment vertical="center"/>
    </xf>
    <xf numFmtId="0" fontId="37" fillId="26" borderId="0" applyNumberFormat="0" applyBorder="0" applyAlignment="0" applyProtection="0">
      <alignment vertical="center"/>
    </xf>
    <xf numFmtId="0" fontId="36" fillId="27" borderId="0" applyNumberFormat="0" applyBorder="0" applyAlignment="0" applyProtection="0">
      <alignment vertical="center"/>
    </xf>
    <xf numFmtId="0" fontId="36" fillId="28" borderId="0" applyNumberFormat="0" applyBorder="0" applyAlignment="0" applyProtection="0">
      <alignment vertical="center"/>
    </xf>
    <xf numFmtId="0" fontId="37" fillId="29" borderId="0" applyNumberFormat="0" applyBorder="0" applyAlignment="0" applyProtection="0">
      <alignment vertical="center"/>
    </xf>
    <xf numFmtId="0" fontId="37" fillId="30" borderId="0" applyNumberFormat="0" applyBorder="0" applyAlignment="0" applyProtection="0">
      <alignment vertical="center"/>
    </xf>
    <xf numFmtId="0" fontId="36" fillId="31" borderId="0" applyNumberFormat="0" applyBorder="0" applyAlignment="0" applyProtection="0">
      <alignment vertical="center"/>
    </xf>
    <xf numFmtId="0" fontId="36" fillId="32" borderId="0" applyNumberFormat="0" applyBorder="0" applyAlignment="0" applyProtection="0">
      <alignment vertical="center"/>
    </xf>
    <xf numFmtId="0" fontId="37" fillId="33" borderId="0" applyNumberFormat="0" applyBorder="0" applyAlignment="0" applyProtection="0">
      <alignment vertical="center"/>
    </xf>
    <xf numFmtId="0" fontId="37" fillId="34" borderId="0" applyNumberFormat="0" applyBorder="0" applyAlignment="0" applyProtection="0">
      <alignment vertical="center"/>
    </xf>
    <xf numFmtId="0" fontId="36" fillId="35" borderId="0" applyNumberFormat="0" applyBorder="0" applyAlignment="0" applyProtection="0">
      <alignment vertical="center"/>
    </xf>
  </cellStyleXfs>
  <cellXfs count="144">
    <xf numFmtId="0" fontId="0" fillId="0" borderId="0" xfId="0"/>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1" fillId="0" borderId="4" xfId="0" applyFont="1" applyBorder="1" applyAlignment="1">
      <alignment horizontal="center" vertical="center"/>
    </xf>
    <xf numFmtId="0" fontId="1" fillId="0" borderId="5" xfId="0" applyFont="1" applyBorder="1" applyAlignment="1">
      <alignment horizontal="center" vertical="center"/>
    </xf>
    <xf numFmtId="0" fontId="1" fillId="0" borderId="6" xfId="0" applyFont="1" applyBorder="1"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58" fontId="0" fillId="0" borderId="3" xfId="0" applyNumberFormat="1" applyBorder="1"/>
    <xf numFmtId="0" fontId="0" fillId="0" borderId="7" xfId="0" applyBorder="1" applyAlignment="1">
      <alignment horizontal="center" vertical="center"/>
    </xf>
    <xf numFmtId="0" fontId="0" fillId="0" borderId="0" xfId="0" applyAlignment="1">
      <alignment horizontal="center" vertical="center"/>
    </xf>
    <xf numFmtId="0" fontId="2" fillId="0" borderId="8" xfId="0" applyFont="1"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78" fontId="0" fillId="0" borderId="11" xfId="0" applyNumberFormat="1" applyBorder="1"/>
    <xf numFmtId="0" fontId="0" fillId="0" borderId="5" xfId="0" applyBorder="1" applyAlignment="1">
      <alignment horizontal="center" vertical="center"/>
    </xf>
    <xf numFmtId="0" fontId="0" fillId="0" borderId="6" xfId="0" applyBorder="1" applyAlignment="1">
      <alignment horizontal="center" vertical="center"/>
    </xf>
    <xf numFmtId="0" fontId="0" fillId="0" borderId="12" xfId="0" applyBorder="1" applyAlignment="1">
      <alignment horizontal="center" vertical="center"/>
    </xf>
    <xf numFmtId="0" fontId="3" fillId="0" borderId="8" xfId="0" applyFont="1" applyBorder="1" applyAlignment="1">
      <alignment horizontal="center" vertical="center"/>
    </xf>
    <xf numFmtId="0" fontId="3" fillId="0" borderId="9" xfId="0" applyFont="1" applyBorder="1" applyAlignment="1">
      <alignment horizontal="center" vertical="center"/>
    </xf>
    <xf numFmtId="0" fontId="3" fillId="0" borderId="2" xfId="0" applyFont="1" applyBorder="1" applyAlignment="1">
      <alignment horizontal="center" vertical="center"/>
    </xf>
    <xf numFmtId="0" fontId="4" fillId="0" borderId="2" xfId="0" applyFont="1" applyBorder="1" applyAlignment="1">
      <alignment horizontal="center" vertical="center" shrinkToFit="1"/>
    </xf>
    <xf numFmtId="0" fontId="3" fillId="0" borderId="2" xfId="0" applyFont="1" applyBorder="1" applyAlignment="1">
      <alignment horizontal="center" vertical="center" shrinkToFit="1"/>
    </xf>
    <xf numFmtId="0" fontId="3" fillId="0" borderId="2" xfId="0" applyFont="1" applyBorder="1" applyAlignment="1">
      <alignment horizontal="center" vertical="center" wrapText="1"/>
    </xf>
    <xf numFmtId="0" fontId="3" fillId="0" borderId="2" xfId="0" applyFont="1" applyBorder="1" applyAlignment="1">
      <alignment wrapText="1"/>
    </xf>
    <xf numFmtId="0" fontId="3" fillId="0" borderId="3" xfId="0" applyFont="1" applyBorder="1" applyAlignment="1">
      <alignment wrapText="1"/>
    </xf>
    <xf numFmtId="0" fontId="0" fillId="0" borderId="1" xfId="0" applyBorder="1"/>
    <xf numFmtId="0" fontId="0" fillId="0" borderId="2" xfId="0" applyBorder="1"/>
    <xf numFmtId="178" fontId="0" fillId="0" borderId="2" xfId="0" applyNumberFormat="1" applyBorder="1"/>
    <xf numFmtId="0" fontId="5" fillId="2" borderId="2" xfId="0" applyFont="1" applyFill="1" applyBorder="1"/>
    <xf numFmtId="0" fontId="0" fillId="0" borderId="3" xfId="0" applyBorder="1"/>
    <xf numFmtId="0" fontId="0" fillId="0" borderId="7" xfId="0" applyBorder="1"/>
    <xf numFmtId="178" fontId="0" fillId="0" borderId="0" xfId="0" applyNumberFormat="1"/>
    <xf numFmtId="0" fontId="5" fillId="2" borderId="0" xfId="0" applyFont="1" applyFill="1"/>
    <xf numFmtId="0" fontId="0" fillId="0" borderId="0" xfId="0" applyBorder="1"/>
    <xf numFmtId="178" fontId="0" fillId="0" borderId="0" xfId="0" applyNumberFormat="1" applyBorder="1"/>
    <xf numFmtId="0" fontId="0" fillId="0" borderId="11" xfId="0" applyBorder="1"/>
    <xf numFmtId="0" fontId="0" fillId="0" borderId="4" xfId="0" applyBorder="1"/>
    <xf numFmtId="0" fontId="0" fillId="0" borderId="5" xfId="0" applyBorder="1"/>
    <xf numFmtId="178" fontId="0" fillId="0" borderId="5" xfId="0" applyNumberFormat="1" applyBorder="1"/>
    <xf numFmtId="0" fontId="5" fillId="2" borderId="5" xfId="0" applyFont="1" applyFill="1" applyBorder="1"/>
    <xf numFmtId="0" fontId="0" fillId="0" borderId="6" xfId="0" applyBorder="1"/>
    <xf numFmtId="0" fontId="6" fillId="3" borderId="0" xfId="0" applyFont="1" applyFill="1"/>
    <xf numFmtId="0" fontId="7" fillId="3" borderId="0" xfId="0" applyFont="1" applyFill="1" applyAlignment="1">
      <alignment horizontal="left" vertical="center"/>
    </xf>
    <xf numFmtId="0" fontId="0" fillId="3" borderId="13" xfId="0" applyFill="1" applyBorder="1"/>
    <xf numFmtId="0" fontId="0" fillId="3" borderId="0" xfId="0" applyFill="1"/>
    <xf numFmtId="0" fontId="8" fillId="3" borderId="14" xfId="0" applyFont="1" applyFill="1" applyBorder="1" applyAlignment="1">
      <alignment wrapText="1"/>
    </xf>
    <xf numFmtId="0" fontId="8" fillId="3" borderId="15" xfId="0" applyFont="1" applyFill="1" applyBorder="1" applyAlignment="1">
      <alignment wrapText="1"/>
    </xf>
    <xf numFmtId="179" fontId="0" fillId="3" borderId="16" xfId="0" applyNumberFormat="1" applyFill="1" applyBorder="1" applyAlignment="1">
      <alignment horizontal="center"/>
    </xf>
    <xf numFmtId="179" fontId="0" fillId="3" borderId="17" xfId="0" applyNumberFormat="1" applyFill="1" applyBorder="1" applyAlignment="1">
      <alignment horizontal="center"/>
    </xf>
    <xf numFmtId="179" fontId="0" fillId="3" borderId="18" xfId="0" applyNumberFormat="1" applyFill="1" applyBorder="1" applyAlignment="1">
      <alignment horizontal="center"/>
    </xf>
    <xf numFmtId="0" fontId="0" fillId="3" borderId="19" xfId="0" applyFill="1" applyBorder="1"/>
    <xf numFmtId="179" fontId="0" fillId="3" borderId="20" xfId="0" applyNumberFormat="1" applyFill="1" applyBorder="1"/>
    <xf numFmtId="179" fontId="0" fillId="3" borderId="21" xfId="0" applyNumberFormat="1" applyFill="1" applyBorder="1"/>
    <xf numFmtId="0" fontId="0" fillId="3" borderId="22" xfId="0" applyFill="1" applyBorder="1"/>
    <xf numFmtId="0" fontId="0" fillId="3" borderId="20" xfId="0" applyFill="1" applyBorder="1" applyAlignment="1">
      <alignment horizontal="center"/>
    </xf>
    <xf numFmtId="0" fontId="0" fillId="3" borderId="21" xfId="0" applyFill="1" applyBorder="1" applyAlignment="1">
      <alignment horizontal="center"/>
    </xf>
    <xf numFmtId="0" fontId="0" fillId="3" borderId="0" xfId="0" applyFill="1" applyAlignment="1">
      <alignment horizontal="center"/>
    </xf>
    <xf numFmtId="0" fontId="8" fillId="3" borderId="14" xfId="0" applyFont="1" applyFill="1" applyBorder="1" applyAlignment="1">
      <alignment horizontal="center" vertical="center" wrapText="1"/>
    </xf>
    <xf numFmtId="0" fontId="8" fillId="3" borderId="15" xfId="0" applyFont="1" applyFill="1" applyBorder="1" applyAlignment="1">
      <alignment horizontal="center" vertical="center" wrapText="1"/>
    </xf>
    <xf numFmtId="0" fontId="8" fillId="3" borderId="23" xfId="0" applyFont="1" applyFill="1" applyBorder="1" applyAlignment="1">
      <alignment horizontal="center" vertical="center" wrapText="1"/>
    </xf>
    <xf numFmtId="0" fontId="0" fillId="0" borderId="23" xfId="0" applyBorder="1"/>
    <xf numFmtId="179" fontId="0" fillId="3" borderId="0" xfId="0" applyNumberFormat="1" applyFill="1" applyAlignment="1">
      <alignment horizontal="center"/>
    </xf>
    <xf numFmtId="179" fontId="0" fillId="3" borderId="24" xfId="0" applyNumberFormat="1" applyFill="1" applyBorder="1"/>
    <xf numFmtId="0" fontId="0" fillId="3" borderId="25" xfId="0" applyFill="1" applyBorder="1"/>
    <xf numFmtId="0" fontId="0" fillId="3" borderId="26" xfId="0" applyFill="1" applyBorder="1" applyAlignment="1">
      <alignment horizontal="center"/>
    </xf>
    <xf numFmtId="0" fontId="0" fillId="3" borderId="27" xfId="0" applyFill="1" applyBorder="1" applyAlignment="1">
      <alignment horizontal="center"/>
    </xf>
    <xf numFmtId="0" fontId="0" fillId="3" borderId="8" xfId="0" applyFill="1" applyBorder="1"/>
    <xf numFmtId="0" fontId="0" fillId="3" borderId="9" xfId="0" applyFill="1" applyBorder="1" applyAlignment="1">
      <alignment horizontal="center"/>
    </xf>
    <xf numFmtId="0" fontId="0" fillId="3" borderId="10" xfId="0" applyFill="1" applyBorder="1"/>
    <xf numFmtId="0" fontId="0" fillId="3" borderId="5" xfId="0" applyFill="1" applyBorder="1"/>
    <xf numFmtId="0" fontId="0" fillId="3" borderId="5" xfId="0" applyFill="1" applyBorder="1" applyAlignment="1">
      <alignment horizontal="center"/>
    </xf>
    <xf numFmtId="0" fontId="0" fillId="3" borderId="0" xfId="0" applyFill="1" applyAlignment="1">
      <alignment horizontal="center" vertical="center"/>
    </xf>
    <xf numFmtId="0" fontId="0" fillId="3" borderId="28" xfId="0" applyFill="1" applyBorder="1"/>
    <xf numFmtId="179" fontId="0" fillId="3" borderId="26" xfId="0" applyNumberFormat="1" applyFill="1" applyBorder="1"/>
    <xf numFmtId="0" fontId="0" fillId="3" borderId="1" xfId="0" applyFill="1" applyBorder="1"/>
    <xf numFmtId="0" fontId="0" fillId="3" borderId="2" xfId="0" applyFill="1" applyBorder="1" applyAlignment="1">
      <alignment horizontal="center"/>
    </xf>
    <xf numFmtId="0" fontId="0" fillId="3" borderId="3" xfId="0" applyFill="1" applyBorder="1" applyAlignment="1">
      <alignment horizontal="center"/>
    </xf>
    <xf numFmtId="0" fontId="0" fillId="3" borderId="4" xfId="0" applyFill="1" applyBorder="1"/>
    <xf numFmtId="0" fontId="0" fillId="3" borderId="6" xfId="0" applyFill="1" applyBorder="1"/>
    <xf numFmtId="179" fontId="0" fillId="3" borderId="0" xfId="0" applyNumberFormat="1" applyFill="1"/>
    <xf numFmtId="0" fontId="0" fillId="3" borderId="26" xfId="0" applyNumberFormat="1" applyFill="1" applyBorder="1"/>
    <xf numFmtId="0" fontId="8" fillId="3" borderId="0" xfId="0" applyFont="1" applyFill="1" applyAlignment="1">
      <alignment horizontal="center" vertical="center" wrapText="1"/>
    </xf>
    <xf numFmtId="0" fontId="2" fillId="0" borderId="4" xfId="0" applyFont="1" applyBorder="1"/>
    <xf numFmtId="0" fontId="2" fillId="0" borderId="5" xfId="0" applyFont="1" applyBorder="1"/>
    <xf numFmtId="0" fontId="2" fillId="0" borderId="6" xfId="0" applyFont="1" applyBorder="1"/>
    <xf numFmtId="178" fontId="0" fillId="0" borderId="3" xfId="0" applyNumberFormat="1" applyBorder="1"/>
    <xf numFmtId="0" fontId="9" fillId="0" borderId="1" xfId="0" applyFont="1"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4" borderId="11" xfId="0" applyFill="1" applyBorder="1" applyAlignment="1">
      <alignment horizontal="center" vertical="center"/>
    </xf>
    <xf numFmtId="0" fontId="0" fillId="4" borderId="6" xfId="0" applyFill="1" applyBorder="1" applyAlignment="1">
      <alignment horizontal="center" vertical="center"/>
    </xf>
    <xf numFmtId="0" fontId="0" fillId="0" borderId="5" xfId="0" applyBorder="1" applyAlignment="1">
      <alignment horizontal="center"/>
    </xf>
    <xf numFmtId="0" fontId="0" fillId="0" borderId="6" xfId="0" applyBorder="1" applyAlignment="1">
      <alignment horizont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8" xfId="0" applyBorder="1"/>
    <xf numFmtId="0" fontId="0" fillId="0" borderId="29" xfId="0" applyBorder="1" applyAlignment="1">
      <alignment horizontal="center" vertical="center"/>
    </xf>
    <xf numFmtId="0" fontId="0" fillId="0" borderId="30" xfId="0" applyBorder="1" applyAlignment="1">
      <alignment horizontal="center" vertical="center"/>
    </xf>
    <xf numFmtId="10" fontId="0" fillId="0" borderId="30" xfId="0" applyNumberFormat="1"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10" fontId="0" fillId="0" borderId="0" xfId="0" applyNumberFormat="1" applyAlignment="1">
      <alignment horizontal="center" vertical="center"/>
    </xf>
    <xf numFmtId="10" fontId="0" fillId="0" borderId="32" xfId="0" applyNumberFormat="1" applyBorder="1" applyAlignment="1">
      <alignment horizontal="center" vertical="center"/>
    </xf>
    <xf numFmtId="0" fontId="0" fillId="0" borderId="34" xfId="0" applyBorder="1" applyAlignment="1">
      <alignment horizontal="center" vertical="center"/>
    </xf>
    <xf numFmtId="0" fontId="0" fillId="0" borderId="11" xfId="0" applyBorder="1" applyAlignment="1">
      <alignment horizontal="center" vertical="center"/>
    </xf>
    <xf numFmtId="0" fontId="0" fillId="0" borderId="35" xfId="0" applyBorder="1" applyAlignment="1">
      <alignment horizontal="center" vertical="center"/>
    </xf>
    <xf numFmtId="10" fontId="0" fillId="0" borderId="33" xfId="0" applyNumberFormat="1" applyBorder="1" applyAlignment="1">
      <alignment horizontal="center" vertical="center"/>
    </xf>
    <xf numFmtId="0" fontId="0" fillId="0" borderId="36" xfId="0" applyBorder="1" applyAlignment="1">
      <alignment horizontal="center" vertical="center"/>
    </xf>
    <xf numFmtId="0" fontId="0" fillId="0" borderId="37" xfId="0" applyBorder="1" applyAlignment="1">
      <alignment horizontal="center" vertical="center"/>
    </xf>
    <xf numFmtId="0" fontId="0" fillId="0" borderId="38" xfId="0" applyBorder="1" applyAlignment="1">
      <alignment horizontal="center" vertical="center"/>
    </xf>
    <xf numFmtId="10" fontId="0" fillId="0" borderId="5" xfId="0" applyNumberFormat="1" applyBorder="1" applyAlignment="1">
      <alignment horizontal="center" vertical="center"/>
    </xf>
    <xf numFmtId="0" fontId="0" fillId="0" borderId="39" xfId="0" applyBorder="1" applyAlignment="1">
      <alignment horizontal="center" vertical="center"/>
    </xf>
    <xf numFmtId="0" fontId="0" fillId="0" borderId="40" xfId="0" applyBorder="1" applyAlignment="1">
      <alignment horizontal="center" vertical="center"/>
    </xf>
    <xf numFmtId="0" fontId="10" fillId="0" borderId="2" xfId="0" applyFont="1" applyBorder="1" applyAlignment="1">
      <alignment horizontal="right" vertical="center"/>
    </xf>
    <xf numFmtId="0" fontId="2" fillId="0" borderId="0" xfId="0" applyFont="1" applyAlignment="1">
      <alignment horizontal="left" vertical="top"/>
    </xf>
    <xf numFmtId="0" fontId="0" fillId="0" borderId="0" xfId="0" applyAlignment="1">
      <alignment horizontal="center"/>
    </xf>
    <xf numFmtId="0" fontId="11" fillId="0" borderId="0" xfId="0" applyFont="1" applyAlignment="1">
      <alignment horizontal="center"/>
    </xf>
    <xf numFmtId="0" fontId="0" fillId="0" borderId="23" xfId="0" applyBorder="1" applyAlignment="1">
      <alignment horizontal="center" vertical="center"/>
    </xf>
    <xf numFmtId="180" fontId="0" fillId="0" borderId="9" xfId="0" applyNumberFormat="1" applyBorder="1" applyAlignment="1">
      <alignment horizontal="center" vertical="center"/>
    </xf>
    <xf numFmtId="180" fontId="0" fillId="0" borderId="10" xfId="0" applyNumberFormat="1" applyBorder="1" applyAlignment="1">
      <alignment horizontal="center" vertical="center" wrapText="1"/>
    </xf>
    <xf numFmtId="178" fontId="0" fillId="0" borderId="3" xfId="0" applyNumberFormat="1" applyBorder="1" applyAlignment="1">
      <alignment horizontal="center" vertical="center"/>
    </xf>
    <xf numFmtId="58" fontId="0" fillId="0" borderId="41" xfId="0" applyNumberFormat="1" applyBorder="1" applyAlignment="1">
      <alignment horizontal="center" vertical="center"/>
    </xf>
    <xf numFmtId="178" fontId="0" fillId="0" borderId="11" xfId="0" applyNumberFormat="1" applyBorder="1" applyAlignment="1">
      <alignment horizontal="center" vertical="center"/>
    </xf>
    <xf numFmtId="58" fontId="0" fillId="0" borderId="42" xfId="0" applyNumberFormat="1" applyBorder="1" applyAlignment="1">
      <alignment horizontal="center" vertical="center"/>
    </xf>
    <xf numFmtId="0" fontId="11" fillId="0" borderId="0" xfId="0" applyFont="1" applyAlignment="1">
      <alignment horizontal="left" vertical="top"/>
    </xf>
    <xf numFmtId="181" fontId="0" fillId="0" borderId="0" xfId="0" applyNumberFormat="1" applyAlignment="1">
      <alignment horizontal="center" vertical="center"/>
    </xf>
    <xf numFmtId="58" fontId="0" fillId="0" borderId="0" xfId="0" applyNumberFormat="1" applyAlignment="1">
      <alignment horizontal="center" vertical="center"/>
    </xf>
    <xf numFmtId="10" fontId="12" fillId="0" borderId="0" xfId="0" applyNumberFormat="1" applyFont="1" applyAlignment="1">
      <alignment shrinkToFit="1"/>
    </xf>
    <xf numFmtId="180" fontId="0" fillId="0" borderId="0" xfId="0" applyNumberFormat="1"/>
    <xf numFmtId="0" fontId="13" fillId="0" borderId="0" xfId="0" applyFont="1" applyAlignment="1">
      <alignment horizontal="center" vertical="center"/>
    </xf>
    <xf numFmtId="0" fontId="14" fillId="0" borderId="0" xfId="0" applyFont="1"/>
    <xf numFmtId="0" fontId="0" fillId="0" borderId="0" xfId="0" applyAlignment="1">
      <alignment horizontal="left" vertical="top"/>
    </xf>
    <xf numFmtId="0" fontId="15" fillId="0" borderId="0" xfId="0" applyFont="1" applyAlignment="1">
      <alignment horizontal="center"/>
    </xf>
    <xf numFmtId="0" fontId="15" fillId="0" borderId="0" xfId="0" applyFont="1" applyAlignment="1">
      <alignment horizontal="left"/>
    </xf>
    <xf numFmtId="0" fontId="0" fillId="0" borderId="0" xfId="0" applyAlignment="1">
      <alignment horizontal="left"/>
    </xf>
    <xf numFmtId="0" fontId="15" fillId="0" borderId="0" xfId="0" applyFont="1" applyAlignment="1">
      <alignment horizontal="left" vertical="top"/>
    </xf>
    <xf numFmtId="0" fontId="0" fillId="0" borderId="0" xfId="0" applyAlignment="1">
      <alignment horizontal="center" vertical="top"/>
    </xf>
    <xf numFmtId="0" fontId="15" fillId="0" borderId="0" xfId="0" applyFont="1"/>
    <xf numFmtId="0" fontId="16" fillId="0" borderId="0" xfId="0" applyFont="1"/>
    <xf numFmtId="0" fontId="17" fillId="0" borderId="0" xfId="0" applyFont="1"/>
  </cellXfs>
  <cellStyles count="49">
    <cellStyle name="Normal" xfId="0" builtinId="0"/>
    <cellStyle name="Virgule" xfId="1" builtinId="3"/>
    <cellStyle name="Monétaire" xfId="2" builtinId="4"/>
    <cellStyle name="Pourcentage" xfId="3" builtinId="5"/>
    <cellStyle name="Milliers [0]" xfId="4" builtinId="6"/>
    <cellStyle name="Monétaire [0]" xfId="5" builtinId="7"/>
    <cellStyle name="Lien hypertexte" xfId="6" builtinId="8"/>
    <cellStyle name="Lien hypertexte visité" xfId="7" builtinId="9"/>
    <cellStyle name="Note" xfId="8" builtinId="10"/>
    <cellStyle name="Avertissement" xfId="9" builtinId="11"/>
    <cellStyle name="Titre" xfId="10" builtinId="15"/>
    <cellStyle name="CTexte explicatif" xfId="11" builtinId="53"/>
    <cellStyle name="Titre 1" xfId="12" builtinId="16"/>
    <cellStyle name="Titre 2" xfId="13" builtinId="17"/>
    <cellStyle name="Titre 3" xfId="14" builtinId="18"/>
    <cellStyle name="Titre 4" xfId="15" builtinId="19"/>
    <cellStyle name="Entrée" xfId="16" builtinId="20"/>
    <cellStyle name="Sortie" xfId="17" builtinId="21"/>
    <cellStyle name="Calcul" xfId="18" builtinId="22"/>
    <cellStyle name="Vérification de cellule" xfId="19" builtinId="23"/>
    <cellStyle name="Cellule liée" xfId="20" builtinId="24"/>
    <cellStyle name="Total" xfId="21" builtinId="25"/>
    <cellStyle name="Satisfaisant" xfId="22" builtinId="26"/>
    <cellStyle name="Insatisfaisant" xfId="23" builtinId="27"/>
    <cellStyle name="Neutre" xfId="24" builtinId="28"/>
    <cellStyle name="Accent1" xfId="25" builtinId="29"/>
    <cellStyle name="20 % - Accent1" xfId="26" builtinId="30"/>
    <cellStyle name="40 % - Accent1" xfId="27" builtinId="31"/>
    <cellStyle name="60 % - Accent1" xfId="28" builtinId="32"/>
    <cellStyle name="Accent2" xfId="29" builtinId="33"/>
    <cellStyle name="20 % - Accent2" xfId="30" builtinId="34"/>
    <cellStyle name="40 % - Accent2" xfId="31" builtinId="35"/>
    <cellStyle name="60 % - Accent2" xfId="32" builtinId="36"/>
    <cellStyle name="Accent3" xfId="33" builtinId="37"/>
    <cellStyle name="20 % - Accent3" xfId="34" builtinId="38"/>
    <cellStyle name="40 % - Accent3" xfId="35" builtinId="39"/>
    <cellStyle name="60 % - Accent3" xfId="36" builtinId="40"/>
    <cellStyle name="Accent4" xfId="37" builtinId="41"/>
    <cellStyle name="20 % - Accent4" xfId="38" builtinId="42"/>
    <cellStyle name="40 % - Accent4" xfId="39" builtinId="43"/>
    <cellStyle name="60 % - Accent4" xfId="40" builtinId="44"/>
    <cellStyle name="Accent5" xfId="41" builtinId="45"/>
    <cellStyle name="20 % - Accent5" xfId="42" builtinId="46"/>
    <cellStyle name="40 % - Accent5" xfId="43" builtinId="47"/>
    <cellStyle name="60 % - Accent5" xfId="44" builtinId="48"/>
    <cellStyle name="Accent6" xfId="45" builtinId="49"/>
    <cellStyle name="20 % - Accent6" xfId="46" builtinId="50"/>
    <cellStyle name="40 % - Accent6" xfId="47" builtinId="51"/>
    <cellStyle name="60 % - Accent6" xfId="48" builtinId="52"/>
  </cellStyles>
  <dxfs count="8">
    <dxf>
      <alignment horizontal="center" vertical="center"/>
      <border>
        <left style="thin">
          <color auto="1"/>
        </left>
        <right/>
        <top/>
        <bottom/>
      </border>
    </dxf>
    <dxf>
      <alignment horizontal="center" vertical="center"/>
    </dxf>
    <dxf>
      <alignment horizontal="center" vertical="center"/>
    </dxf>
    <dxf>
      <alignment horizontal="center" vertical="center"/>
    </dxf>
    <dxf>
      <alignment horizontal="center" vertical="center"/>
    </dxf>
    <dxf>
      <numFmt numFmtId="178" formatCode="d/m/yy\ h:mm;@"/>
      <alignment horizontal="center" vertical="center"/>
      <border>
        <left/>
        <right style="thin">
          <color auto="1"/>
        </right>
        <top/>
        <bottom/>
      </border>
    </dxf>
    <dxf>
      <border>
        <left style="thin">
          <color auto="1"/>
        </left>
        <right/>
        <top/>
        <bottom/>
      </border>
    </dxf>
    <dxf>
      <border>
        <left/>
        <right style="thin">
          <color auto="1"/>
        </right>
        <top/>
        <bottom/>
      </border>
    </dxf>
  </dxfs>
  <tableStyles count="0" defaultTableStyle="TableStyleMedium2" defaultPivotStyle="PivotStyleLight16"/>
  <colors>
    <mruColors>
      <color rgb="00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microsoft.com/office/2006/relationships/vbaProject" Target="vbaProject.bin"/><Relationship Id="rId8" Type="http://schemas.openxmlformats.org/officeDocument/2006/relationships/sharedStrings" Target="sharedStrings.xml"/><Relationship Id="rId7" Type="http://schemas.openxmlformats.org/officeDocument/2006/relationships/theme" Target="theme/theme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1" Type="http://schemas.openxmlformats.org/officeDocument/2006/relationships/customXml" Target="../customXml/item1.xml"/><Relationship Id="rId10" Type="http://schemas.openxmlformats.org/officeDocument/2006/relationships/styles" Target="styles.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60-EC42-11CE-9E0D-00AA006002F3}" r:id="rId1" ax:persistence="persistStreamInit"/>
</file>

<file path=xl/activeX/activeX2.xml><?xml version="1.0" encoding="utf-8"?>
<ax:ocx xmlns:ax="http://schemas.microsoft.com/office/2006/activeX" xmlns:r="http://schemas.openxmlformats.org/officeDocument/2006/relationships" ax:classid="{D7053240-CE69-11CD-A777-00DD01143C57}" r:id="rId1" ax:persistence="persistStreamInit"/>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lang="fr-FR" sz="1400" b="0" i="0" u="none" strike="noStrike" kern="1200" spc="0" baseline="0">
              <a:solidFill>
                <a:schemeClr val="tx1">
                  <a:lumMod val="65000"/>
                  <a:lumOff val="35000"/>
                </a:schemeClr>
              </a:solidFill>
              <a:latin typeface="+mn-lt"/>
              <a:ea typeface="+mn-ea"/>
              <a:cs typeface="+mn-cs"/>
            </a:defRPr>
          </a:pPr>
        </a:p>
      </c:txPr>
    </c:title>
    <c:autoTitleDeleted val="0"/>
    <c:plotArea>
      <c:layout/>
      <c:lineChart>
        <c:grouping val="standard"/>
        <c:varyColors val="0"/>
        <c:ser>
          <c:idx val="0"/>
          <c:order val="0"/>
          <c:tx>
            <c:strRef>
              <c:f>'APE und OEE'!$B$7:$D$7</c:f>
              <c:strCache>
                <c:ptCount val="1"/>
                <c:pt idx="0">
                  <c:v>1 A01 Motor Typ 1</c:v>
                </c:pt>
              </c:strCache>
            </c:strRef>
          </c:tx>
          <c:spPr>
            <a:ln w="28575" cap="rnd">
              <a:solidFill>
                <a:schemeClr val="accent1"/>
              </a:solidFill>
              <a:round/>
            </a:ln>
            <a:effectLst/>
          </c:spPr>
          <c:marker>
            <c:symbol val="none"/>
          </c:marker>
          <c:dLbls>
            <c:delete val="1"/>
          </c:dLbls>
          <c:val>
            <c:numRef>
              <c:f>'APE und OEE'!$E$7:$N$7</c:f>
              <c:numCache>
                <c:formatCode>0.00%</c:formatCode>
                <c:ptCount val="10"/>
                <c:pt idx="0">
                  <c:v>0.65</c:v>
                </c:pt>
                <c:pt idx="1">
                  <c:v>0.66</c:v>
                </c:pt>
                <c:pt idx="2">
                  <c:v>0.93</c:v>
                </c:pt>
                <c:pt idx="3">
                  <c:v>0.85</c:v>
                </c:pt>
                <c:pt idx="4">
                  <c:v>0.63</c:v>
                </c:pt>
                <c:pt idx="5">
                  <c:v>0.53</c:v>
                </c:pt>
                <c:pt idx="6">
                  <c:v>0.45</c:v>
                </c:pt>
                <c:pt idx="7">
                  <c:v>0.89</c:v>
                </c:pt>
                <c:pt idx="8">
                  <c:v>0.78</c:v>
                </c:pt>
                <c:pt idx="9">
                  <c:v>0.82</c:v>
                </c:pt>
              </c:numCache>
            </c:numRef>
          </c:val>
          <c:smooth val="0"/>
        </c:ser>
        <c:ser>
          <c:idx val="1"/>
          <c:order val="1"/>
          <c:tx>
            <c:strRef>
              <c:f>'APE und OEE'!$B$8:$D$8</c:f>
              <c:strCache>
                <c:ptCount val="1"/>
                <c:pt idx="0">
                  <c:v>2 A02 Motor Typ 2</c:v>
                </c:pt>
              </c:strCache>
            </c:strRef>
          </c:tx>
          <c:spPr>
            <a:ln w="28575" cap="rnd">
              <a:solidFill>
                <a:schemeClr val="accent2"/>
              </a:solidFill>
              <a:round/>
            </a:ln>
            <a:effectLst/>
          </c:spPr>
          <c:marker>
            <c:symbol val="none"/>
          </c:marker>
          <c:dLbls>
            <c:delete val="1"/>
          </c:dLbls>
          <c:val>
            <c:numRef>
              <c:f>'APE und OEE'!$E$8:$N$8</c:f>
              <c:numCache>
                <c:formatCode>0.00%</c:formatCode>
                <c:ptCount val="10"/>
                <c:pt idx="0">
                  <c:v>0.84</c:v>
                </c:pt>
                <c:pt idx="1">
                  <c:v>0.52</c:v>
                </c:pt>
                <c:pt idx="2">
                  <c:v>0.63</c:v>
                </c:pt>
                <c:pt idx="3">
                  <c:v>0.23</c:v>
                </c:pt>
                <c:pt idx="4">
                  <c:v>0.85</c:v>
                </c:pt>
                <c:pt idx="5">
                  <c:v>0.74</c:v>
                </c:pt>
                <c:pt idx="6">
                  <c:v>0.68</c:v>
                </c:pt>
                <c:pt idx="7">
                  <c:v>0.96</c:v>
                </c:pt>
                <c:pt idx="8">
                  <c:v>0.87</c:v>
                </c:pt>
                <c:pt idx="9">
                  <c:v>0.65</c:v>
                </c:pt>
              </c:numCache>
            </c:numRef>
          </c:val>
          <c:smooth val="0"/>
        </c:ser>
        <c:ser>
          <c:idx val="2"/>
          <c:order val="2"/>
          <c:tx>
            <c:strRef>
              <c:f>'APE und OEE'!$B$9:$D$9</c:f>
              <c:strCache>
                <c:ptCount val="1"/>
                <c:pt idx="0">
                  <c:v>3 A03 Motor Typ 3</c:v>
                </c:pt>
              </c:strCache>
            </c:strRef>
          </c:tx>
          <c:spPr>
            <a:ln w="28575" cap="rnd">
              <a:solidFill>
                <a:schemeClr val="accent3"/>
              </a:solidFill>
              <a:round/>
            </a:ln>
            <a:effectLst/>
          </c:spPr>
          <c:marker>
            <c:symbol val="none"/>
          </c:marker>
          <c:dLbls>
            <c:delete val="1"/>
          </c:dLbls>
          <c:val>
            <c:numRef>
              <c:f>'APE und OEE'!$E$9:$N$9</c:f>
              <c:numCache>
                <c:formatCode>0.00%</c:formatCode>
                <c:ptCount val="10"/>
                <c:pt idx="0">
                  <c:v>0.9</c:v>
                </c:pt>
                <c:pt idx="1">
                  <c:v>0.96</c:v>
                </c:pt>
                <c:pt idx="2">
                  <c:v>0.85</c:v>
                </c:pt>
                <c:pt idx="3">
                  <c:v>0.096</c:v>
                </c:pt>
                <c:pt idx="4">
                  <c:v>0.85</c:v>
                </c:pt>
                <c:pt idx="5">
                  <c:v>0.74</c:v>
                </c:pt>
                <c:pt idx="6">
                  <c:v>0.72</c:v>
                </c:pt>
                <c:pt idx="7">
                  <c:v>0.93</c:v>
                </c:pt>
                <c:pt idx="8">
                  <c:v>0.85</c:v>
                </c:pt>
                <c:pt idx="9">
                  <c:v>0.75</c:v>
                </c:pt>
              </c:numCache>
            </c:numRef>
          </c:val>
          <c:smooth val="0"/>
        </c:ser>
        <c:ser>
          <c:idx val="3"/>
          <c:order val="3"/>
          <c:tx>
            <c:strRef>
              <c:f>'APE und OEE'!$B$10:$D$10</c:f>
              <c:strCache>
                <c:ptCount val="1"/>
                <c:pt idx="0">
                  <c:v>4 A04 Motor Typ 4</c:v>
                </c:pt>
              </c:strCache>
            </c:strRef>
          </c:tx>
          <c:spPr>
            <a:ln w="28575" cap="rnd">
              <a:solidFill>
                <a:schemeClr val="accent4"/>
              </a:solidFill>
              <a:round/>
            </a:ln>
            <a:effectLst/>
          </c:spPr>
          <c:marker>
            <c:symbol val="none"/>
          </c:marker>
          <c:dLbls>
            <c:delete val="1"/>
          </c:dLbls>
          <c:val>
            <c:numRef>
              <c:f>'APE und OEE'!$E$10:$N$10</c:f>
              <c:numCache>
                <c:formatCode>0.00%</c:formatCode>
                <c:ptCount val="10"/>
                <c:pt idx="0">
                  <c:v>0.85</c:v>
                </c:pt>
                <c:pt idx="1">
                  <c:v>0.36</c:v>
                </c:pt>
                <c:pt idx="2">
                  <c:v>0.85</c:v>
                </c:pt>
                <c:pt idx="3">
                  <c:v>0.63</c:v>
                </c:pt>
                <c:pt idx="4">
                  <c:v>0.74</c:v>
                </c:pt>
                <c:pt idx="5">
                  <c:v>0.73</c:v>
                </c:pt>
                <c:pt idx="6">
                  <c:v>0.86</c:v>
                </c:pt>
                <c:pt idx="7">
                  <c:v>0.68</c:v>
                </c:pt>
                <c:pt idx="8">
                  <c:v>0.72</c:v>
                </c:pt>
                <c:pt idx="9">
                  <c:v>0.74</c:v>
                </c:pt>
              </c:numCache>
            </c:numRef>
          </c:val>
          <c:smooth val="0"/>
        </c:ser>
        <c:ser>
          <c:idx val="4"/>
          <c:order val="4"/>
          <c:tx>
            <c:strRef>
              <c:f>'APE und OEE'!$B$11:$D$11</c:f>
              <c:strCache>
                <c:ptCount val="1"/>
                <c:pt idx="0">
                  <c:v>5 A05 Motor Typ 5</c:v>
                </c:pt>
              </c:strCache>
            </c:strRef>
          </c:tx>
          <c:spPr>
            <a:ln w="28575" cap="rnd">
              <a:solidFill>
                <a:schemeClr val="accent5"/>
              </a:solidFill>
              <a:round/>
            </a:ln>
            <a:effectLst/>
          </c:spPr>
          <c:marker>
            <c:symbol val="none"/>
          </c:marker>
          <c:dLbls>
            <c:delete val="1"/>
          </c:dLbls>
          <c:val>
            <c:numRef>
              <c:f>'APE und OEE'!$E$11:$N$11</c:f>
              <c:numCache>
                <c:formatCode>0.00%</c:formatCode>
                <c:ptCount val="10"/>
                <c:pt idx="0">
                  <c:v>0.84</c:v>
                </c:pt>
                <c:pt idx="1">
                  <c:v>0.75</c:v>
                </c:pt>
                <c:pt idx="2">
                  <c:v>0.69</c:v>
                </c:pt>
                <c:pt idx="3">
                  <c:v>0.85</c:v>
                </c:pt>
                <c:pt idx="4">
                  <c:v>0.96</c:v>
                </c:pt>
                <c:pt idx="5">
                  <c:v>0.75</c:v>
                </c:pt>
                <c:pt idx="6">
                  <c:v>0.85</c:v>
                </c:pt>
                <c:pt idx="7">
                  <c:v>0.41</c:v>
                </c:pt>
                <c:pt idx="8">
                  <c:v>0.68</c:v>
                </c:pt>
                <c:pt idx="9">
                  <c:v>0.95</c:v>
                </c:pt>
              </c:numCache>
            </c:numRef>
          </c:val>
          <c:smooth val="0"/>
        </c:ser>
        <c:dLbls>
          <c:showLegendKey val="0"/>
          <c:showVal val="0"/>
          <c:showCatName val="0"/>
          <c:showSerName val="0"/>
          <c:showPercent val="0"/>
          <c:showBubbleSize val="0"/>
        </c:dLbls>
        <c:marker val="0"/>
        <c:smooth val="0"/>
        <c:axId val="1255156943"/>
        <c:axId val="1255148783"/>
      </c:lineChart>
      <c:catAx>
        <c:axId val="1255156943"/>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fr-FR" sz="900" b="0" i="0" u="none" strike="noStrike" kern="1200" baseline="0">
                <a:solidFill>
                  <a:schemeClr val="tx1">
                    <a:lumMod val="65000"/>
                    <a:lumOff val="35000"/>
                  </a:schemeClr>
                </a:solidFill>
                <a:latin typeface="+mn-lt"/>
                <a:ea typeface="+mn-ea"/>
                <a:cs typeface="+mn-cs"/>
              </a:defRPr>
            </a:pPr>
          </a:p>
        </c:txPr>
        <c:crossAx val="1255148783"/>
        <c:crosses val="autoZero"/>
        <c:auto val="1"/>
        <c:lblAlgn val="ctr"/>
        <c:lblOffset val="100"/>
        <c:noMultiLvlLbl val="0"/>
      </c:catAx>
      <c:valAx>
        <c:axId val="1255148783"/>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fr-FR" sz="900" b="0" i="0" u="none" strike="noStrike" kern="1200" baseline="0">
                <a:solidFill>
                  <a:schemeClr val="tx1">
                    <a:lumMod val="65000"/>
                    <a:lumOff val="35000"/>
                  </a:schemeClr>
                </a:solidFill>
                <a:latin typeface="+mn-lt"/>
                <a:ea typeface="+mn-ea"/>
                <a:cs typeface="+mn-cs"/>
              </a:defRPr>
            </a:pPr>
          </a:p>
        </c:txPr>
        <c:crossAx val="1255156943"/>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lang="fr-FR"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dae112c8-6b9a-4176-89aa-b56aed96cd3e}"/>
      </c:ext>
    </c:extLst>
  </c:chart>
  <c:spPr>
    <a:solidFill>
      <a:schemeClr val="bg1"/>
    </a:solidFill>
    <a:ln w="9525" cap="flat" cmpd="sng" algn="ctr">
      <a:solidFill>
        <a:schemeClr val="tx1">
          <a:lumMod val="15000"/>
          <a:lumOff val="85000"/>
        </a:schemeClr>
      </a:solidFill>
      <a:round/>
    </a:ln>
    <a:effectLst/>
  </c:spPr>
  <c:txPr>
    <a:bodyPr/>
    <a:lstStyle/>
    <a:p>
      <a:pPr>
        <a:defRPr lang="fr-FR"/>
      </a:pP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lang="fr-FR" sz="1400" b="0" i="0" u="none" strike="noStrike" kern="1200" spc="0" baseline="0">
              <a:solidFill>
                <a:schemeClr val="tx1">
                  <a:lumMod val="65000"/>
                  <a:lumOff val="35000"/>
                </a:schemeClr>
              </a:solidFill>
              <a:latin typeface="+mn-lt"/>
              <a:ea typeface="+mn-ea"/>
              <a:cs typeface="+mn-cs"/>
            </a:defRPr>
          </a:pPr>
        </a:p>
      </c:txPr>
    </c:title>
    <c:autoTitleDeleted val="0"/>
    <c:plotArea>
      <c:layout/>
      <c:barChart>
        <c:barDir val="col"/>
        <c:grouping val="clustered"/>
        <c:varyColors val="0"/>
        <c:ser>
          <c:idx val="0"/>
          <c:order val="0"/>
          <c:tx>
            <c:strRef>
              <c:f>'Prozesszeit '!$D$5</c:f>
              <c:strCache>
                <c:ptCount val="1"/>
                <c:pt idx="0">
                  <c:v>Prozesszeit [min]</c:v>
                </c:pt>
              </c:strCache>
            </c:strRef>
          </c:tx>
          <c:spPr>
            <a:solidFill>
              <a:schemeClr val="accent1"/>
            </a:solidFill>
            <a:ln>
              <a:noFill/>
            </a:ln>
            <a:effectLst/>
          </c:spPr>
          <c:invertIfNegative val="0"/>
          <c:dLbls>
            <c:delete val="1"/>
          </c:dLbls>
          <c:cat>
            <c:numRef>
              <c:f>'Prozesszeit '!$B$6:$B$15</c:f>
              <c:numCache>
                <c:formatCode>General</c:formatCode>
                <c:ptCount val="10"/>
                <c:pt idx="0">
                  <c:v>402570130</c:v>
                </c:pt>
                <c:pt idx="1">
                  <c:v>443014920</c:v>
                </c:pt>
                <c:pt idx="2">
                  <c:v>453201483</c:v>
                </c:pt>
                <c:pt idx="3">
                  <c:v>520310473</c:v>
                </c:pt>
                <c:pt idx="4">
                  <c:v>536325201</c:v>
                </c:pt>
                <c:pt idx="5">
                  <c:v>545263102</c:v>
                </c:pt>
                <c:pt idx="6">
                  <c:v>635241018</c:v>
                </c:pt>
                <c:pt idx="7">
                  <c:v>675230220</c:v>
                </c:pt>
                <c:pt idx="8">
                  <c:v>698251201</c:v>
                </c:pt>
                <c:pt idx="9">
                  <c:v>715240360</c:v>
                </c:pt>
              </c:numCache>
            </c:numRef>
          </c:cat>
          <c:val>
            <c:numRef>
              <c:f>'Prozesszeit '!$D$6:$D$15</c:f>
              <c:numCache>
                <c:formatCode>General</c:formatCode>
                <c:ptCount val="10"/>
                <c:pt idx="0">
                  <c:v>0.605</c:v>
                </c:pt>
                <c:pt idx="1">
                  <c:v>0.62</c:v>
                </c:pt>
                <c:pt idx="2">
                  <c:v>0.65</c:v>
                </c:pt>
                <c:pt idx="3">
                  <c:v>0.625</c:v>
                </c:pt>
                <c:pt idx="4">
                  <c:v>0.655</c:v>
                </c:pt>
                <c:pt idx="5">
                  <c:v>0.695</c:v>
                </c:pt>
                <c:pt idx="6">
                  <c:v>0.63</c:v>
                </c:pt>
                <c:pt idx="7">
                  <c:v>0.625</c:v>
                </c:pt>
                <c:pt idx="8">
                  <c:v>0.635</c:v>
                </c:pt>
                <c:pt idx="9">
                  <c:v>0.675</c:v>
                </c:pt>
              </c:numCache>
            </c:numRef>
          </c:val>
        </c:ser>
        <c:dLbls>
          <c:showLegendKey val="0"/>
          <c:showVal val="0"/>
          <c:showCatName val="0"/>
          <c:showSerName val="0"/>
          <c:showPercent val="0"/>
          <c:showBubbleSize val="0"/>
        </c:dLbls>
        <c:gapWidth val="219"/>
        <c:overlap val="-27"/>
        <c:axId val="797044288"/>
        <c:axId val="797019328"/>
      </c:barChart>
      <c:catAx>
        <c:axId val="797044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fr-FR" sz="900" b="0" i="0" u="none" strike="noStrike" kern="1200" baseline="0">
                <a:solidFill>
                  <a:schemeClr val="tx1">
                    <a:lumMod val="65000"/>
                    <a:lumOff val="35000"/>
                  </a:schemeClr>
                </a:solidFill>
                <a:latin typeface="+mn-lt"/>
                <a:ea typeface="+mn-ea"/>
                <a:cs typeface="+mn-cs"/>
              </a:defRPr>
            </a:pPr>
          </a:p>
        </c:txPr>
        <c:crossAx val="797019328"/>
        <c:crosses val="autoZero"/>
        <c:auto val="1"/>
        <c:lblAlgn val="ctr"/>
        <c:lblOffset val="100"/>
        <c:noMultiLvlLbl val="0"/>
      </c:catAx>
      <c:valAx>
        <c:axId val="797019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fr-FR" sz="900" b="0" i="0" u="none" strike="noStrike" kern="1200" baseline="0">
                <a:solidFill>
                  <a:schemeClr val="tx1">
                    <a:lumMod val="65000"/>
                    <a:lumOff val="35000"/>
                  </a:schemeClr>
                </a:solidFill>
                <a:latin typeface="+mn-lt"/>
                <a:ea typeface="+mn-ea"/>
                <a:cs typeface="+mn-cs"/>
              </a:defRPr>
            </a:pPr>
          </a:p>
        </c:txPr>
        <c:crossAx val="797044288"/>
        <c:crosses val="autoZero"/>
        <c:crossBetween val="between"/>
      </c:valAx>
      <c:spPr>
        <a:noFill/>
        <a:ln>
          <a:noFill/>
        </a:ln>
        <a:effectLst/>
      </c:spPr>
    </c:plotArea>
    <c:plotVisOnly val="1"/>
    <c:dispBlanksAs val="gap"/>
    <c:showDLblsOverMax val="0"/>
    <c:extLst>
      <c:ext uri="{0b15fc19-7d7d-44ad-8c2d-2c3a37ce22c3}">
        <chartProps xmlns="https://web.wps.cn/et/2018/main" chartId="{0ee7084c-3bf2-40af-84e1-9817337720ee}"/>
      </c:ext>
    </c:extLst>
  </c:chart>
  <c:spPr>
    <a:solidFill>
      <a:schemeClr val="bg1"/>
    </a:solidFill>
    <a:ln w="9525" cap="flat" cmpd="sng" algn="ctr">
      <a:solidFill>
        <a:schemeClr val="tx1">
          <a:lumMod val="15000"/>
          <a:lumOff val="85000"/>
        </a:schemeClr>
      </a:solidFill>
      <a:round/>
    </a:ln>
    <a:effectLst/>
  </c:spPr>
  <c:txPr>
    <a:bodyPr/>
    <a:lstStyle/>
    <a:p>
      <a:pPr>
        <a:defRPr lang="fr-FR"/>
      </a:pP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4.wmf"/><Relationship Id="rId1" Type="http://schemas.openxmlformats.org/officeDocument/2006/relationships/image" Target="../media/image3.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3</xdr:col>
      <xdr:colOff>25400</xdr:colOff>
      <xdr:row>6</xdr:row>
      <xdr:rowOff>57150</xdr:rowOff>
    </xdr:from>
    <xdr:to>
      <xdr:col>15</xdr:col>
      <xdr:colOff>1181100</xdr:colOff>
      <xdr:row>8</xdr:row>
      <xdr:rowOff>142875</xdr:rowOff>
    </xdr:to>
    <xdr:sp>
      <xdr:nvSpPr>
        <xdr:cNvPr id="2" name="Textfeld 1"/>
        <xdr:cNvSpPr txBox="1"/>
      </xdr:nvSpPr>
      <xdr:spPr>
        <a:xfrm>
          <a:off x="1873885" y="1200150"/>
          <a:ext cx="9921240"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solidFill>
                <a:schemeClr val="accent1"/>
              </a:solidFill>
            </a:rPr>
            <a:t>Die </a:t>
          </a:r>
          <a:r>
            <a:rPr lang="de-DE" sz="1100">
              <a:solidFill>
                <a:schemeClr val="accent2">
                  <a:lumMod val="75000"/>
                </a:schemeClr>
              </a:solidFill>
            </a:rPr>
            <a:t>orange</a:t>
          </a:r>
          <a:r>
            <a:rPr lang="de-DE" sz="1100">
              <a:solidFill>
                <a:schemeClr val="accent1"/>
              </a:solidFill>
            </a:rPr>
            <a:t> Tabelle entsprechen die  zu erfüllenden Daten. In diesen Tabellen sind die Zellen, wo man die Daten auch in </a:t>
          </a:r>
          <a:r>
            <a:rPr lang="de-DE" sz="1100" b="1">
              <a:solidFill>
                <a:schemeClr val="accent2">
                  <a:lumMod val="75000"/>
                </a:schemeClr>
              </a:solidFill>
            </a:rPr>
            <a:t>orangen </a:t>
          </a:r>
          <a:r>
            <a:rPr lang="de-DE" sz="1100">
              <a:solidFill>
                <a:schemeClr val="accent1"/>
              </a:solidFill>
            </a:rPr>
            <a:t>eintragen muss,  auch in orange markiert. Die</a:t>
          </a:r>
          <a:r>
            <a:rPr lang="de-DE" sz="1100" baseline="0">
              <a:solidFill>
                <a:schemeClr val="accent1"/>
              </a:solidFill>
            </a:rPr>
            <a:t> </a:t>
          </a:r>
          <a:r>
            <a:rPr lang="de-DE" sz="1100" b="1" baseline="0">
              <a:solidFill>
                <a:schemeClr val="bg2">
                  <a:lumMod val="50000"/>
                </a:schemeClr>
              </a:solidFill>
            </a:rPr>
            <a:t>grauen</a:t>
          </a:r>
          <a:r>
            <a:rPr lang="de-DE" sz="1100" baseline="0">
              <a:solidFill>
                <a:schemeClr val="accent1"/>
              </a:solidFill>
            </a:rPr>
            <a:t> Tabellen sind die  Excelkalkulationen, die sich automatisch aktualisieren. Die </a:t>
          </a:r>
          <a:r>
            <a:rPr lang="de-DE" sz="1100" b="1" baseline="0">
              <a:solidFill>
                <a:schemeClr val="accent6">
                  <a:lumMod val="75000"/>
                </a:schemeClr>
              </a:solidFill>
            </a:rPr>
            <a:t>grüne</a:t>
          </a:r>
          <a:r>
            <a:rPr lang="de-DE" sz="1100" baseline="0">
              <a:solidFill>
                <a:schemeClr val="accent1"/>
              </a:solidFill>
            </a:rPr>
            <a:t> Tabellen sind zeigen die Ergenissen, die beispielweise Dashboard sind.</a:t>
          </a:r>
          <a:endParaRPr lang="de-DE" sz="1100">
            <a:solidFill>
              <a:schemeClr val="accent1"/>
            </a:solidFill>
          </a:endParaRPr>
        </a:p>
      </xdr:txBody>
    </xdr:sp>
    <xdr:clientData/>
  </xdr:twoCellAnchor>
  <xdr:twoCellAnchor>
    <xdr:from>
      <xdr:col>2</xdr:col>
      <xdr:colOff>0</xdr:colOff>
      <xdr:row>61</xdr:row>
      <xdr:rowOff>25400</xdr:rowOff>
    </xdr:from>
    <xdr:to>
      <xdr:col>16</xdr:col>
      <xdr:colOff>57150</xdr:colOff>
      <xdr:row>65</xdr:row>
      <xdr:rowOff>95250</xdr:rowOff>
    </xdr:to>
    <xdr:sp>
      <xdr:nvSpPr>
        <xdr:cNvPr id="3" name="Textfeld 2"/>
        <xdr:cNvSpPr txBox="1"/>
      </xdr:nvSpPr>
      <xdr:spPr>
        <a:xfrm>
          <a:off x="1115060" y="11645900"/>
          <a:ext cx="10737215" cy="831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b="0">
              <a:solidFill>
                <a:schemeClr val="accent1"/>
              </a:solidFill>
            </a:rPr>
            <a:t>Klicken Sie auf die  "Kalender einrichten". Die Daten aus dem vorherigen Blatt "CAF" werden geladen. Dieses Blatt stellt die Sequenzierung der Produktion in Form eines Gantt-Diagramms dar.Die blauen Zellen stellen einen</a:t>
          </a:r>
          <a:r>
            <a:rPr lang="de-DE" sz="1100" b="0" baseline="0">
              <a:solidFill>
                <a:schemeClr val="accent1"/>
              </a:solidFill>
            </a:rPr>
            <a:t> </a:t>
          </a:r>
          <a:r>
            <a:rPr lang="de-DE" sz="1100" b="0">
              <a:solidFill>
                <a:schemeClr val="accent1"/>
              </a:solidFill>
            </a:rPr>
            <a:t>Produktionsauftrag dar. Die Zahl zeigt die Stückzahl dieser Bestellung, die in 1 Stunde produziert wurde. Die grauen Zellen weisen auf eine Unterbrechung der Auftragsfertigung hin (Wochenende, Feiertage, Wartungszeit ...). In der Spalte "T" stellen die roten Zellen (falls zutreffend) Bestellungen dar, die nicht rechtzeitig geliefert werden können und daher verspätet sind.</a:t>
          </a:r>
          <a:endParaRPr lang="de-DE" sz="1100" b="0">
            <a:solidFill>
              <a:schemeClr val="accent1"/>
            </a:solidFill>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5</xdr:col>
      <xdr:colOff>152400</xdr:colOff>
      <xdr:row>14</xdr:row>
      <xdr:rowOff>76199</xdr:rowOff>
    </xdr:from>
    <xdr:to>
      <xdr:col>13</xdr:col>
      <xdr:colOff>438149</xdr:colOff>
      <xdr:row>32</xdr:row>
      <xdr:rowOff>104774</xdr:rowOff>
    </xdr:to>
    <xdr:graphicFrame>
      <xdr:nvGraphicFramePr>
        <xdr:cNvPr id="5" name="Diagramm 4"/>
        <xdr:cNvGraphicFramePr/>
      </xdr:nvGraphicFramePr>
      <xdr:xfrm>
        <a:off x="4443095" y="2742565"/>
        <a:ext cx="6152515" cy="345757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971550</xdr:colOff>
      <xdr:row>36</xdr:row>
      <xdr:rowOff>123825</xdr:rowOff>
    </xdr:from>
    <xdr:to>
      <xdr:col>9</xdr:col>
      <xdr:colOff>307781</xdr:colOff>
      <xdr:row>55</xdr:row>
      <xdr:rowOff>84282</xdr:rowOff>
    </xdr:to>
    <xdr:pic>
      <xdr:nvPicPr>
        <xdr:cNvPr id="6" name="Picture 2" descr="Sistemas OEE - Sistemas OEE"/>
        <xdr:cNvPicPr>
          <a:picLocks noChangeAspect="1" noChangeArrowheads="1"/>
        </xdr:cNvPicPr>
      </xdr:nvPicPr>
      <xdr:blipFill>
        <a:blip r:embed="rId2">
          <a:extLst>
            <a:ext uri="{28A0092B-C50C-407E-A947-70E740481C1C}">
              <a14:useLocalDpi xmlns:a14="http://schemas.microsoft.com/office/drawing/2010/main" val="0"/>
            </a:ext>
          </a:extLst>
        </a:blip>
        <a:srcRect/>
        <a:stretch>
          <a:fillRect/>
        </a:stretch>
      </xdr:blipFill>
      <xdr:spPr>
        <a:xfrm>
          <a:off x="2928620" y="6981825"/>
          <a:ext cx="4603115" cy="3579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695325</xdr:colOff>
      <xdr:row>36</xdr:row>
      <xdr:rowOff>47626</xdr:rowOff>
    </xdr:from>
    <xdr:to>
      <xdr:col>16</xdr:col>
      <xdr:colOff>618298</xdr:colOff>
      <xdr:row>56</xdr:row>
      <xdr:rowOff>76201</xdr:rowOff>
    </xdr:to>
    <xdr:pic>
      <xdr:nvPicPr>
        <xdr:cNvPr id="7" name="Picture 3" descr="Example of an OEE calculation - Sistemas OEE"/>
        <xdr:cNvPicPr>
          <a:picLocks noChangeAspect="1" noChangeArrowheads="1"/>
        </xdr:cNvPicPr>
      </xdr:nvPicPr>
      <xdr:blipFill>
        <a:blip r:embed="rId3">
          <a:extLst>
            <a:ext uri="{28A0092B-C50C-407E-A947-70E740481C1C}">
              <a14:useLocalDpi xmlns:a14="http://schemas.microsoft.com/office/drawing/2010/main" val="0"/>
            </a:ext>
          </a:extLst>
        </a:blip>
        <a:srcRect t="7398" b="7973"/>
        <a:stretch>
          <a:fillRect/>
        </a:stretch>
      </xdr:blipFill>
      <xdr:spPr>
        <a:xfrm>
          <a:off x="7186295" y="6905625"/>
          <a:ext cx="5789930" cy="3838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4</xdr:col>
      <xdr:colOff>458787</xdr:colOff>
      <xdr:row>4</xdr:row>
      <xdr:rowOff>19050</xdr:rowOff>
    </xdr:from>
    <xdr:to>
      <xdr:col>10</xdr:col>
      <xdr:colOff>465137</xdr:colOff>
      <xdr:row>19</xdr:row>
      <xdr:rowOff>44450</xdr:rowOff>
    </xdr:to>
    <xdr:graphicFrame>
      <xdr:nvGraphicFramePr>
        <xdr:cNvPr id="4" name="Diagramm 3"/>
        <xdr:cNvGraphicFramePr/>
      </xdr:nvGraphicFramePr>
      <xdr:xfrm>
        <a:off x="5106670" y="781050"/>
        <a:ext cx="4406900" cy="28829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4</xdr:col>
          <xdr:colOff>152400</xdr:colOff>
          <xdr:row>4</xdr:row>
          <xdr:rowOff>6350</xdr:rowOff>
        </xdr:from>
        <xdr:to>
          <xdr:col>4</xdr:col>
          <xdr:colOff>1200150</xdr:colOff>
          <xdr:row>5</xdr:row>
          <xdr:rowOff>139700</xdr:rowOff>
        </xdr:to>
        <xdr:sp>
          <xdr:nvSpPr>
            <xdr:cNvPr id="5121" name="ToggleButton1" hidden="1">
              <a:extLst>
                <a:ext uri="{63B3BB69-23CF-44E3-9099-C40C66FF867C}">
                  <a14:compatExt spid="_x0000_s5121"/>
                </a:ext>
              </a:extLst>
            </xdr:cNvPr>
            <xdr:cNvSpPr/>
          </xdr:nvSpPr>
          <xdr:spPr>
            <a:xfrm>
              <a:off x="3739515" y="768350"/>
              <a:ext cx="1047750" cy="3238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635000</xdr:colOff>
          <xdr:row>4</xdr:row>
          <xdr:rowOff>6350</xdr:rowOff>
        </xdr:from>
        <xdr:to>
          <xdr:col>6</xdr:col>
          <xdr:colOff>457200</xdr:colOff>
          <xdr:row>5</xdr:row>
          <xdr:rowOff>133350</xdr:rowOff>
        </xdr:to>
        <xdr:sp>
          <xdr:nvSpPr>
            <xdr:cNvPr id="5122" name="CommandButton1" hidden="1">
              <a:extLst>
                <a:ext uri="{63B3BB69-23CF-44E3-9099-C40C66FF867C}">
                  <a14:compatExt spid="_x0000_s5122"/>
                </a:ext>
              </a:extLst>
            </xdr:cNvPr>
            <xdr:cNvSpPr/>
          </xdr:nvSpPr>
          <xdr:spPr>
            <a:xfrm>
              <a:off x="5840095" y="768350"/>
              <a:ext cx="930910" cy="317500"/>
            </a:xfrm>
            <a:prstGeom prst="rect">
              <a:avLst/>
            </a:prstGeom>
          </xdr:spPr>
        </xdr:sp>
        <xdr:clientData/>
      </xdr:twoCellAnchor>
    </mc:Choice>
    <mc:Fallback/>
  </mc:AlternateContent>
</xdr:wsDr>
</file>

<file path=xl/tables/table1.xml><?xml version="1.0" encoding="utf-8"?>
<table xmlns="http://schemas.openxmlformats.org/spreadsheetml/2006/main" id="3" name="Tabelle3" displayName="Tabelle3" ref="E5:J105" totalsRowShown="0">
  <autoFilter xmlns:etc="http://www.wps.cn/officeDocument/2017/etCustomData" ref="E5:J105" etc:filterBottomFollowUsedRange="0"/>
  <sortState ref="E5:J105">
    <sortCondition ref="F5:F105"/>
  </sortState>
  <tableColumns count="6">
    <tableColumn id="1" name="Auftragsnummer " dataDxfId="0"/>
    <tableColumn id="2" name="Kunde" dataDxfId="1"/>
    <tableColumn id="3" name="Produktnummer" dataDxfId="2"/>
    <tableColumn id="4" name="Produktbeschreibung" dataDxfId="3">
      <calculatedColumnFormula>IFERROR(VLOOKUP(G6,Produkt,2,FALSE),"")</calculatedColumnFormula>
    </tableColumn>
    <tableColumn id="5" name="Produktmenge" dataDxfId="4"/>
    <tableColumn id="6" name="Produktionsendtermin  " dataDxfId="5">
      <calculatedColumnFormula>+#REF!+1/24</calculatedColumnFormula>
    </tableColumn>
  </tableColumns>
  <tableStyleInfo showFirstColumn="0" showLastColumn="0" showRowStripes="1" showColumnStripes="0"/>
</table>
</file>

<file path=xl/tables/table2.xml><?xml version="1.0" encoding="utf-8"?>
<table xmlns="http://schemas.openxmlformats.org/spreadsheetml/2006/main" id="2" name="Tabelle2" displayName="Tabelle2" ref="B5:G108" totalsRowShown="0">
  <autoFilter xmlns:etc="http://www.wps.cn/officeDocument/2017/etCustomData" ref="B5:G108" etc:filterBottomFollowUsedRange="0"/>
  <sortState ref="B5:G108">
    <sortCondition ref="G5:G105"/>
  </sortState>
  <tableColumns count="6">
    <tableColumn id="1" name="Bestellungsnummer " dataDxfId="6"/>
    <tableColumn id="2" name="Kunde"/>
    <tableColumn id="3" name="Produktnummer"/>
    <tableColumn id="4" name="Produktbeschreibung"/>
    <tableColumn id="5" name="Bestellungsmenge "/>
    <tableColumn id="6" name="Produktionsdatum" dataDxfId="7"/>
  </tableColumns>
  <tableStyleInfo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6" Type="http://schemas.openxmlformats.org/officeDocument/2006/relationships/image" Target="../media/image4.wmf"/><Relationship Id="rId5" Type="http://schemas.openxmlformats.org/officeDocument/2006/relationships/control" Target="../activeX/activeX2.xml"/><Relationship Id="rId4" Type="http://schemas.openxmlformats.org/officeDocument/2006/relationships/image" Target="../media/image3.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Tabelle1"/>
  <dimension ref="B2:R80"/>
  <sheetViews>
    <sheetView showGridLines="0" topLeftCell="A16" workbookViewId="0">
      <selection activeCell="E37" sqref="E37"/>
    </sheetView>
  </sheetViews>
  <sheetFormatPr defaultColWidth="11" defaultRowHeight="15"/>
  <cols>
    <col min="1" max="1" width="5.72380952380952" customWidth="1"/>
    <col min="16" max="16" width="17.1809523809524" customWidth="1"/>
  </cols>
  <sheetData>
    <row r="2" spans="2:18">
      <c r="B2" s="27"/>
      <c r="C2" s="28"/>
      <c r="D2" s="28"/>
      <c r="E2" s="28"/>
      <c r="F2" s="28"/>
      <c r="G2" s="28"/>
      <c r="H2" s="28"/>
      <c r="I2" s="28"/>
      <c r="J2" s="28"/>
      <c r="K2" s="28"/>
      <c r="L2" s="28"/>
      <c r="M2" s="28"/>
      <c r="N2" s="28"/>
      <c r="O2" s="28"/>
      <c r="P2" s="28"/>
      <c r="Q2" s="28"/>
      <c r="R2" s="31"/>
    </row>
    <row r="3" spans="2:18">
      <c r="B3" s="32"/>
      <c r="E3" s="133" t="s">
        <v>0</v>
      </c>
      <c r="F3" s="11"/>
      <c r="G3" s="11"/>
      <c r="H3" s="11"/>
      <c r="I3" s="11"/>
      <c r="J3" s="11"/>
      <c r="K3" s="11"/>
      <c r="L3" s="11"/>
      <c r="M3" s="11"/>
      <c r="N3" s="11"/>
      <c r="O3" s="11"/>
      <c r="R3" s="37"/>
    </row>
    <row r="4" spans="2:18">
      <c r="B4" s="32"/>
      <c r="E4" s="11"/>
      <c r="F4" s="11"/>
      <c r="G4" s="11"/>
      <c r="H4" s="11"/>
      <c r="I4" s="11"/>
      <c r="J4" s="11"/>
      <c r="K4" s="11"/>
      <c r="L4" s="11"/>
      <c r="M4" s="11"/>
      <c r="N4" s="11"/>
      <c r="O4" s="11"/>
      <c r="R4" s="37"/>
    </row>
    <row r="5" spans="2:18">
      <c r="B5" s="32"/>
      <c r="E5" s="11"/>
      <c r="F5" s="11"/>
      <c r="G5" s="11"/>
      <c r="H5" s="11"/>
      <c r="I5" s="11"/>
      <c r="J5" s="11"/>
      <c r="K5" s="11"/>
      <c r="L5" s="11"/>
      <c r="M5" s="11"/>
      <c r="N5" s="11"/>
      <c r="O5" s="11"/>
      <c r="R5" s="37"/>
    </row>
    <row r="6" spans="2:18">
      <c r="B6" s="32"/>
      <c r="R6" s="37"/>
    </row>
    <row r="7" spans="2:18">
      <c r="B7" s="32"/>
      <c r="C7" s="134" t="s">
        <v>1</v>
      </c>
      <c r="D7" s="135"/>
      <c r="E7" s="135"/>
      <c r="F7" s="135"/>
      <c r="G7" s="135"/>
      <c r="H7" s="135"/>
      <c r="I7" s="135"/>
      <c r="J7" s="135"/>
      <c r="K7" s="135"/>
      <c r="L7" s="135"/>
      <c r="M7" s="135"/>
      <c r="N7" s="135"/>
      <c r="O7" s="135"/>
      <c r="P7" s="135"/>
      <c r="R7" s="37"/>
    </row>
    <row r="8" spans="2:18">
      <c r="B8" s="32"/>
      <c r="D8" s="135"/>
      <c r="E8" s="135"/>
      <c r="F8" s="135"/>
      <c r="G8" s="135"/>
      <c r="H8" s="135"/>
      <c r="I8" s="135"/>
      <c r="J8" s="135"/>
      <c r="K8" s="135"/>
      <c r="L8" s="135"/>
      <c r="M8" s="135"/>
      <c r="N8" s="135"/>
      <c r="O8" s="135"/>
      <c r="P8" s="135"/>
      <c r="R8" s="37"/>
    </row>
    <row r="9" spans="2:18">
      <c r="B9" s="32"/>
      <c r="D9" s="135"/>
      <c r="E9" s="135"/>
      <c r="F9" s="135"/>
      <c r="G9" s="135"/>
      <c r="H9" s="135"/>
      <c r="I9" s="135"/>
      <c r="J9" s="135"/>
      <c r="K9" s="135"/>
      <c r="L9" s="135"/>
      <c r="M9" s="135"/>
      <c r="N9" s="135"/>
      <c r="O9" s="135"/>
      <c r="P9" s="135"/>
      <c r="R9" s="37"/>
    </row>
    <row r="10" spans="2:18">
      <c r="B10" s="32"/>
      <c r="D10" s="135"/>
      <c r="E10" s="135"/>
      <c r="F10" s="135"/>
      <c r="G10" s="135"/>
      <c r="H10" s="135"/>
      <c r="I10" s="135"/>
      <c r="J10" s="135"/>
      <c r="K10" s="135"/>
      <c r="L10" s="135"/>
      <c r="M10" s="135"/>
      <c r="N10" s="135"/>
      <c r="O10" s="135"/>
      <c r="P10" s="135"/>
      <c r="R10" s="37"/>
    </row>
    <row r="11" spans="2:18">
      <c r="B11" s="32"/>
      <c r="C11" s="134" t="s">
        <v>2</v>
      </c>
      <c r="R11" s="37"/>
    </row>
    <row r="12" spans="2:18">
      <c r="B12" s="32"/>
      <c r="R12" s="37"/>
    </row>
    <row r="13" spans="2:18">
      <c r="B13" s="32"/>
      <c r="C13" s="136" t="s">
        <v>3</v>
      </c>
      <c r="D13" s="119"/>
      <c r="E13" s="119"/>
      <c r="F13" s="119"/>
      <c r="G13" s="119"/>
      <c r="H13" s="119"/>
      <c r="I13" s="119"/>
      <c r="J13" s="119"/>
      <c r="K13" s="119"/>
      <c r="L13" s="119"/>
      <c r="M13" s="119"/>
      <c r="N13" s="119"/>
      <c r="O13" s="119"/>
      <c r="P13" s="119"/>
      <c r="R13" s="37"/>
    </row>
    <row r="14" spans="2:18">
      <c r="B14" s="32"/>
      <c r="C14" s="136" t="s">
        <v>4</v>
      </c>
      <c r="D14" s="119"/>
      <c r="E14" s="119"/>
      <c r="F14" s="119"/>
      <c r="G14" s="119"/>
      <c r="H14" s="119"/>
      <c r="I14" s="119"/>
      <c r="J14" s="119"/>
      <c r="K14" s="119"/>
      <c r="L14" s="119"/>
      <c r="M14" s="119"/>
      <c r="N14" s="119"/>
      <c r="O14" s="119"/>
      <c r="P14" s="119"/>
      <c r="R14" s="37"/>
    </row>
    <row r="15" spans="2:18">
      <c r="B15" s="32"/>
      <c r="R15" s="37"/>
    </row>
    <row r="16" spans="2:18">
      <c r="B16" s="32"/>
      <c r="C16" s="119" t="s">
        <v>5</v>
      </c>
      <c r="D16" s="119"/>
      <c r="E16" s="119"/>
      <c r="F16" s="119"/>
      <c r="G16" s="119"/>
      <c r="H16" s="119"/>
      <c r="I16" s="119"/>
      <c r="J16" s="119"/>
      <c r="K16" s="119"/>
      <c r="L16" s="119"/>
      <c r="M16" s="119"/>
      <c r="N16" s="119"/>
      <c r="O16" s="119"/>
      <c r="P16" s="119"/>
      <c r="R16" s="37"/>
    </row>
    <row r="17" spans="2:18">
      <c r="B17" s="32"/>
      <c r="C17" t="s">
        <v>6</v>
      </c>
      <c r="R17" s="37"/>
    </row>
    <row r="18" spans="2:18">
      <c r="B18" s="32"/>
      <c r="C18" s="137" t="s">
        <v>7</v>
      </c>
      <c r="D18" s="138"/>
      <c r="E18" s="138"/>
      <c r="F18" s="138"/>
      <c r="G18" s="138"/>
      <c r="H18" s="138"/>
      <c r="I18" s="138"/>
      <c r="J18" s="138"/>
      <c r="K18" s="138"/>
      <c r="L18" s="138"/>
      <c r="M18" s="138"/>
      <c r="N18" s="138"/>
      <c r="O18" s="138"/>
      <c r="P18" s="138"/>
      <c r="R18" s="37"/>
    </row>
    <row r="19" spans="2:18">
      <c r="B19" s="32"/>
      <c r="C19" s="139" t="s">
        <v>8</v>
      </c>
      <c r="D19" s="135"/>
      <c r="E19" s="135"/>
      <c r="F19" s="135"/>
      <c r="G19" s="135"/>
      <c r="H19" s="135"/>
      <c r="I19" s="135"/>
      <c r="J19" s="135"/>
      <c r="K19" s="135"/>
      <c r="L19" s="135"/>
      <c r="M19" s="135"/>
      <c r="N19" s="135"/>
      <c r="O19" s="135"/>
      <c r="P19" s="135"/>
      <c r="R19" s="37"/>
    </row>
    <row r="20" spans="2:18">
      <c r="B20" s="32"/>
      <c r="C20" s="139" t="s">
        <v>9</v>
      </c>
      <c r="D20" s="135"/>
      <c r="E20" s="135"/>
      <c r="F20" s="135"/>
      <c r="G20" s="135"/>
      <c r="H20" s="135"/>
      <c r="I20" s="135"/>
      <c r="J20" s="135"/>
      <c r="K20" s="135"/>
      <c r="L20" s="135"/>
      <c r="M20" s="135"/>
      <c r="N20" s="135"/>
      <c r="O20" s="135"/>
      <c r="P20" s="135"/>
      <c r="R20" s="37"/>
    </row>
    <row r="21" spans="2:18">
      <c r="B21" s="32"/>
      <c r="C21" s="140"/>
      <c r="D21" s="140"/>
      <c r="E21" s="140"/>
      <c r="F21" s="140"/>
      <c r="G21" s="140"/>
      <c r="H21" s="140"/>
      <c r="I21" s="140"/>
      <c r="J21" s="140"/>
      <c r="K21" s="140"/>
      <c r="L21" s="140"/>
      <c r="M21" s="140"/>
      <c r="N21" s="140"/>
      <c r="O21" s="140"/>
      <c r="P21" s="140"/>
      <c r="R21" s="37"/>
    </row>
    <row r="22" spans="2:18">
      <c r="B22" s="32"/>
      <c r="C22" s="135"/>
      <c r="D22" s="135"/>
      <c r="E22" s="135"/>
      <c r="F22" s="135"/>
      <c r="G22" s="135"/>
      <c r="H22" s="135"/>
      <c r="I22" s="135"/>
      <c r="J22" s="135"/>
      <c r="K22" s="135"/>
      <c r="L22" s="135"/>
      <c r="M22" s="135"/>
      <c r="N22" s="135"/>
      <c r="O22" s="135"/>
      <c r="P22" s="135"/>
      <c r="R22" s="37"/>
    </row>
    <row r="23" spans="2:18">
      <c r="B23" s="32"/>
      <c r="R23" s="37"/>
    </row>
    <row r="24" spans="2:18">
      <c r="B24" s="32"/>
      <c r="C24" s="134" t="s">
        <v>10</v>
      </c>
      <c r="R24" s="37"/>
    </row>
    <row r="25" spans="2:18">
      <c r="B25" s="32"/>
      <c r="R25" s="37"/>
    </row>
    <row r="26" spans="2:18">
      <c r="B26" s="32"/>
      <c r="C26" s="135"/>
      <c r="D26" s="135"/>
      <c r="E26" s="135"/>
      <c r="F26" s="135"/>
      <c r="G26" s="135"/>
      <c r="H26" s="135"/>
      <c r="I26" s="135"/>
      <c r="J26" s="135"/>
      <c r="K26" s="135"/>
      <c r="L26" s="135"/>
      <c r="M26" s="135"/>
      <c r="N26" s="135"/>
      <c r="O26" s="135"/>
      <c r="P26" s="135"/>
      <c r="R26" s="37"/>
    </row>
    <row r="27" spans="2:18">
      <c r="B27" s="32"/>
      <c r="C27" s="141" t="s">
        <v>11</v>
      </c>
      <c r="R27" s="37"/>
    </row>
    <row r="28" spans="2:18">
      <c r="B28" s="32"/>
      <c r="C28" s="141" t="s">
        <v>12</v>
      </c>
      <c r="R28" s="37"/>
    </row>
    <row r="29" spans="2:18">
      <c r="B29" s="32"/>
      <c r="C29" s="141" t="s">
        <v>13</v>
      </c>
      <c r="R29" s="37"/>
    </row>
    <row r="30" spans="2:18">
      <c r="B30" s="32"/>
      <c r="C30" s="141" t="s">
        <v>14</v>
      </c>
      <c r="R30" s="37"/>
    </row>
    <row r="31" spans="2:18">
      <c r="B31" s="32"/>
      <c r="C31" t="s">
        <v>15</v>
      </c>
      <c r="R31" s="37"/>
    </row>
    <row r="32" spans="2:18">
      <c r="B32" s="32"/>
      <c r="C32" s="141" t="s">
        <v>16</v>
      </c>
      <c r="R32" s="37"/>
    </row>
    <row r="33" spans="2:18">
      <c r="B33" s="32"/>
      <c r="C33" s="141" t="s">
        <v>17</v>
      </c>
      <c r="R33" s="37"/>
    </row>
    <row r="34" spans="2:18">
      <c r="B34" s="32"/>
      <c r="C34" s="141" t="s">
        <v>18</v>
      </c>
      <c r="R34" s="37"/>
    </row>
    <row r="35" spans="2:18">
      <c r="B35" s="32"/>
      <c r="C35" s="141" t="s">
        <v>19</v>
      </c>
      <c r="R35" s="37"/>
    </row>
    <row r="36" spans="2:18">
      <c r="B36" s="32"/>
      <c r="C36" s="141" t="s">
        <v>20</v>
      </c>
      <c r="R36" s="37"/>
    </row>
    <row r="37" spans="2:18">
      <c r="B37" s="32"/>
      <c r="R37" s="37"/>
    </row>
    <row r="38" spans="2:18">
      <c r="B38" s="32"/>
      <c r="C38" s="139" t="s">
        <v>21</v>
      </c>
      <c r="D38" s="135"/>
      <c r="E38" s="135"/>
      <c r="F38" s="135"/>
      <c r="G38" s="135"/>
      <c r="H38" s="135"/>
      <c r="I38" s="135"/>
      <c r="J38" s="135"/>
      <c r="K38" s="135"/>
      <c r="L38" s="135"/>
      <c r="M38" s="135"/>
      <c r="N38" s="135"/>
      <c r="O38" s="135"/>
      <c r="P38" s="135"/>
      <c r="R38" s="37"/>
    </row>
    <row r="39" spans="2:18">
      <c r="B39" s="32"/>
      <c r="C39" s="141" t="s">
        <v>22</v>
      </c>
      <c r="R39" s="37"/>
    </row>
    <row r="40" spans="2:18">
      <c r="B40" s="32"/>
      <c r="C40" s="141" t="s">
        <v>23</v>
      </c>
      <c r="R40" s="37"/>
    </row>
    <row r="41" spans="2:18">
      <c r="B41" s="32"/>
      <c r="C41" s="141" t="s">
        <v>24</v>
      </c>
      <c r="R41" s="37"/>
    </row>
    <row r="42" spans="2:18">
      <c r="B42" s="32"/>
      <c r="C42" s="141" t="s">
        <v>25</v>
      </c>
      <c r="R42" s="37"/>
    </row>
    <row r="43" spans="2:18">
      <c r="B43" s="32"/>
      <c r="C43" s="141" t="s">
        <v>26</v>
      </c>
      <c r="R43" s="37"/>
    </row>
    <row r="44" spans="2:18">
      <c r="B44" s="32"/>
      <c r="R44" s="37"/>
    </row>
    <row r="45" spans="2:18">
      <c r="B45" s="32"/>
      <c r="C45" s="141" t="s">
        <v>27</v>
      </c>
      <c r="R45" s="37"/>
    </row>
    <row r="46" spans="2:18">
      <c r="B46" s="32"/>
      <c r="C46" s="141" t="s">
        <v>28</v>
      </c>
      <c r="R46" s="37"/>
    </row>
    <row r="47" spans="2:18">
      <c r="B47" s="32"/>
      <c r="R47" s="37"/>
    </row>
    <row r="48" spans="2:18">
      <c r="B48" s="32"/>
      <c r="R48" s="37"/>
    </row>
    <row r="49" spans="2:18">
      <c r="B49" s="32"/>
      <c r="C49" s="141" t="s">
        <v>29</v>
      </c>
      <c r="R49" s="37"/>
    </row>
    <row r="50" spans="2:18">
      <c r="B50" s="32"/>
      <c r="R50" s="37"/>
    </row>
    <row r="51" spans="2:18">
      <c r="B51" s="32"/>
      <c r="C51" s="134" t="s">
        <v>30</v>
      </c>
      <c r="R51" s="37"/>
    </row>
    <row r="52" spans="2:18">
      <c r="B52" s="32"/>
      <c r="C52" s="141" t="s">
        <v>31</v>
      </c>
      <c r="R52" s="37"/>
    </row>
    <row r="53" spans="2:18">
      <c r="B53" s="32"/>
      <c r="C53" s="141" t="s">
        <v>32</v>
      </c>
      <c r="R53" s="37"/>
    </row>
    <row r="54" spans="2:18">
      <c r="B54" s="32"/>
      <c r="C54" s="141" t="s">
        <v>33</v>
      </c>
      <c r="R54" s="37"/>
    </row>
    <row r="55" spans="2:18">
      <c r="B55" s="32"/>
      <c r="C55" s="141" t="s">
        <v>34</v>
      </c>
      <c r="R55" s="37"/>
    </row>
    <row r="56" spans="2:18">
      <c r="B56" s="32"/>
      <c r="R56" s="37"/>
    </row>
    <row r="57" spans="2:18">
      <c r="B57" s="32"/>
      <c r="R57" s="37"/>
    </row>
    <row r="58" spans="2:18">
      <c r="B58" s="32"/>
      <c r="C58" s="134" t="s">
        <v>35</v>
      </c>
      <c r="R58" s="37"/>
    </row>
    <row r="59" spans="2:18">
      <c r="B59" s="32"/>
      <c r="R59" s="37"/>
    </row>
    <row r="60" spans="2:18">
      <c r="B60" s="32"/>
      <c r="C60" s="142" t="s">
        <v>36</v>
      </c>
      <c r="R60" s="37"/>
    </row>
    <row r="61" spans="2:18">
      <c r="B61" s="32"/>
      <c r="R61" s="37"/>
    </row>
    <row r="62" spans="2:18">
      <c r="B62" s="32"/>
      <c r="R62" s="37"/>
    </row>
    <row r="63" spans="2:18">
      <c r="B63" s="32"/>
      <c r="R63" s="37"/>
    </row>
    <row r="64" spans="2:18">
      <c r="B64" s="32"/>
      <c r="R64" s="37"/>
    </row>
    <row r="65" spans="2:18">
      <c r="B65" s="32"/>
      <c r="R65" s="37"/>
    </row>
    <row r="66" spans="2:18">
      <c r="B66" s="32"/>
      <c r="R66" s="37"/>
    </row>
    <row r="67" spans="2:18">
      <c r="B67" s="32"/>
      <c r="R67" s="37"/>
    </row>
    <row r="68" spans="2:18">
      <c r="B68" s="32"/>
      <c r="C68" s="142" t="s">
        <v>37</v>
      </c>
      <c r="R68" s="37"/>
    </row>
    <row r="69" spans="2:18">
      <c r="B69" s="32"/>
      <c r="R69" s="37"/>
    </row>
    <row r="70" spans="2:18">
      <c r="B70" s="32"/>
      <c r="C70" s="141" t="s">
        <v>38</v>
      </c>
      <c r="R70" s="37"/>
    </row>
    <row r="71" spans="2:18">
      <c r="B71" s="32"/>
      <c r="R71" s="37"/>
    </row>
    <row r="72" spans="2:18">
      <c r="B72" s="32"/>
      <c r="C72" s="142" t="s">
        <v>39</v>
      </c>
      <c r="R72" s="37"/>
    </row>
    <row r="73" spans="2:18">
      <c r="B73" s="32"/>
      <c r="R73" s="37"/>
    </row>
    <row r="74" spans="2:18">
      <c r="B74" s="32"/>
      <c r="C74" s="143" t="s">
        <v>40</v>
      </c>
      <c r="R74" s="37"/>
    </row>
    <row r="75" spans="2:18">
      <c r="B75" s="32"/>
      <c r="C75" s="143" t="s">
        <v>41</v>
      </c>
      <c r="R75" s="37"/>
    </row>
    <row r="76" spans="2:18">
      <c r="B76" s="32"/>
      <c r="C76" s="143" t="s">
        <v>42</v>
      </c>
      <c r="R76" s="37"/>
    </row>
    <row r="77" spans="2:18">
      <c r="B77" s="32"/>
      <c r="R77" s="37"/>
    </row>
    <row r="78" spans="2:18">
      <c r="B78" s="32"/>
      <c r="R78" s="37"/>
    </row>
    <row r="79" spans="2:18">
      <c r="B79" s="32"/>
      <c r="R79" s="37"/>
    </row>
    <row r="80" spans="2:18">
      <c r="B80" s="38"/>
      <c r="C80" s="39"/>
      <c r="D80" s="39"/>
      <c r="E80" s="39"/>
      <c r="F80" s="39"/>
      <c r="G80" s="39"/>
      <c r="H80" s="39"/>
      <c r="I80" s="39"/>
      <c r="J80" s="39"/>
      <c r="K80" s="39"/>
      <c r="L80" s="39"/>
      <c r="M80" s="39"/>
      <c r="N80" s="39"/>
      <c r="O80" s="39"/>
      <c r="P80" s="39"/>
      <c r="Q80" s="39"/>
      <c r="R80" s="42"/>
    </row>
  </sheetData>
  <mergeCells count="9">
    <mergeCell ref="C13:P13"/>
    <mergeCell ref="C14:P14"/>
    <mergeCell ref="C18:P18"/>
    <mergeCell ref="C19:P19"/>
    <mergeCell ref="C20:P20"/>
    <mergeCell ref="C21:P21"/>
    <mergeCell ref="C26:P26"/>
    <mergeCell ref="E3:O5"/>
    <mergeCell ref="D7:P10"/>
  </mergeCells>
  <pageMargins left="0.7" right="0.7" top="0.787401575" bottom="0.7874015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Tabelle2"/>
  <dimension ref="B2:AL249"/>
  <sheetViews>
    <sheetView showGridLines="0" topLeftCell="C1" workbookViewId="0">
      <selection activeCell="I11" sqref="I11"/>
    </sheetView>
  </sheetViews>
  <sheetFormatPr defaultColWidth="11" defaultRowHeight="15"/>
  <cols>
    <col min="1" max="1" width="4.45714285714286" customWidth="1"/>
    <col min="2" max="2" width="18.9047619047619" customWidth="1"/>
    <col min="3" max="3" width="26.2666666666667" customWidth="1"/>
    <col min="5" max="5" width="17.7238095238095" customWidth="1"/>
    <col min="6" max="6" width="19.8190476190476" customWidth="1"/>
    <col min="7" max="7" width="16.8190476190476" customWidth="1"/>
    <col min="8" max="8" width="26.9047619047619" customWidth="1"/>
    <col min="9" max="9" width="16.3619047619048" customWidth="1"/>
    <col min="10" max="10" width="22.9047619047619" customWidth="1"/>
    <col min="12" max="12" width="29.9047619047619" customWidth="1"/>
    <col min="13" max="13" width="19" customWidth="1"/>
    <col min="14" max="14" width="11.9047619047619" customWidth="1"/>
    <col min="19" max="19" width="11.9047619047619" customWidth="1"/>
    <col min="37" max="37" width="19.0857142857143" customWidth="1"/>
  </cols>
  <sheetData>
    <row r="2" spans="2:38">
      <c r="B2" s="1" t="s">
        <v>43</v>
      </c>
      <c r="C2" s="89"/>
      <c r="E2" s="1" t="s">
        <v>44</v>
      </c>
      <c r="F2" s="8"/>
      <c r="G2" s="8"/>
      <c r="H2" s="8"/>
      <c r="I2" s="8"/>
      <c r="J2" s="89"/>
      <c r="L2" s="1" t="s">
        <v>45</v>
      </c>
      <c r="M2" s="8"/>
      <c r="N2" s="8"/>
      <c r="O2" s="8"/>
      <c r="P2" s="8"/>
      <c r="Q2" s="8"/>
      <c r="R2" s="8"/>
      <c r="S2" s="8"/>
      <c r="T2" s="8"/>
      <c r="U2" s="8"/>
      <c r="V2" s="8"/>
      <c r="W2" s="8"/>
      <c r="X2" s="8"/>
      <c r="Y2" s="8"/>
      <c r="Z2" s="8"/>
      <c r="AA2" s="8"/>
      <c r="AB2" s="8"/>
      <c r="AC2" s="8"/>
      <c r="AD2" s="8"/>
      <c r="AE2" s="8"/>
      <c r="AF2" s="8"/>
      <c r="AG2" s="8"/>
      <c r="AH2" s="8"/>
      <c r="AI2" s="8"/>
      <c r="AJ2" s="8"/>
      <c r="AK2" s="8"/>
      <c r="AL2" s="89"/>
    </row>
    <row r="3" spans="2:38">
      <c r="B3" s="90"/>
      <c r="C3" s="17"/>
      <c r="E3" s="90"/>
      <c r="F3" s="16"/>
      <c r="G3" s="16"/>
      <c r="H3" s="16"/>
      <c r="I3" s="16"/>
      <c r="J3" s="17"/>
      <c r="L3" s="90"/>
      <c r="M3" s="16"/>
      <c r="N3" s="16"/>
      <c r="O3" s="16"/>
      <c r="P3" s="16"/>
      <c r="Q3" s="16"/>
      <c r="R3" s="16"/>
      <c r="S3" s="16"/>
      <c r="T3" s="16"/>
      <c r="U3" s="16"/>
      <c r="V3" s="16"/>
      <c r="W3" s="16"/>
      <c r="X3" s="16"/>
      <c r="Y3" s="16"/>
      <c r="Z3" s="16"/>
      <c r="AA3" s="16"/>
      <c r="AB3" s="16"/>
      <c r="AC3" s="16"/>
      <c r="AD3" s="16"/>
      <c r="AE3" s="16"/>
      <c r="AF3" s="16"/>
      <c r="AG3" s="16"/>
      <c r="AH3" s="16"/>
      <c r="AI3" s="16"/>
      <c r="AJ3" s="16"/>
      <c r="AK3" s="16"/>
      <c r="AL3" s="17"/>
    </row>
    <row r="4" ht="10" customHeight="1"/>
    <row r="5" ht="33.5" customHeight="1" spans="2:38">
      <c r="B5" s="95" t="s">
        <v>46</v>
      </c>
      <c r="C5" s="97" t="s">
        <v>47</v>
      </c>
      <c r="E5" s="11" t="s">
        <v>48</v>
      </c>
      <c r="F5" s="16" t="s">
        <v>49</v>
      </c>
      <c r="G5" s="16" t="s">
        <v>46</v>
      </c>
      <c r="H5" s="16" t="s">
        <v>47</v>
      </c>
      <c r="I5" s="16" t="s">
        <v>50</v>
      </c>
      <c r="J5" s="16" t="s">
        <v>51</v>
      </c>
      <c r="L5" s="121" t="s">
        <v>52</v>
      </c>
      <c r="M5" s="122">
        <f>0/24</f>
        <v>0</v>
      </c>
      <c r="N5" s="122">
        <f>1/24</f>
        <v>0.0416666666666667</v>
      </c>
      <c r="O5" s="122">
        <f>2/24</f>
        <v>0.0833333333333333</v>
      </c>
      <c r="P5" s="122">
        <f>3/24</f>
        <v>0.125</v>
      </c>
      <c r="Q5" s="122">
        <f>4/24</f>
        <v>0.166666666666667</v>
      </c>
      <c r="R5" s="122">
        <f>5/24</f>
        <v>0.208333333333333</v>
      </c>
      <c r="S5" s="122">
        <f>6/24</f>
        <v>0.25</v>
      </c>
      <c r="T5" s="122">
        <f>7/24</f>
        <v>0.291666666666667</v>
      </c>
      <c r="U5" s="122">
        <f>8/24</f>
        <v>0.333333333333333</v>
      </c>
      <c r="V5" s="122">
        <f>9/24</f>
        <v>0.375</v>
      </c>
      <c r="W5" s="122">
        <f>10/24</f>
        <v>0.416666666666667</v>
      </c>
      <c r="X5" s="122">
        <f>11/24</f>
        <v>0.458333333333333</v>
      </c>
      <c r="Y5" s="122">
        <f>12/24</f>
        <v>0.5</v>
      </c>
      <c r="Z5" s="122">
        <f>13/24</f>
        <v>0.541666666666667</v>
      </c>
      <c r="AA5" s="122">
        <f>14/24</f>
        <v>0.583333333333333</v>
      </c>
      <c r="AB5" s="122">
        <f>15/24</f>
        <v>0.625</v>
      </c>
      <c r="AC5" s="122">
        <f>16/24</f>
        <v>0.666666666666667</v>
      </c>
      <c r="AD5" s="122">
        <f>17/24</f>
        <v>0.708333333333333</v>
      </c>
      <c r="AE5" s="122">
        <f>18/24</f>
        <v>0.75</v>
      </c>
      <c r="AF5" s="122">
        <f>19/24</f>
        <v>0.791666666666667</v>
      </c>
      <c r="AG5" s="122">
        <f>20/24</f>
        <v>0.833333333333333</v>
      </c>
      <c r="AH5" s="122">
        <f>21/24</f>
        <v>0.875</v>
      </c>
      <c r="AI5" s="122">
        <f>22/24</f>
        <v>0.916666666666667</v>
      </c>
      <c r="AJ5" s="122">
        <f>23/24</f>
        <v>0.958333333333333</v>
      </c>
      <c r="AK5" s="123" t="s">
        <v>53</v>
      </c>
      <c r="AL5" s="11"/>
    </row>
    <row r="6" spans="2:38">
      <c r="B6" s="7">
        <v>402570130</v>
      </c>
      <c r="C6" s="89" t="s">
        <v>54</v>
      </c>
      <c r="E6" s="7" t="s">
        <v>55</v>
      </c>
      <c r="F6" s="8" t="s">
        <v>56</v>
      </c>
      <c r="G6" s="8">
        <v>402570130</v>
      </c>
      <c r="H6" s="8" t="str">
        <f t="shared" ref="H6:H37" si="0">IFERROR(VLOOKUP(G6,Produkt,2,FALSE),"")</f>
        <v>Benzinmotor</v>
      </c>
      <c r="I6" s="8">
        <v>50</v>
      </c>
      <c r="J6" s="124">
        <f ca="1">+L57+5.25/24</f>
        <v>46107.21875</v>
      </c>
      <c r="L6" s="125">
        <f ca="1">TODAY()</f>
        <v>46107</v>
      </c>
      <c r="M6" s="8"/>
      <c r="N6" s="8"/>
      <c r="O6" s="8"/>
      <c r="P6" s="8"/>
      <c r="Q6" s="8"/>
      <c r="R6" s="8"/>
      <c r="S6" s="8" t="s">
        <v>57</v>
      </c>
      <c r="T6" s="8" t="s">
        <v>57</v>
      </c>
      <c r="U6" s="8" t="s">
        <v>57</v>
      </c>
      <c r="V6" s="8" t="s">
        <v>57</v>
      </c>
      <c r="W6" s="8" t="s">
        <v>57</v>
      </c>
      <c r="X6" s="8" t="s">
        <v>57</v>
      </c>
      <c r="Y6" s="8" t="s">
        <v>57</v>
      </c>
      <c r="Z6" s="8" t="s">
        <v>57</v>
      </c>
      <c r="AA6" s="8" t="s">
        <v>57</v>
      </c>
      <c r="AB6" s="8" t="s">
        <v>57</v>
      </c>
      <c r="AC6" s="8" t="s">
        <v>57</v>
      </c>
      <c r="AD6" s="8" t="s">
        <v>57</v>
      </c>
      <c r="AE6" s="8" t="s">
        <v>57</v>
      </c>
      <c r="AF6" s="8" t="s">
        <v>57</v>
      </c>
      <c r="AG6" s="8" t="s">
        <v>57</v>
      </c>
      <c r="AH6" s="8" t="s">
        <v>57</v>
      </c>
      <c r="AI6" s="8"/>
      <c r="AJ6" s="8"/>
      <c r="AK6" s="89">
        <f>+AK47</f>
        <v>16</v>
      </c>
      <c r="AL6" s="11"/>
    </row>
    <row r="7" spans="2:38">
      <c r="B7" s="10">
        <v>443014920</v>
      </c>
      <c r="C7" s="108" t="s">
        <v>58</v>
      </c>
      <c r="E7" s="10" t="s">
        <v>59</v>
      </c>
      <c r="F7" s="11" t="s">
        <v>56</v>
      </c>
      <c r="G7" s="11">
        <v>545263102</v>
      </c>
      <c r="H7" s="11" t="str">
        <f t="shared" si="0"/>
        <v>Elektromotor</v>
      </c>
      <c r="I7" s="11">
        <v>45</v>
      </c>
      <c r="J7" s="126">
        <f ca="1">+L57+1/24</f>
        <v>46107.0416666667</v>
      </c>
      <c r="L7" s="125">
        <f ca="1">+L6+1</f>
        <v>46108</v>
      </c>
      <c r="M7" s="11" t="s">
        <v>57</v>
      </c>
      <c r="N7" s="11" t="s">
        <v>57</v>
      </c>
      <c r="O7" s="11" t="s">
        <v>57</v>
      </c>
      <c r="P7" s="11" t="s">
        <v>57</v>
      </c>
      <c r="Q7" s="11" t="s">
        <v>57</v>
      </c>
      <c r="R7" s="11" t="s">
        <v>57</v>
      </c>
      <c r="S7" s="11" t="s">
        <v>57</v>
      </c>
      <c r="T7" s="11" t="s">
        <v>57</v>
      </c>
      <c r="U7" s="11" t="s">
        <v>57</v>
      </c>
      <c r="V7" s="11" t="s">
        <v>57</v>
      </c>
      <c r="W7" s="11" t="s">
        <v>57</v>
      </c>
      <c r="X7" s="11" t="s">
        <v>57</v>
      </c>
      <c r="Y7" s="11" t="s">
        <v>57</v>
      </c>
      <c r="Z7" s="11" t="s">
        <v>57</v>
      </c>
      <c r="AA7" s="11"/>
      <c r="AB7" s="11"/>
      <c r="AC7" s="11"/>
      <c r="AD7" s="11"/>
      <c r="AE7" s="11"/>
      <c r="AF7" s="11"/>
      <c r="AG7" s="11"/>
      <c r="AH7" s="11"/>
      <c r="AI7" s="11" t="s">
        <v>57</v>
      </c>
      <c r="AJ7" s="11" t="s">
        <v>57</v>
      </c>
      <c r="AK7" s="108">
        <f>+AK48</f>
        <v>16</v>
      </c>
      <c r="AL7" s="11"/>
    </row>
    <row r="8" spans="2:38">
      <c r="B8" s="10">
        <v>453201483</v>
      </c>
      <c r="C8" s="108" t="s">
        <v>60</v>
      </c>
      <c r="E8" s="10" t="s">
        <v>61</v>
      </c>
      <c r="F8" s="11" t="s">
        <v>56</v>
      </c>
      <c r="G8" s="11">
        <v>520310473</v>
      </c>
      <c r="H8" s="11" t="str">
        <f t="shared" si="0"/>
        <v>Indirekteinspritzungsmotor</v>
      </c>
      <c r="I8" s="11">
        <v>150</v>
      </c>
      <c r="J8" s="126">
        <f ca="1">+L58+1/24</f>
        <v>46107.0833333333</v>
      </c>
      <c r="L8" s="125">
        <f ca="1">+L7+1</f>
        <v>46109</v>
      </c>
      <c r="M8" s="11" t="s">
        <v>57</v>
      </c>
      <c r="N8" s="11" t="s">
        <v>57</v>
      </c>
      <c r="O8" s="11" t="s">
        <v>57</v>
      </c>
      <c r="P8" s="11" t="s">
        <v>57</v>
      </c>
      <c r="Q8" s="11" t="s">
        <v>57</v>
      </c>
      <c r="R8" s="11" t="s">
        <v>57</v>
      </c>
      <c r="S8" s="11"/>
      <c r="T8" s="11"/>
      <c r="U8" s="11"/>
      <c r="V8" s="11"/>
      <c r="W8" s="11"/>
      <c r="X8" s="11"/>
      <c r="Y8" s="11"/>
      <c r="Z8" s="11"/>
      <c r="AA8" s="11" t="s">
        <v>57</v>
      </c>
      <c r="AB8" s="11" t="s">
        <v>57</v>
      </c>
      <c r="AC8" s="11" t="s">
        <v>57</v>
      </c>
      <c r="AD8" s="11" t="s">
        <v>57</v>
      </c>
      <c r="AE8" s="11" t="s">
        <v>57</v>
      </c>
      <c r="AF8" s="11" t="s">
        <v>57</v>
      </c>
      <c r="AG8" s="11" t="s">
        <v>57</v>
      </c>
      <c r="AH8" s="11" t="s">
        <v>57</v>
      </c>
      <c r="AI8" s="11" t="s">
        <v>57</v>
      </c>
      <c r="AJ8" s="11" t="s">
        <v>57</v>
      </c>
      <c r="AK8" s="108">
        <f t="shared" ref="AK8:AK10" si="1">+AK49</f>
        <v>16</v>
      </c>
      <c r="AL8" s="11"/>
    </row>
    <row r="9" spans="2:38">
      <c r="B9" s="10">
        <v>520310473</v>
      </c>
      <c r="C9" s="108" t="s">
        <v>62</v>
      </c>
      <c r="E9" s="10" t="s">
        <v>63</v>
      </c>
      <c r="F9" s="11" t="s">
        <v>64</v>
      </c>
      <c r="G9" s="11">
        <v>715240360</v>
      </c>
      <c r="H9" s="11" t="str">
        <f t="shared" si="0"/>
        <v>Variablekompressionsmotor</v>
      </c>
      <c r="I9" s="11">
        <v>280</v>
      </c>
      <c r="J9" s="126">
        <f ca="1">+L59+4/24</f>
        <v>46107.25</v>
      </c>
      <c r="L9" s="125">
        <f ca="1">+L8+1</f>
        <v>46110</v>
      </c>
      <c r="M9" s="11"/>
      <c r="N9" s="11"/>
      <c r="O9" s="11"/>
      <c r="P9" s="11"/>
      <c r="Q9" s="11"/>
      <c r="R9" s="11"/>
      <c r="S9" s="11" t="s">
        <v>57</v>
      </c>
      <c r="T9" s="11" t="s">
        <v>57</v>
      </c>
      <c r="U9" s="11" t="s">
        <v>57</v>
      </c>
      <c r="V9" s="11" t="s">
        <v>57</v>
      </c>
      <c r="W9" s="11" t="s">
        <v>57</v>
      </c>
      <c r="X9" s="11" t="s">
        <v>57</v>
      </c>
      <c r="Y9" s="11" t="s">
        <v>57</v>
      </c>
      <c r="Z9" s="11" t="s">
        <v>57</v>
      </c>
      <c r="AA9" s="11" t="s">
        <v>57</v>
      </c>
      <c r="AB9" s="11" t="s">
        <v>57</v>
      </c>
      <c r="AC9" s="11" t="s">
        <v>57</v>
      </c>
      <c r="AD9" s="11" t="s">
        <v>57</v>
      </c>
      <c r="AE9" s="11" t="s">
        <v>57</v>
      </c>
      <c r="AF9" s="11" t="s">
        <v>57</v>
      </c>
      <c r="AG9" s="11" t="s">
        <v>57</v>
      </c>
      <c r="AH9" s="11" t="s">
        <v>57</v>
      </c>
      <c r="AI9" s="11"/>
      <c r="AJ9" s="11"/>
      <c r="AK9" s="108">
        <f t="shared" si="1"/>
        <v>16</v>
      </c>
      <c r="AL9" s="11"/>
    </row>
    <row r="10" spans="2:38">
      <c r="B10" s="10">
        <v>536325201</v>
      </c>
      <c r="C10" s="108" t="s">
        <v>65</v>
      </c>
      <c r="E10" s="10" t="s">
        <v>66</v>
      </c>
      <c r="F10" s="11" t="s">
        <v>64</v>
      </c>
      <c r="G10" s="11">
        <v>635241018</v>
      </c>
      <c r="H10" s="11" t="str">
        <f t="shared" si="0"/>
        <v>Wasserstoffmotor</v>
      </c>
      <c r="I10" s="11">
        <v>260</v>
      </c>
      <c r="J10" s="126">
        <f ca="1">+L60+8.5/24</f>
        <v>46107.4791666667</v>
      </c>
      <c r="L10" s="127">
        <f ca="1">+L9+1</f>
        <v>46111</v>
      </c>
      <c r="M10" s="16" t="s">
        <v>57</v>
      </c>
      <c r="N10" s="16" t="s">
        <v>57</v>
      </c>
      <c r="O10" s="16" t="s">
        <v>57</v>
      </c>
      <c r="P10" s="16" t="s">
        <v>57</v>
      </c>
      <c r="Q10" s="16" t="s">
        <v>57</v>
      </c>
      <c r="R10" s="16" t="s">
        <v>57</v>
      </c>
      <c r="S10" s="16"/>
      <c r="T10" s="16"/>
      <c r="U10" s="16"/>
      <c r="V10" s="16"/>
      <c r="W10" s="16"/>
      <c r="X10" s="16"/>
      <c r="Y10" s="16"/>
      <c r="Z10" s="16"/>
      <c r="AA10" s="16" t="s">
        <v>57</v>
      </c>
      <c r="AB10" s="16" t="s">
        <v>57</v>
      </c>
      <c r="AC10" s="16" t="s">
        <v>57</v>
      </c>
      <c r="AD10" s="16" t="s">
        <v>57</v>
      </c>
      <c r="AE10" s="16" t="s">
        <v>57</v>
      </c>
      <c r="AF10" s="16" t="s">
        <v>57</v>
      </c>
      <c r="AG10" s="16" t="s">
        <v>57</v>
      </c>
      <c r="AH10" s="16" t="s">
        <v>57</v>
      </c>
      <c r="AI10" s="16" t="s">
        <v>57</v>
      </c>
      <c r="AJ10" s="16" t="s">
        <v>57</v>
      </c>
      <c r="AK10" s="17">
        <f t="shared" si="1"/>
        <v>16</v>
      </c>
      <c r="AL10" s="11"/>
    </row>
    <row r="11" spans="2:38">
      <c r="B11" s="10">
        <v>545263102</v>
      </c>
      <c r="C11" s="108" t="s">
        <v>67</v>
      </c>
      <c r="E11" s="10" t="s">
        <v>68</v>
      </c>
      <c r="F11" s="11" t="s">
        <v>64</v>
      </c>
      <c r="G11" s="11">
        <v>453201483</v>
      </c>
      <c r="H11" s="11" t="str">
        <f t="shared" si="0"/>
        <v>Direkteinspritzungsmotor</v>
      </c>
      <c r="I11" s="11">
        <v>1000</v>
      </c>
      <c r="J11" s="126">
        <f ca="1">+L61+7.5/24</f>
        <v>46107.4791666667</v>
      </c>
    </row>
    <row r="12" spans="2:38">
      <c r="B12" s="10">
        <v>635241018</v>
      </c>
      <c r="C12" s="108" t="s">
        <v>69</v>
      </c>
      <c r="E12" s="10" t="s">
        <v>70</v>
      </c>
      <c r="F12" s="11" t="s">
        <v>71</v>
      </c>
      <c r="G12" s="11">
        <v>715240360</v>
      </c>
      <c r="H12" s="11" t="str">
        <f t="shared" si="0"/>
        <v>Variablekompressionsmotor</v>
      </c>
      <c r="I12" s="11">
        <v>140</v>
      </c>
      <c r="J12" s="126">
        <f ca="1">+L62+1/24</f>
        <v>46107.25</v>
      </c>
    </row>
    <row r="13" spans="2:38">
      <c r="B13" s="10">
        <v>675230220</v>
      </c>
      <c r="C13" s="108" t="s">
        <v>72</v>
      </c>
      <c r="E13" s="10" t="s">
        <v>73</v>
      </c>
      <c r="F13" s="11" t="s">
        <v>71</v>
      </c>
      <c r="G13" s="11">
        <v>536325201</v>
      </c>
      <c r="H13" s="11" t="str">
        <f t="shared" si="0"/>
        <v>Hybridmotor</v>
      </c>
      <c r="I13" s="11">
        <v>30</v>
      </c>
      <c r="J13" s="126">
        <f ca="1">+L63+1/24</f>
        <v>46107.2916666666</v>
      </c>
    </row>
    <row r="14" spans="2:38">
      <c r="B14" s="10">
        <v>698251201</v>
      </c>
      <c r="C14" s="108" t="s">
        <v>74</v>
      </c>
      <c r="E14" s="10" t="s">
        <v>75</v>
      </c>
      <c r="F14" s="11" t="s">
        <v>71</v>
      </c>
      <c r="G14" s="11">
        <v>520310473</v>
      </c>
      <c r="H14" s="11" t="str">
        <f t="shared" si="0"/>
        <v>Indirekteinspritzungsmotor</v>
      </c>
      <c r="I14" s="11">
        <v>10</v>
      </c>
      <c r="J14" s="126">
        <f ca="1">+L64+1/24</f>
        <v>46107.3333333333</v>
      </c>
    </row>
    <row r="15" spans="2:38">
      <c r="B15" s="90">
        <v>715240360</v>
      </c>
      <c r="C15" s="17" t="s">
        <v>76</v>
      </c>
      <c r="E15" s="10" t="s">
        <v>77</v>
      </c>
      <c r="F15" s="11" t="s">
        <v>78</v>
      </c>
      <c r="G15" s="11">
        <v>698251201</v>
      </c>
      <c r="H15" s="11" t="str">
        <f t="shared" si="0"/>
        <v>Turbomotor</v>
      </c>
      <c r="I15" s="11">
        <v>205</v>
      </c>
      <c r="J15" s="126">
        <f ca="1">+L65+8.25/24</f>
        <v>46107.6770833333</v>
      </c>
    </row>
    <row r="16" spans="2:38">
      <c r="E16" s="10" t="s">
        <v>79</v>
      </c>
      <c r="F16" s="11" t="s">
        <v>80</v>
      </c>
      <c r="G16" s="11">
        <v>698251201</v>
      </c>
      <c r="H16" s="11" t="str">
        <f t="shared" si="0"/>
        <v>Turbomotor</v>
      </c>
      <c r="I16" s="11">
        <v>200</v>
      </c>
      <c r="J16" s="126">
        <f ca="1">+L66+2/24</f>
        <v>46107.4583333333</v>
      </c>
    </row>
    <row r="17" spans="2:10">
      <c r="B17" t="s">
        <v>81</v>
      </c>
      <c r="C17" s="128" t="s">
        <v>82</v>
      </c>
      <c r="E17" s="10" t="s">
        <v>83</v>
      </c>
      <c r="F17" s="11" t="s">
        <v>80</v>
      </c>
      <c r="G17" s="11">
        <v>635241018</v>
      </c>
      <c r="H17" s="11" t="str">
        <f t="shared" si="0"/>
        <v>Wasserstoffmotor</v>
      </c>
      <c r="I17" s="11">
        <v>50</v>
      </c>
      <c r="J17" s="126">
        <f ca="1" t="shared" ref="J17:J24" si="2">+L67+1/24</f>
        <v>46107.4583333333</v>
      </c>
    </row>
    <row r="18" spans="2:10">
      <c r="B18" t="s">
        <v>84</v>
      </c>
      <c r="E18" s="10" t="s">
        <v>85</v>
      </c>
      <c r="F18" s="11" t="s">
        <v>80</v>
      </c>
      <c r="G18" s="11">
        <v>520310473</v>
      </c>
      <c r="H18" s="11" t="str">
        <f t="shared" si="0"/>
        <v>Indirekteinspritzungsmotor</v>
      </c>
      <c r="I18" s="11">
        <v>140</v>
      </c>
      <c r="J18" s="126">
        <f ca="1" t="shared" si="2"/>
        <v>46107.5</v>
      </c>
    </row>
    <row r="19" spans="2:10">
      <c r="E19" s="10" t="s">
        <v>86</v>
      </c>
      <c r="F19" s="11" t="s">
        <v>80</v>
      </c>
      <c r="G19" s="11">
        <v>520310473</v>
      </c>
      <c r="H19" s="11" t="str">
        <f t="shared" si="0"/>
        <v>Indirekteinspritzungsmotor</v>
      </c>
      <c r="I19" s="11">
        <v>115</v>
      </c>
      <c r="J19" s="126">
        <f ca="1" t="shared" si="2"/>
        <v>46107.5416666666</v>
      </c>
    </row>
    <row r="20" spans="2:10">
      <c r="E20" s="10" t="s">
        <v>87</v>
      </c>
      <c r="F20" s="11" t="s">
        <v>80</v>
      </c>
      <c r="G20" s="11">
        <v>545263102</v>
      </c>
      <c r="H20" s="11" t="str">
        <f t="shared" si="0"/>
        <v>Elektromotor</v>
      </c>
      <c r="I20" s="11">
        <v>100</v>
      </c>
      <c r="J20" s="126">
        <f ca="1" t="shared" si="2"/>
        <v>46107.5833333333</v>
      </c>
    </row>
    <row r="21" spans="2:10">
      <c r="E21" s="10" t="s">
        <v>88</v>
      </c>
      <c r="F21" s="11" t="s">
        <v>80</v>
      </c>
      <c r="G21" s="11">
        <v>443014920</v>
      </c>
      <c r="H21" s="11" t="str">
        <f t="shared" si="0"/>
        <v>Dieselmotor</v>
      </c>
      <c r="I21" s="11">
        <v>165</v>
      </c>
      <c r="J21" s="126">
        <f ca="1" t="shared" si="2"/>
        <v>46107.625</v>
      </c>
    </row>
    <row r="22" spans="2:10">
      <c r="E22" s="10" t="s">
        <v>89</v>
      </c>
      <c r="F22" s="11" t="s">
        <v>80</v>
      </c>
      <c r="G22" s="11">
        <v>675230220</v>
      </c>
      <c r="H22" s="11" t="str">
        <f t="shared" si="0"/>
        <v>Erdgasverbrennungsmotor</v>
      </c>
      <c r="I22" s="11">
        <v>120</v>
      </c>
      <c r="J22" s="126">
        <f ca="1" t="shared" si="2"/>
        <v>46107.6666666666</v>
      </c>
    </row>
    <row r="23" spans="2:10">
      <c r="E23" s="10" t="s">
        <v>90</v>
      </c>
      <c r="F23" s="11" t="s">
        <v>80</v>
      </c>
      <c r="G23" s="11">
        <v>635241018</v>
      </c>
      <c r="H23" s="11" t="str">
        <f t="shared" si="0"/>
        <v>Wasserstoffmotor</v>
      </c>
      <c r="I23" s="11">
        <v>290</v>
      </c>
      <c r="J23" s="126">
        <f ca="1" t="shared" si="2"/>
        <v>46107.7083333333</v>
      </c>
    </row>
    <row r="24" spans="2:10">
      <c r="E24" s="10" t="s">
        <v>91</v>
      </c>
      <c r="F24" s="11" t="s">
        <v>80</v>
      </c>
      <c r="G24" s="11">
        <v>635241018</v>
      </c>
      <c r="H24" s="11" t="str">
        <f t="shared" si="0"/>
        <v>Wasserstoffmotor</v>
      </c>
      <c r="I24" s="11">
        <v>205</v>
      </c>
      <c r="J24" s="126">
        <f ca="1" t="shared" si="2"/>
        <v>46107.75</v>
      </c>
    </row>
    <row r="25" spans="2:10">
      <c r="E25" s="10" t="s">
        <v>92</v>
      </c>
      <c r="F25" s="11" t="s">
        <v>93</v>
      </c>
      <c r="G25" s="11">
        <v>715240360</v>
      </c>
      <c r="H25" s="11" t="str">
        <f t="shared" si="0"/>
        <v>Variablekompressionsmotor</v>
      </c>
      <c r="I25" s="11">
        <v>200</v>
      </c>
      <c r="J25" s="126">
        <f ca="1">+L75+8.25/24</f>
        <v>46108.09375</v>
      </c>
    </row>
    <row r="26" spans="2:10">
      <c r="E26" s="10" t="s">
        <v>94</v>
      </c>
      <c r="F26" s="11" t="s">
        <v>93</v>
      </c>
      <c r="G26" s="11">
        <v>536325201</v>
      </c>
      <c r="H26" s="11" t="str">
        <f t="shared" si="0"/>
        <v>Hybridmotor</v>
      </c>
      <c r="I26" s="11">
        <v>110</v>
      </c>
      <c r="J26" s="126">
        <f ca="1">+L76+5.5/24</f>
        <v>46108.0208333333</v>
      </c>
    </row>
    <row r="27" spans="2:10">
      <c r="E27" s="10" t="s">
        <v>95</v>
      </c>
      <c r="F27" s="11" t="s">
        <v>93</v>
      </c>
      <c r="G27" s="11">
        <v>536325201</v>
      </c>
      <c r="H27" s="11" t="str">
        <f t="shared" si="0"/>
        <v>Hybridmotor</v>
      </c>
      <c r="I27" s="11">
        <v>185</v>
      </c>
      <c r="J27" s="126">
        <f ca="1">+L77+1/24</f>
        <v>46107.8749999999</v>
      </c>
    </row>
    <row r="28" spans="2:10">
      <c r="E28" s="10" t="s">
        <v>96</v>
      </c>
      <c r="F28" s="11" t="s">
        <v>93</v>
      </c>
      <c r="G28" s="11">
        <v>545263102</v>
      </c>
      <c r="H28" s="11" t="str">
        <f t="shared" si="0"/>
        <v>Elektromotor</v>
      </c>
      <c r="I28" s="11">
        <v>200</v>
      </c>
      <c r="J28" s="126">
        <f ca="1">+L78+1/24</f>
        <v>46107.9166666666</v>
      </c>
    </row>
    <row r="29" spans="2:10">
      <c r="E29" s="10" t="s">
        <v>97</v>
      </c>
      <c r="F29" s="11" t="s">
        <v>93</v>
      </c>
      <c r="G29" s="11">
        <v>536325201</v>
      </c>
      <c r="H29" s="11" t="str">
        <f t="shared" si="0"/>
        <v>Hybridmotor</v>
      </c>
      <c r="I29" s="11">
        <v>180</v>
      </c>
      <c r="J29" s="126">
        <f ca="1">+L79+1/24</f>
        <v>46107.9583333333</v>
      </c>
    </row>
    <row r="30" spans="2:10">
      <c r="E30" s="10" t="s">
        <v>98</v>
      </c>
      <c r="F30" s="11" t="s">
        <v>99</v>
      </c>
      <c r="G30" s="11">
        <v>402570130</v>
      </c>
      <c r="H30" s="11" t="str">
        <f t="shared" si="0"/>
        <v>Benzinmotor</v>
      </c>
      <c r="I30" s="11">
        <v>200</v>
      </c>
      <c r="J30" s="126">
        <f ca="1">+L80+5.5/24</f>
        <v>46108.1874999999</v>
      </c>
    </row>
    <row r="31" spans="2:10">
      <c r="E31" s="10" t="s">
        <v>100</v>
      </c>
      <c r="F31" s="11" t="s">
        <v>101</v>
      </c>
      <c r="G31" s="11">
        <v>698251201</v>
      </c>
      <c r="H31" s="11" t="str">
        <f t="shared" si="0"/>
        <v>Turbomotor</v>
      </c>
      <c r="I31" s="11">
        <v>290</v>
      </c>
      <c r="J31" s="126">
        <f ca="1">+L81+8/24</f>
        <v>46108.3333333333</v>
      </c>
    </row>
    <row r="32" spans="2:10">
      <c r="E32" s="10" t="s">
        <v>102</v>
      </c>
      <c r="F32" s="11" t="s">
        <v>101</v>
      </c>
      <c r="G32" s="11">
        <v>402570130</v>
      </c>
      <c r="H32" s="11" t="str">
        <f t="shared" si="0"/>
        <v>Benzinmotor</v>
      </c>
      <c r="I32" s="11">
        <v>25</v>
      </c>
      <c r="J32" s="126">
        <f ca="1">+L82+8.5/24</f>
        <v>46108.3958333333</v>
      </c>
    </row>
    <row r="33" spans="5:38">
      <c r="E33" s="10" t="s">
        <v>103</v>
      </c>
      <c r="F33" s="11" t="s">
        <v>101</v>
      </c>
      <c r="G33" s="11">
        <v>443014920</v>
      </c>
      <c r="H33" s="11" t="str">
        <f t="shared" si="0"/>
        <v>Dieselmotor</v>
      </c>
      <c r="I33" s="11">
        <v>300</v>
      </c>
      <c r="J33" s="126">
        <f ca="1">+L83+5.5/24</f>
        <v>46108.3125</v>
      </c>
    </row>
    <row r="34" spans="5:38">
      <c r="E34" s="10" t="s">
        <v>104</v>
      </c>
      <c r="F34" s="11" t="s">
        <v>101</v>
      </c>
      <c r="G34" s="11">
        <v>545263102</v>
      </c>
      <c r="H34" s="11" t="str">
        <f t="shared" si="0"/>
        <v>Elektromotor</v>
      </c>
      <c r="I34" s="11">
        <v>250</v>
      </c>
      <c r="J34" s="126">
        <f ca="1">+L84+4.5/24</f>
        <v>46108.3125</v>
      </c>
    </row>
    <row r="35" spans="5:38">
      <c r="E35" s="10" t="s">
        <v>105</v>
      </c>
      <c r="F35" s="11" t="s">
        <v>106</v>
      </c>
      <c r="G35" s="11">
        <v>453201483</v>
      </c>
      <c r="H35" s="11" t="str">
        <f t="shared" si="0"/>
        <v>Direkteinspritzungsmotor</v>
      </c>
      <c r="I35" s="11">
        <v>45</v>
      </c>
      <c r="J35" s="126">
        <f ca="1">+L85+1/24</f>
        <v>46108.2083333333</v>
      </c>
    </row>
    <row r="36" spans="5:38">
      <c r="E36" s="10" t="s">
        <v>107</v>
      </c>
      <c r="F36" s="11" t="s">
        <v>106</v>
      </c>
      <c r="G36" s="11">
        <v>675230220</v>
      </c>
      <c r="H36" s="11" t="str">
        <f t="shared" si="0"/>
        <v>Erdgasverbrennungsmotor</v>
      </c>
      <c r="I36" s="11">
        <v>75</v>
      </c>
      <c r="J36" s="126">
        <f ca="1">+L86+1/24</f>
        <v>46108.25</v>
      </c>
    </row>
    <row r="37" spans="5:38">
      <c r="E37" s="10" t="s">
        <v>108</v>
      </c>
      <c r="F37" s="11" t="s">
        <v>109</v>
      </c>
      <c r="G37" s="11">
        <v>443014920</v>
      </c>
      <c r="H37" s="11" t="str">
        <f t="shared" si="0"/>
        <v>Dieselmotor</v>
      </c>
      <c r="I37" s="11">
        <v>50</v>
      </c>
      <c r="J37" s="126">
        <f ca="1">+L87+1/24</f>
        <v>46108.2916666666</v>
      </c>
    </row>
    <row r="38" spans="5:38">
      <c r="E38" s="10" t="s">
        <v>110</v>
      </c>
      <c r="F38" s="11" t="s">
        <v>111</v>
      </c>
      <c r="G38" s="11">
        <v>536325201</v>
      </c>
      <c r="H38" s="11" t="str">
        <f t="shared" ref="H38:H69" si="3">IFERROR(VLOOKUP(G38,Produkt,2,FALSE),"")</f>
        <v>Hybridmotor</v>
      </c>
      <c r="I38" s="11">
        <v>120</v>
      </c>
      <c r="J38" s="126">
        <f ca="1">+L88+4/24</f>
        <v>46108.4583333333</v>
      </c>
    </row>
    <row r="39" spans="5:38">
      <c r="E39" s="10" t="s">
        <v>112</v>
      </c>
      <c r="F39" s="11" t="s">
        <v>111</v>
      </c>
      <c r="G39" s="11">
        <v>536325201</v>
      </c>
      <c r="H39" s="11" t="str">
        <f t="shared" si="3"/>
        <v>Hybridmotor</v>
      </c>
      <c r="I39" s="11">
        <v>140</v>
      </c>
      <c r="J39" s="126">
        <f ca="1">+L89+1/24</f>
        <v>46108.375</v>
      </c>
    </row>
    <row r="40" spans="5:38">
      <c r="E40" s="10" t="s">
        <v>113</v>
      </c>
      <c r="F40" s="11" t="s">
        <v>114</v>
      </c>
      <c r="G40" s="11">
        <v>715240360</v>
      </c>
      <c r="H40" s="11" t="str">
        <f t="shared" si="3"/>
        <v>Variablekompressionsmotor</v>
      </c>
      <c r="I40" s="11">
        <v>60</v>
      </c>
      <c r="J40" s="126">
        <f ca="1">+L90+1/24</f>
        <v>46108.4166666666</v>
      </c>
    </row>
    <row r="41" spans="5:38">
      <c r="E41" s="10" t="s">
        <v>115</v>
      </c>
      <c r="F41" s="11" t="s">
        <v>116</v>
      </c>
      <c r="G41" s="11">
        <v>402570130</v>
      </c>
      <c r="H41" s="11" t="str">
        <f t="shared" si="3"/>
        <v>Benzinmotor</v>
      </c>
      <c r="I41" s="11">
        <v>20</v>
      </c>
      <c r="J41" s="126">
        <f ca="1">+L91+6.5/24</f>
        <v>46108.6875</v>
      </c>
    </row>
    <row r="42" spans="5:38">
      <c r="E42" s="10" t="s">
        <v>117</v>
      </c>
      <c r="F42" s="11" t="s">
        <v>116</v>
      </c>
      <c r="G42" s="11">
        <v>520310473</v>
      </c>
      <c r="H42" s="11" t="str">
        <f t="shared" si="3"/>
        <v>Indirekteinspritzungsmotor</v>
      </c>
      <c r="I42" s="11">
        <v>55</v>
      </c>
      <c r="J42" s="126">
        <f ca="1" t="shared" ref="J42:J50" si="4">+L92+1/24</f>
        <v>46108.5</v>
      </c>
    </row>
    <row r="43" spans="5:38">
      <c r="E43" s="10" t="s">
        <v>118</v>
      </c>
      <c r="F43" s="11" t="s">
        <v>116</v>
      </c>
      <c r="G43" s="11">
        <v>453201483</v>
      </c>
      <c r="H43" s="11" t="str">
        <f t="shared" si="3"/>
        <v>Direkteinspritzungsmotor</v>
      </c>
      <c r="I43" s="11">
        <v>75</v>
      </c>
      <c r="J43" s="126">
        <f ca="1" t="shared" si="4"/>
        <v>46108.5416666666</v>
      </c>
    </row>
    <row r="44" spans="5:38">
      <c r="E44" s="10" t="s">
        <v>119</v>
      </c>
      <c r="F44" s="11" t="s">
        <v>116</v>
      </c>
      <c r="G44" s="11">
        <v>635241018</v>
      </c>
      <c r="H44" s="11" t="str">
        <f t="shared" si="3"/>
        <v>Wasserstoffmotor</v>
      </c>
      <c r="I44" s="11">
        <v>100</v>
      </c>
      <c r="J44" s="126">
        <f ca="1" t="shared" si="4"/>
        <v>46108.5833333333</v>
      </c>
    </row>
    <row r="45" spans="5:38">
      <c r="E45" s="10" t="s">
        <v>120</v>
      </c>
      <c r="F45" s="11" t="s">
        <v>116</v>
      </c>
      <c r="G45" s="11">
        <v>675230220</v>
      </c>
      <c r="H45" s="11" t="str">
        <f t="shared" si="3"/>
        <v>Erdgasverbrennungsmotor</v>
      </c>
      <c r="I45" s="11">
        <v>45</v>
      </c>
      <c r="J45" s="126">
        <f ca="1" t="shared" si="4"/>
        <v>46108.625</v>
      </c>
      <c r="L45" s="11" t="s">
        <v>121</v>
      </c>
    </row>
    <row r="46" spans="5:38">
      <c r="E46" s="10" t="s">
        <v>122</v>
      </c>
      <c r="F46" s="11" t="s">
        <v>116</v>
      </c>
      <c r="G46" s="11">
        <v>443014920</v>
      </c>
      <c r="H46" s="11" t="str">
        <f t="shared" si="3"/>
        <v>Dieselmotor</v>
      </c>
      <c r="I46" s="11">
        <v>30</v>
      </c>
      <c r="J46" s="126">
        <f ca="1" t="shared" si="4"/>
        <v>46108.6666666666</v>
      </c>
      <c r="L46" s="11" t="s">
        <v>123</v>
      </c>
      <c r="M46" s="129">
        <f>M5</f>
        <v>0</v>
      </c>
      <c r="N46" s="129">
        <f>N5</f>
        <v>0.0416666666666667</v>
      </c>
      <c r="O46" s="129">
        <f t="shared" ref="O46:AJ46" si="5">O5</f>
        <v>0.0833333333333333</v>
      </c>
      <c r="P46" s="129">
        <f t="shared" si="5"/>
        <v>0.125</v>
      </c>
      <c r="Q46" s="129">
        <f t="shared" si="5"/>
        <v>0.166666666666667</v>
      </c>
      <c r="R46" s="129">
        <f t="shared" si="5"/>
        <v>0.208333333333333</v>
      </c>
      <c r="S46" s="129">
        <f t="shared" si="5"/>
        <v>0.25</v>
      </c>
      <c r="T46" s="129">
        <f t="shared" si="5"/>
        <v>0.291666666666667</v>
      </c>
      <c r="U46" s="129">
        <f t="shared" si="5"/>
        <v>0.333333333333333</v>
      </c>
      <c r="V46" s="129">
        <f t="shared" si="5"/>
        <v>0.375</v>
      </c>
      <c r="W46" s="129">
        <f t="shared" si="5"/>
        <v>0.416666666666667</v>
      </c>
      <c r="X46" s="129">
        <f t="shared" si="5"/>
        <v>0.458333333333333</v>
      </c>
      <c r="Y46" s="129">
        <f t="shared" si="5"/>
        <v>0.5</v>
      </c>
      <c r="Z46" s="129">
        <f t="shared" si="5"/>
        <v>0.541666666666667</v>
      </c>
      <c r="AA46" s="129">
        <f t="shared" si="5"/>
        <v>0.583333333333333</v>
      </c>
      <c r="AB46" s="129">
        <f t="shared" si="5"/>
        <v>0.625</v>
      </c>
      <c r="AC46" s="129">
        <f t="shared" si="5"/>
        <v>0.666666666666667</v>
      </c>
      <c r="AD46" s="129">
        <f t="shared" si="5"/>
        <v>0.708333333333333</v>
      </c>
      <c r="AE46" s="129">
        <f t="shared" si="5"/>
        <v>0.75</v>
      </c>
      <c r="AF46" s="129">
        <f t="shared" si="5"/>
        <v>0.791666666666667</v>
      </c>
      <c r="AG46" s="129">
        <f t="shared" si="5"/>
        <v>0.833333333333333</v>
      </c>
      <c r="AH46" s="129">
        <f t="shared" si="5"/>
        <v>0.875</v>
      </c>
      <c r="AI46" s="129">
        <f t="shared" si="5"/>
        <v>0.916666666666667</v>
      </c>
      <c r="AJ46" s="129">
        <f t="shared" si="5"/>
        <v>0.958333333333333</v>
      </c>
      <c r="AK46" s="129" t="s">
        <v>124</v>
      </c>
      <c r="AL46" s="129"/>
    </row>
    <row r="47" spans="5:38">
      <c r="E47" s="10" t="s">
        <v>125</v>
      </c>
      <c r="F47" s="11" t="s">
        <v>116</v>
      </c>
      <c r="G47" s="11">
        <v>675230220</v>
      </c>
      <c r="H47" s="11" t="str">
        <f t="shared" si="3"/>
        <v>Erdgasverbrennungsmotor</v>
      </c>
      <c r="I47" s="11">
        <v>95</v>
      </c>
      <c r="J47" s="126">
        <f ca="1" t="shared" si="4"/>
        <v>46108.7083333333</v>
      </c>
      <c r="L47" s="130">
        <f ca="1">+L6</f>
        <v>46107</v>
      </c>
      <c r="M47">
        <f>+IF(M6="",0,1)</f>
        <v>0</v>
      </c>
      <c r="N47">
        <f t="shared" ref="N47" si="6">+IF(N6="",0,1)</f>
        <v>0</v>
      </c>
      <c r="O47">
        <f t="shared" ref="O47:AJ47" si="7">+IF(O6="",0,1)</f>
        <v>0</v>
      </c>
      <c r="P47">
        <f t="shared" si="7"/>
        <v>0</v>
      </c>
      <c r="Q47">
        <f t="shared" si="7"/>
        <v>0</v>
      </c>
      <c r="R47">
        <f t="shared" si="7"/>
        <v>0</v>
      </c>
      <c r="S47">
        <f t="shared" si="7"/>
        <v>1</v>
      </c>
      <c r="T47">
        <f t="shared" si="7"/>
        <v>1</v>
      </c>
      <c r="U47">
        <f t="shared" si="7"/>
        <v>1</v>
      </c>
      <c r="V47">
        <f t="shared" si="7"/>
        <v>1</v>
      </c>
      <c r="W47">
        <f t="shared" si="7"/>
        <v>1</v>
      </c>
      <c r="X47">
        <f t="shared" si="7"/>
        <v>1</v>
      </c>
      <c r="Y47">
        <f t="shared" si="7"/>
        <v>1</v>
      </c>
      <c r="Z47">
        <f t="shared" si="7"/>
        <v>1</v>
      </c>
      <c r="AA47">
        <f t="shared" si="7"/>
        <v>1</v>
      </c>
      <c r="AB47">
        <f t="shared" si="7"/>
        <v>1</v>
      </c>
      <c r="AC47">
        <f t="shared" si="7"/>
        <v>1</v>
      </c>
      <c r="AD47">
        <f t="shared" si="7"/>
        <v>1</v>
      </c>
      <c r="AE47">
        <f t="shared" si="7"/>
        <v>1</v>
      </c>
      <c r="AF47">
        <f t="shared" si="7"/>
        <v>1</v>
      </c>
      <c r="AG47">
        <f t="shared" si="7"/>
        <v>1</v>
      </c>
      <c r="AH47">
        <f t="shared" si="7"/>
        <v>1</v>
      </c>
      <c r="AI47">
        <f t="shared" si="7"/>
        <v>0</v>
      </c>
      <c r="AJ47">
        <f t="shared" si="7"/>
        <v>0</v>
      </c>
      <c r="AK47">
        <f>+SUM(M47:AJ47)</f>
        <v>16</v>
      </c>
    </row>
    <row r="48" spans="5:38">
      <c r="E48" s="10" t="s">
        <v>126</v>
      </c>
      <c r="F48" s="11" t="s">
        <v>116</v>
      </c>
      <c r="G48" s="11">
        <v>545263102</v>
      </c>
      <c r="H48" s="11" t="str">
        <f t="shared" si="3"/>
        <v>Elektromotor</v>
      </c>
      <c r="I48" s="11">
        <v>85</v>
      </c>
      <c r="J48" s="126">
        <f ca="1" t="shared" si="4"/>
        <v>46108.75</v>
      </c>
      <c r="L48" s="130">
        <f ca="1">+L7</f>
        <v>46108</v>
      </c>
      <c r="M48">
        <f t="shared" ref="M48:N51" si="8">+IF(M7="",0,1)</f>
        <v>1</v>
      </c>
      <c r="N48">
        <f t="shared" si="8"/>
        <v>1</v>
      </c>
      <c r="O48">
        <f t="shared" ref="O48:AJ48" si="9">+IF(O7="",0,1)</f>
        <v>1</v>
      </c>
      <c r="P48">
        <f t="shared" si="9"/>
        <v>1</v>
      </c>
      <c r="Q48">
        <f t="shared" si="9"/>
        <v>1</v>
      </c>
      <c r="R48">
        <f t="shared" si="9"/>
        <v>1</v>
      </c>
      <c r="S48">
        <f t="shared" si="9"/>
        <v>1</v>
      </c>
      <c r="T48">
        <f t="shared" si="9"/>
        <v>1</v>
      </c>
      <c r="U48">
        <f t="shared" si="9"/>
        <v>1</v>
      </c>
      <c r="V48">
        <f t="shared" si="9"/>
        <v>1</v>
      </c>
      <c r="W48">
        <f t="shared" si="9"/>
        <v>1</v>
      </c>
      <c r="X48">
        <f t="shared" si="9"/>
        <v>1</v>
      </c>
      <c r="Y48">
        <f t="shared" si="9"/>
        <v>1</v>
      </c>
      <c r="Z48">
        <f t="shared" si="9"/>
        <v>1</v>
      </c>
      <c r="AA48">
        <f t="shared" si="9"/>
        <v>0</v>
      </c>
      <c r="AB48">
        <f t="shared" si="9"/>
        <v>0</v>
      </c>
      <c r="AC48">
        <f t="shared" si="9"/>
        <v>0</v>
      </c>
      <c r="AD48">
        <f t="shared" si="9"/>
        <v>0</v>
      </c>
      <c r="AE48">
        <f t="shared" si="9"/>
        <v>0</v>
      </c>
      <c r="AF48">
        <f t="shared" si="9"/>
        <v>0</v>
      </c>
      <c r="AG48">
        <f t="shared" si="9"/>
        <v>0</v>
      </c>
      <c r="AH48">
        <f t="shared" si="9"/>
        <v>0</v>
      </c>
      <c r="AI48">
        <f t="shared" si="9"/>
        <v>1</v>
      </c>
      <c r="AJ48">
        <f t="shared" si="9"/>
        <v>1</v>
      </c>
      <c r="AK48">
        <f t="shared" ref="AK48:AK51" si="10">+SUM(M48:AJ48)</f>
        <v>16</v>
      </c>
    </row>
    <row r="49" spans="5:37">
      <c r="E49" s="10" t="s">
        <v>127</v>
      </c>
      <c r="F49" s="11" t="s">
        <v>116</v>
      </c>
      <c r="G49" s="11">
        <v>545263102</v>
      </c>
      <c r="H49" s="11" t="str">
        <f t="shared" si="3"/>
        <v>Elektromotor</v>
      </c>
      <c r="I49" s="11">
        <v>130</v>
      </c>
      <c r="J49" s="126">
        <f ca="1" t="shared" si="4"/>
        <v>46108.7916666666</v>
      </c>
      <c r="L49" s="130">
        <f ca="1">+L8</f>
        <v>46109</v>
      </c>
      <c r="M49">
        <f t="shared" si="8"/>
        <v>1</v>
      </c>
      <c r="N49">
        <f t="shared" si="8"/>
        <v>1</v>
      </c>
      <c r="O49">
        <f t="shared" ref="O49:AJ49" si="11">+IF(O8="",0,1)</f>
        <v>1</v>
      </c>
      <c r="P49">
        <f t="shared" si="11"/>
        <v>1</v>
      </c>
      <c r="Q49">
        <f t="shared" si="11"/>
        <v>1</v>
      </c>
      <c r="R49">
        <f t="shared" si="11"/>
        <v>1</v>
      </c>
      <c r="S49">
        <f t="shared" si="11"/>
        <v>0</v>
      </c>
      <c r="T49">
        <f t="shared" si="11"/>
        <v>0</v>
      </c>
      <c r="U49">
        <f t="shared" si="11"/>
        <v>0</v>
      </c>
      <c r="V49">
        <f t="shared" si="11"/>
        <v>0</v>
      </c>
      <c r="W49">
        <f t="shared" si="11"/>
        <v>0</v>
      </c>
      <c r="X49">
        <f t="shared" si="11"/>
        <v>0</v>
      </c>
      <c r="Y49">
        <f t="shared" si="11"/>
        <v>0</v>
      </c>
      <c r="Z49">
        <f t="shared" si="11"/>
        <v>0</v>
      </c>
      <c r="AA49">
        <f t="shared" si="11"/>
        <v>1</v>
      </c>
      <c r="AB49">
        <f t="shared" si="11"/>
        <v>1</v>
      </c>
      <c r="AC49">
        <f t="shared" si="11"/>
        <v>1</v>
      </c>
      <c r="AD49">
        <f t="shared" si="11"/>
        <v>1</v>
      </c>
      <c r="AE49">
        <f t="shared" si="11"/>
        <v>1</v>
      </c>
      <c r="AF49">
        <f t="shared" si="11"/>
        <v>1</v>
      </c>
      <c r="AG49">
        <f t="shared" si="11"/>
        <v>1</v>
      </c>
      <c r="AH49">
        <f t="shared" si="11"/>
        <v>1</v>
      </c>
      <c r="AI49">
        <f t="shared" si="11"/>
        <v>1</v>
      </c>
      <c r="AJ49">
        <f t="shared" si="11"/>
        <v>1</v>
      </c>
      <c r="AK49">
        <f t="shared" si="10"/>
        <v>16</v>
      </c>
    </row>
    <row r="50" spans="5:37">
      <c r="E50" s="10" t="s">
        <v>128</v>
      </c>
      <c r="F50" s="11" t="s">
        <v>116</v>
      </c>
      <c r="G50" s="11">
        <v>635241018</v>
      </c>
      <c r="H50" s="11" t="str">
        <f t="shared" si="3"/>
        <v>Wasserstoffmotor</v>
      </c>
      <c r="I50" s="11">
        <v>140</v>
      </c>
      <c r="J50" s="126">
        <f ca="1" t="shared" si="4"/>
        <v>46108.8333333333</v>
      </c>
      <c r="L50" s="130">
        <f ca="1">+L9</f>
        <v>46110</v>
      </c>
      <c r="M50">
        <f t="shared" si="8"/>
        <v>0</v>
      </c>
      <c r="N50">
        <f t="shared" si="8"/>
        <v>0</v>
      </c>
      <c r="O50">
        <f t="shared" ref="O50:AJ50" si="12">+IF(O9="",0,1)</f>
        <v>0</v>
      </c>
      <c r="P50">
        <f t="shared" si="12"/>
        <v>0</v>
      </c>
      <c r="Q50">
        <f t="shared" si="12"/>
        <v>0</v>
      </c>
      <c r="R50">
        <f t="shared" si="12"/>
        <v>0</v>
      </c>
      <c r="S50">
        <f t="shared" si="12"/>
        <v>1</v>
      </c>
      <c r="T50">
        <f t="shared" si="12"/>
        <v>1</v>
      </c>
      <c r="U50">
        <f t="shared" si="12"/>
        <v>1</v>
      </c>
      <c r="V50">
        <f t="shared" si="12"/>
        <v>1</v>
      </c>
      <c r="W50">
        <f t="shared" si="12"/>
        <v>1</v>
      </c>
      <c r="X50">
        <f t="shared" si="12"/>
        <v>1</v>
      </c>
      <c r="Y50">
        <f t="shared" si="12"/>
        <v>1</v>
      </c>
      <c r="Z50">
        <f t="shared" si="12"/>
        <v>1</v>
      </c>
      <c r="AA50">
        <f t="shared" si="12"/>
        <v>1</v>
      </c>
      <c r="AB50">
        <f t="shared" si="12"/>
        <v>1</v>
      </c>
      <c r="AC50">
        <f t="shared" si="12"/>
        <v>1</v>
      </c>
      <c r="AD50">
        <f t="shared" si="12"/>
        <v>1</v>
      </c>
      <c r="AE50">
        <f t="shared" si="12"/>
        <v>1</v>
      </c>
      <c r="AF50">
        <f t="shared" si="12"/>
        <v>1</v>
      </c>
      <c r="AG50">
        <f t="shared" si="12"/>
        <v>1</v>
      </c>
      <c r="AH50">
        <f t="shared" si="12"/>
        <v>1</v>
      </c>
      <c r="AI50">
        <f t="shared" si="12"/>
        <v>0</v>
      </c>
      <c r="AJ50">
        <f t="shared" si="12"/>
        <v>0</v>
      </c>
      <c r="AK50">
        <f t="shared" si="10"/>
        <v>16</v>
      </c>
    </row>
    <row r="51" spans="5:37">
      <c r="E51" s="10" t="s">
        <v>129</v>
      </c>
      <c r="F51" s="11" t="s">
        <v>130</v>
      </c>
      <c r="G51" s="11">
        <v>698251201</v>
      </c>
      <c r="H51" s="11" t="str">
        <f t="shared" si="3"/>
        <v>Turbomotor</v>
      </c>
      <c r="I51" s="11">
        <v>50</v>
      </c>
      <c r="J51" s="126">
        <f ca="1">+L101+3.5/24</f>
        <v>46108.9791666666</v>
      </c>
      <c r="L51" s="130">
        <f ca="1">+L10</f>
        <v>46111</v>
      </c>
      <c r="M51">
        <f t="shared" si="8"/>
        <v>1</v>
      </c>
      <c r="N51">
        <f t="shared" si="8"/>
        <v>1</v>
      </c>
      <c r="O51">
        <f t="shared" ref="O51:AJ51" si="13">+IF(O10="",0,1)</f>
        <v>1</v>
      </c>
      <c r="P51">
        <f t="shared" si="13"/>
        <v>1</v>
      </c>
      <c r="Q51">
        <f t="shared" si="13"/>
        <v>1</v>
      </c>
      <c r="R51">
        <f t="shared" si="13"/>
        <v>1</v>
      </c>
      <c r="S51">
        <f t="shared" si="13"/>
        <v>0</v>
      </c>
      <c r="T51">
        <f t="shared" si="13"/>
        <v>0</v>
      </c>
      <c r="U51">
        <f t="shared" si="13"/>
        <v>0</v>
      </c>
      <c r="V51">
        <f t="shared" si="13"/>
        <v>0</v>
      </c>
      <c r="W51">
        <f t="shared" si="13"/>
        <v>0</v>
      </c>
      <c r="X51">
        <f t="shared" si="13"/>
        <v>0</v>
      </c>
      <c r="Y51">
        <f t="shared" si="13"/>
        <v>0</v>
      </c>
      <c r="Z51">
        <f t="shared" si="13"/>
        <v>0</v>
      </c>
      <c r="AA51">
        <f t="shared" si="13"/>
        <v>1</v>
      </c>
      <c r="AB51">
        <f t="shared" si="13"/>
        <v>1</v>
      </c>
      <c r="AC51">
        <f t="shared" si="13"/>
        <v>1</v>
      </c>
      <c r="AD51">
        <f t="shared" si="13"/>
        <v>1</v>
      </c>
      <c r="AE51">
        <f t="shared" si="13"/>
        <v>1</v>
      </c>
      <c r="AF51">
        <f t="shared" si="13"/>
        <v>1</v>
      </c>
      <c r="AG51">
        <f t="shared" si="13"/>
        <v>1</v>
      </c>
      <c r="AH51">
        <f t="shared" si="13"/>
        <v>1</v>
      </c>
      <c r="AI51">
        <f t="shared" si="13"/>
        <v>1</v>
      </c>
      <c r="AJ51">
        <f t="shared" si="13"/>
        <v>1</v>
      </c>
      <c r="AK51">
        <f t="shared" si="10"/>
        <v>16</v>
      </c>
    </row>
    <row r="52" spans="5:37">
      <c r="E52" s="10" t="s">
        <v>131</v>
      </c>
      <c r="F52" s="11" t="s">
        <v>130</v>
      </c>
      <c r="G52" s="11">
        <v>520310473</v>
      </c>
      <c r="H52" s="11" t="str">
        <f t="shared" si="3"/>
        <v>Indirekteinspritzungsmotor</v>
      </c>
      <c r="I52" s="11">
        <v>30</v>
      </c>
      <c r="J52" s="126">
        <f ca="1">+L102+1/24</f>
        <v>46108.9166666666</v>
      </c>
      <c r="L52" s="11"/>
      <c r="M52" s="11"/>
      <c r="N52" s="11"/>
      <c r="O52" s="11"/>
      <c r="P52" s="11"/>
      <c r="Q52" s="11"/>
      <c r="R52" s="11"/>
      <c r="S52" s="11"/>
      <c r="T52" s="11"/>
      <c r="U52" s="11"/>
      <c r="V52" s="11"/>
      <c r="W52" s="11"/>
      <c r="X52" s="11"/>
      <c r="Y52" s="11"/>
      <c r="Z52" s="11"/>
      <c r="AA52" s="11"/>
      <c r="AB52" s="11"/>
      <c r="AC52" s="11"/>
      <c r="AD52" s="11"/>
      <c r="AE52" s="11"/>
      <c r="AF52" s="11"/>
      <c r="AG52" s="11"/>
      <c r="AH52" s="11"/>
      <c r="AI52" s="11"/>
      <c r="AJ52" s="11"/>
      <c r="AK52" s="11"/>
    </row>
    <row r="53" spans="5:37">
      <c r="E53" s="10" t="s">
        <v>132</v>
      </c>
      <c r="F53" s="11" t="s">
        <v>130</v>
      </c>
      <c r="G53" s="11">
        <v>536325201</v>
      </c>
      <c r="H53" s="11" t="str">
        <f t="shared" si="3"/>
        <v>Hybridmotor</v>
      </c>
      <c r="I53" s="11">
        <v>360</v>
      </c>
      <c r="J53" s="126">
        <f ca="1">+L103+1/24</f>
        <v>46108.9583333333</v>
      </c>
    </row>
    <row r="54" spans="5:37">
      <c r="E54" s="10" t="s">
        <v>133</v>
      </c>
      <c r="F54" s="11" t="s">
        <v>130</v>
      </c>
      <c r="G54" s="11">
        <v>715240360</v>
      </c>
      <c r="H54" s="11" t="str">
        <f t="shared" si="3"/>
        <v>Variablekompressionsmotor</v>
      </c>
      <c r="I54" s="11">
        <v>55</v>
      </c>
      <c r="J54" s="126">
        <f ca="1">+L104+1/24</f>
        <v>46108.9999999999</v>
      </c>
    </row>
    <row r="55" spans="5:37">
      <c r="E55" s="10" t="s">
        <v>134</v>
      </c>
      <c r="F55" s="11" t="s">
        <v>135</v>
      </c>
      <c r="G55" s="11">
        <v>715240360</v>
      </c>
      <c r="H55" s="11" t="str">
        <f t="shared" si="3"/>
        <v>Variablekompressionsmotor</v>
      </c>
      <c r="I55" s="11">
        <v>40</v>
      </c>
      <c r="J55" s="126">
        <f ca="1">+L105+9.5/24</f>
        <v>46109.3958333333</v>
      </c>
    </row>
    <row r="56" spans="5:37">
      <c r="E56" s="10" t="s">
        <v>136</v>
      </c>
      <c r="F56" s="11" t="s">
        <v>135</v>
      </c>
      <c r="G56" s="11">
        <v>520310473</v>
      </c>
      <c r="H56" s="11" t="str">
        <f t="shared" si="3"/>
        <v>Indirekteinspritzungsmotor</v>
      </c>
      <c r="I56" s="11">
        <v>220</v>
      </c>
      <c r="J56" s="126">
        <f ca="1">+L106+6.5/24</f>
        <v>46109.3125</v>
      </c>
      <c r="L56" t="s">
        <v>137</v>
      </c>
      <c r="M56" t="s">
        <v>138</v>
      </c>
      <c r="N56" s="131" t="s">
        <v>139</v>
      </c>
      <c r="O56" t="s">
        <v>140</v>
      </c>
    </row>
    <row r="57" spans="5:37">
      <c r="E57" s="10" t="s">
        <v>141</v>
      </c>
      <c r="F57" s="11" t="s">
        <v>135</v>
      </c>
      <c r="G57" s="11">
        <v>453201483</v>
      </c>
      <c r="H57" s="11" t="str">
        <f t="shared" si="3"/>
        <v>Direkteinspritzungsmotor</v>
      </c>
      <c r="I57" s="11">
        <v>60</v>
      </c>
      <c r="J57" s="126">
        <f ca="1">+L107+7.5/24</f>
        <v>46109.3958333333</v>
      </c>
      <c r="L57" s="33">
        <f ca="1">+L47</f>
        <v>46107</v>
      </c>
      <c r="M57" s="33">
        <f ca="1">+ROUNDDOWN(L57*24,0)/24</f>
        <v>46107</v>
      </c>
      <c r="N57">
        <f>M47</f>
        <v>0</v>
      </c>
      <c r="O57" s="132">
        <f ca="1" t="shared" ref="O57:O88" si="14">+L57</f>
        <v>46107</v>
      </c>
    </row>
    <row r="58" spans="5:37">
      <c r="E58" s="10" t="s">
        <v>142</v>
      </c>
      <c r="F58" s="11" t="s">
        <v>143</v>
      </c>
      <c r="G58" s="11">
        <v>402570130</v>
      </c>
      <c r="H58" s="11" t="str">
        <f t="shared" si="3"/>
        <v>Benzinmotor</v>
      </c>
      <c r="I58" s="11">
        <v>40</v>
      </c>
      <c r="J58" s="126">
        <f ca="1">+L108+9/24</f>
        <v>46109.5</v>
      </c>
      <c r="L58" s="33">
        <f ca="1">+L57+1/24</f>
        <v>46107.0416666667</v>
      </c>
      <c r="M58" s="33">
        <f ca="1">+ROUNDDOWN(L58*24,0)/24</f>
        <v>46107.0416666667</v>
      </c>
      <c r="N58">
        <f>+SUM(M47:N47)</f>
        <v>0</v>
      </c>
      <c r="O58" s="132">
        <f ca="1" t="shared" si="14"/>
        <v>46107.0416666667</v>
      </c>
    </row>
    <row r="59" spans="5:37">
      <c r="E59" s="10" t="s">
        <v>144</v>
      </c>
      <c r="F59" s="11" t="s">
        <v>145</v>
      </c>
      <c r="G59" s="11">
        <v>545263102</v>
      </c>
      <c r="H59" s="11" t="str">
        <f t="shared" si="3"/>
        <v>Elektromotor</v>
      </c>
      <c r="I59" s="11">
        <v>155</v>
      </c>
      <c r="J59" s="126">
        <f ca="1">+L109+1.5/24</f>
        <v>46109.2291666667</v>
      </c>
      <c r="L59" s="33">
        <f ca="1">+L58+1/24</f>
        <v>46107.0833333333</v>
      </c>
      <c r="M59" s="33">
        <f ca="1">+ROUNDDOWN(L59*24,0)/24</f>
        <v>46107.0833333333</v>
      </c>
      <c r="N59">
        <f>+SUM(M47:O47)</f>
        <v>0</v>
      </c>
      <c r="O59" s="132">
        <f ca="1" t="shared" si="14"/>
        <v>46107.0833333333</v>
      </c>
    </row>
    <row r="60" spans="5:37">
      <c r="E60" s="10" t="s">
        <v>146</v>
      </c>
      <c r="F60" s="11" t="s">
        <v>147</v>
      </c>
      <c r="G60" s="11">
        <v>698251201</v>
      </c>
      <c r="H60" s="11" t="str">
        <f t="shared" si="3"/>
        <v>Turbomotor</v>
      </c>
      <c r="I60" s="11">
        <v>245</v>
      </c>
      <c r="J60" s="126">
        <f ca="1">+L110+3/24</f>
        <v>46109.3333333333</v>
      </c>
      <c r="L60" s="33">
        <f ca="1">+L59+1/24</f>
        <v>46107.125</v>
      </c>
      <c r="M60" s="33">
        <f ca="1" t="shared" ref="M60:M88" si="15">+ROUNDDOWN(L60*24,0)/24</f>
        <v>46107.125</v>
      </c>
      <c r="N60">
        <f>+SUM(M47:P47)</f>
        <v>0</v>
      </c>
      <c r="O60" s="132">
        <f ca="1" t="shared" si="14"/>
        <v>46107.125</v>
      </c>
    </row>
    <row r="61" spans="5:37">
      <c r="E61" s="10" t="s">
        <v>148</v>
      </c>
      <c r="F61" s="11" t="s">
        <v>147</v>
      </c>
      <c r="G61" s="11">
        <v>545263102</v>
      </c>
      <c r="H61" s="11" t="str">
        <f t="shared" si="3"/>
        <v>Elektromotor</v>
      </c>
      <c r="I61" s="11">
        <v>145</v>
      </c>
      <c r="J61" s="126">
        <f ca="1">+L111+1/24</f>
        <v>46109.2916666666</v>
      </c>
      <c r="L61" s="33">
        <f ca="1" t="shared" ref="L61:L80" si="16">+L60+1/24</f>
        <v>46107.1666666667</v>
      </c>
      <c r="M61" s="33">
        <f ca="1" t="shared" si="15"/>
        <v>46107.1666666667</v>
      </c>
      <c r="N61">
        <f>+SUM(M47:Q47)</f>
        <v>0</v>
      </c>
      <c r="O61" s="132">
        <f ca="1" t="shared" si="14"/>
        <v>46107.1666666667</v>
      </c>
    </row>
    <row r="62" spans="5:37">
      <c r="E62" s="10" t="s">
        <v>149</v>
      </c>
      <c r="F62" s="11" t="s">
        <v>147</v>
      </c>
      <c r="G62" s="11">
        <v>453201483</v>
      </c>
      <c r="H62" s="11" t="str">
        <f t="shared" si="3"/>
        <v>Direkteinspritzungsmotor</v>
      </c>
      <c r="I62" s="11">
        <v>105</v>
      </c>
      <c r="J62" s="126">
        <f ca="1">+L112+1/24</f>
        <v>46109.3333333333</v>
      </c>
      <c r="L62" s="33">
        <f ca="1" t="shared" si="16"/>
        <v>46107.2083333333</v>
      </c>
      <c r="M62" s="33">
        <f ca="1" t="shared" si="15"/>
        <v>46107.2083333333</v>
      </c>
      <c r="N62">
        <f>+SUM(M47:R47)</f>
        <v>0</v>
      </c>
      <c r="O62" s="132">
        <f ca="1" t="shared" si="14"/>
        <v>46107.2083333333</v>
      </c>
    </row>
    <row r="63" spans="5:37">
      <c r="E63" s="10" t="s">
        <v>150</v>
      </c>
      <c r="F63" s="11" t="s">
        <v>147</v>
      </c>
      <c r="G63" s="11">
        <v>443014920</v>
      </c>
      <c r="H63" s="11" t="str">
        <f t="shared" si="3"/>
        <v>Dieselmotor</v>
      </c>
      <c r="I63" s="11">
        <v>200</v>
      </c>
      <c r="J63" s="126">
        <f ca="1">+L113+1/24</f>
        <v>46109.375</v>
      </c>
      <c r="L63" s="33">
        <f ca="1" t="shared" si="16"/>
        <v>46107.25</v>
      </c>
      <c r="M63" s="33">
        <f ca="1" t="shared" si="15"/>
        <v>46107.25</v>
      </c>
      <c r="N63">
        <f>+SUM(M47:S47)</f>
        <v>1</v>
      </c>
      <c r="O63" s="132">
        <f ca="1" t="shared" si="14"/>
        <v>46107.25</v>
      </c>
      <c r="T63">
        <f ca="1">IFERROR(IF(G26&gt;Aufträge!$L$176,Aufträge!$N$176,VLOOKUP(Q26,Kalender,2,0)),"")</f>
        <v>80</v>
      </c>
    </row>
    <row r="64" spans="5:37">
      <c r="E64" s="10" t="s">
        <v>151</v>
      </c>
      <c r="F64" s="11" t="s">
        <v>147</v>
      </c>
      <c r="G64" s="11">
        <v>536325201</v>
      </c>
      <c r="H64" s="11" t="str">
        <f t="shared" si="3"/>
        <v>Hybridmotor</v>
      </c>
      <c r="I64" s="11">
        <v>50</v>
      </c>
      <c r="J64" s="126">
        <f ca="1">+L114+1/24</f>
        <v>46109.4166666666</v>
      </c>
      <c r="L64" s="33">
        <f ca="1" t="shared" si="16"/>
        <v>46107.2916666666</v>
      </c>
      <c r="M64" s="33">
        <f ca="1" t="shared" si="15"/>
        <v>46107.2916666667</v>
      </c>
      <c r="N64">
        <f>+SUM(M47:T47)</f>
        <v>2</v>
      </c>
      <c r="O64" s="132">
        <f ca="1" t="shared" si="14"/>
        <v>46107.2916666666</v>
      </c>
    </row>
    <row r="65" spans="5:15">
      <c r="E65" s="10" t="s">
        <v>152</v>
      </c>
      <c r="F65" s="11" t="s">
        <v>147</v>
      </c>
      <c r="G65" s="11">
        <v>675230220</v>
      </c>
      <c r="H65" s="11" t="str">
        <f t="shared" si="3"/>
        <v>Erdgasverbrennungsmotor</v>
      </c>
      <c r="I65" s="11">
        <v>20</v>
      </c>
      <c r="J65" s="126">
        <f ca="1">+L115+1/24</f>
        <v>46109.4583333333</v>
      </c>
      <c r="L65" s="33">
        <f ca="1" t="shared" si="16"/>
        <v>46107.3333333333</v>
      </c>
      <c r="M65" s="33">
        <f ca="1" t="shared" si="15"/>
        <v>46107.3333333333</v>
      </c>
      <c r="N65">
        <f>+SUM(M47:U47)</f>
        <v>3</v>
      </c>
      <c r="O65" s="132">
        <f ca="1" t="shared" si="14"/>
        <v>46107.3333333333</v>
      </c>
    </row>
    <row r="66" spans="5:15">
      <c r="E66" s="10" t="s">
        <v>153</v>
      </c>
      <c r="F66" s="11" t="s">
        <v>154</v>
      </c>
      <c r="G66" s="11">
        <v>715240360</v>
      </c>
      <c r="H66" s="11" t="str">
        <f t="shared" si="3"/>
        <v>Variablekompressionsmotor</v>
      </c>
      <c r="I66" s="11">
        <v>40</v>
      </c>
      <c r="J66" s="126">
        <f ca="1">+L116+6/24</f>
        <v>46109.7083333333</v>
      </c>
      <c r="L66" s="33">
        <f ca="1" t="shared" si="16"/>
        <v>46107.375</v>
      </c>
      <c r="M66" s="33">
        <f ca="1" t="shared" si="15"/>
        <v>46107.375</v>
      </c>
      <c r="N66">
        <f>+SUM(M47:V47)</f>
        <v>4</v>
      </c>
      <c r="O66" s="132">
        <f ca="1" t="shared" si="14"/>
        <v>46107.375</v>
      </c>
    </row>
    <row r="67" spans="5:15">
      <c r="E67" s="10" t="s">
        <v>155</v>
      </c>
      <c r="F67" s="11" t="s">
        <v>154</v>
      </c>
      <c r="G67" s="11">
        <v>715240360</v>
      </c>
      <c r="H67" s="11" t="str">
        <f t="shared" si="3"/>
        <v>Variablekompressionsmotor</v>
      </c>
      <c r="I67" s="11">
        <v>100</v>
      </c>
      <c r="J67" s="126">
        <f ca="1">+L117+8.5/24</f>
        <v>46109.8541666666</v>
      </c>
      <c r="L67" s="33">
        <f ca="1" t="shared" si="16"/>
        <v>46107.4166666666</v>
      </c>
      <c r="M67" s="33">
        <f ca="1" t="shared" si="15"/>
        <v>46107.4166666667</v>
      </c>
      <c r="N67">
        <f>+SUM(M47:W47)</f>
        <v>5</v>
      </c>
      <c r="O67" s="132">
        <f ca="1" t="shared" si="14"/>
        <v>46107.4166666666</v>
      </c>
    </row>
    <row r="68" spans="5:15">
      <c r="E68" s="10" t="s">
        <v>156</v>
      </c>
      <c r="F68" s="11" t="s">
        <v>154</v>
      </c>
      <c r="G68" s="11">
        <v>536325201</v>
      </c>
      <c r="H68" s="11" t="str">
        <f t="shared" si="3"/>
        <v>Hybridmotor</v>
      </c>
      <c r="I68" s="11">
        <v>35</v>
      </c>
      <c r="J68" s="126">
        <f ca="1">+L118+1/24</f>
        <v>46109.5833333333</v>
      </c>
      <c r="L68" s="33">
        <f ca="1" t="shared" si="16"/>
        <v>46107.4583333333</v>
      </c>
      <c r="M68" s="33">
        <f ca="1" t="shared" si="15"/>
        <v>46107.4583333333</v>
      </c>
      <c r="N68">
        <f>+SUM(M47:X47)</f>
        <v>6</v>
      </c>
      <c r="O68" s="132">
        <f ca="1" t="shared" si="14"/>
        <v>46107.4583333333</v>
      </c>
    </row>
    <row r="69" spans="5:15">
      <c r="E69" s="10" t="s">
        <v>157</v>
      </c>
      <c r="F69" s="11" t="s">
        <v>154</v>
      </c>
      <c r="G69" s="11">
        <v>453201483</v>
      </c>
      <c r="H69" s="11" t="str">
        <f t="shared" si="3"/>
        <v>Direkteinspritzungsmotor</v>
      </c>
      <c r="I69" s="11">
        <v>30</v>
      </c>
      <c r="J69" s="126">
        <f ca="1">+L119+1/24</f>
        <v>46109.625</v>
      </c>
      <c r="L69" s="33">
        <f ca="1" t="shared" si="16"/>
        <v>46107.5</v>
      </c>
      <c r="M69" s="33">
        <f ca="1" t="shared" si="15"/>
        <v>46107.5</v>
      </c>
      <c r="N69">
        <f>+SUM(M47:Y47)</f>
        <v>7</v>
      </c>
      <c r="O69" s="132">
        <f ca="1" t="shared" si="14"/>
        <v>46107.5</v>
      </c>
    </row>
    <row r="70" spans="5:15">
      <c r="E70" s="10" t="s">
        <v>158</v>
      </c>
      <c r="F70" s="11" t="s">
        <v>154</v>
      </c>
      <c r="G70" s="11">
        <v>635241018</v>
      </c>
      <c r="H70" s="11" t="str">
        <f t="shared" ref="H70:H101" si="17">IFERROR(VLOOKUP(G70,Produkt,2,FALSE),"")</f>
        <v>Wasserstoffmotor</v>
      </c>
      <c r="I70" s="11">
        <v>10</v>
      </c>
      <c r="J70" s="126">
        <f ca="1">+L120+4/24</f>
        <v>46109.7916666666</v>
      </c>
      <c r="L70" s="33">
        <f ca="1" t="shared" si="16"/>
        <v>46107.5416666666</v>
      </c>
      <c r="M70" s="33">
        <f ca="1" t="shared" si="15"/>
        <v>46107.5416666667</v>
      </c>
      <c r="N70">
        <f>+SUM(M47:Z47)</f>
        <v>8</v>
      </c>
      <c r="O70" s="132">
        <f ca="1" t="shared" si="14"/>
        <v>46107.5416666666</v>
      </c>
    </row>
    <row r="71" spans="5:15">
      <c r="E71" s="10" t="s">
        <v>159</v>
      </c>
      <c r="F71" s="11" t="s">
        <v>160</v>
      </c>
      <c r="G71" s="11">
        <v>698251201</v>
      </c>
      <c r="H71" s="11" t="str">
        <f t="shared" si="17"/>
        <v>Turbomotor</v>
      </c>
      <c r="I71" s="11">
        <v>520</v>
      </c>
      <c r="J71" s="126">
        <f ca="1" t="shared" ref="J71:J77" si="18">+L121+1/24</f>
        <v>46109.7083333333</v>
      </c>
      <c r="L71" s="33">
        <f ca="1" t="shared" si="16"/>
        <v>46107.5833333333</v>
      </c>
      <c r="M71" s="33">
        <f ca="1" t="shared" si="15"/>
        <v>46107.5833333333</v>
      </c>
      <c r="N71">
        <f>+SUM(M47:AA47)</f>
        <v>9</v>
      </c>
      <c r="O71" s="132">
        <f ca="1" t="shared" si="14"/>
        <v>46107.5833333333</v>
      </c>
    </row>
    <row r="72" spans="5:15">
      <c r="E72" s="10" t="s">
        <v>161</v>
      </c>
      <c r="F72" s="11" t="s">
        <v>162</v>
      </c>
      <c r="G72" s="11">
        <v>453201483</v>
      </c>
      <c r="H72" s="11" t="str">
        <f t="shared" si="17"/>
        <v>Direkteinspritzungsmotor</v>
      </c>
      <c r="I72" s="11">
        <v>260</v>
      </c>
      <c r="J72" s="126">
        <f ca="1" t="shared" si="18"/>
        <v>46109.75</v>
      </c>
      <c r="L72" s="33">
        <f ca="1" t="shared" si="16"/>
        <v>46107.625</v>
      </c>
      <c r="M72" s="33">
        <f ca="1" t="shared" si="15"/>
        <v>46107.625</v>
      </c>
      <c r="N72">
        <f>+SUM(M47:AB47)</f>
        <v>10</v>
      </c>
      <c r="O72" s="132">
        <f ca="1" t="shared" si="14"/>
        <v>46107.625</v>
      </c>
    </row>
    <row r="73" spans="5:15">
      <c r="E73" s="10" t="s">
        <v>163</v>
      </c>
      <c r="F73" s="11" t="s">
        <v>162</v>
      </c>
      <c r="G73" s="11">
        <v>698251201</v>
      </c>
      <c r="H73" s="11" t="str">
        <f t="shared" si="17"/>
        <v>Turbomotor</v>
      </c>
      <c r="I73" s="11">
        <v>80</v>
      </c>
      <c r="J73" s="126">
        <f ca="1" t="shared" si="18"/>
        <v>46109.7916666666</v>
      </c>
      <c r="L73" s="33">
        <f ca="1" t="shared" si="16"/>
        <v>46107.6666666666</v>
      </c>
      <c r="M73" s="33">
        <f ca="1" t="shared" si="15"/>
        <v>46107.6666666667</v>
      </c>
      <c r="N73">
        <f>+SUM(M47:AC47)</f>
        <v>11</v>
      </c>
      <c r="O73" s="132">
        <f ca="1" t="shared" si="14"/>
        <v>46107.6666666666</v>
      </c>
    </row>
    <row r="74" spans="5:15">
      <c r="E74" s="10" t="s">
        <v>164</v>
      </c>
      <c r="F74" s="11" t="s">
        <v>162</v>
      </c>
      <c r="G74" s="11">
        <v>545263102</v>
      </c>
      <c r="H74" s="11" t="str">
        <f t="shared" si="17"/>
        <v>Elektromotor</v>
      </c>
      <c r="I74" s="11">
        <v>75</v>
      </c>
      <c r="J74" s="126">
        <f ca="1" t="shared" si="18"/>
        <v>46109.8333333333</v>
      </c>
      <c r="L74" s="33">
        <f ca="1" t="shared" si="16"/>
        <v>46107.7083333333</v>
      </c>
      <c r="M74" s="33">
        <f ca="1" t="shared" si="15"/>
        <v>46107.7083333333</v>
      </c>
      <c r="N74">
        <f>+SUM(M47:AD47)</f>
        <v>12</v>
      </c>
      <c r="O74" s="132">
        <f ca="1" t="shared" si="14"/>
        <v>46107.7083333333</v>
      </c>
    </row>
    <row r="75" spans="5:15">
      <c r="E75" s="10" t="s">
        <v>165</v>
      </c>
      <c r="F75" s="11" t="s">
        <v>162</v>
      </c>
      <c r="G75" s="11">
        <v>443014920</v>
      </c>
      <c r="H75" s="11" t="str">
        <f t="shared" si="17"/>
        <v>Dieselmotor</v>
      </c>
      <c r="I75" s="11">
        <v>40</v>
      </c>
      <c r="J75" s="126">
        <f ca="1" t="shared" si="18"/>
        <v>46109.8749999999</v>
      </c>
      <c r="L75" s="33">
        <f ca="1" t="shared" si="16"/>
        <v>46107.75</v>
      </c>
      <c r="M75" s="33">
        <f ca="1" t="shared" si="15"/>
        <v>46107.75</v>
      </c>
      <c r="N75">
        <f>+SUM(M47:AE47)</f>
        <v>13</v>
      </c>
      <c r="O75" s="132">
        <f ca="1" t="shared" si="14"/>
        <v>46107.75</v>
      </c>
    </row>
    <row r="76" spans="5:15">
      <c r="E76" s="10" t="s">
        <v>166</v>
      </c>
      <c r="F76" s="11" t="s">
        <v>162</v>
      </c>
      <c r="G76" s="11">
        <v>675230220</v>
      </c>
      <c r="H76" s="11" t="str">
        <f t="shared" si="17"/>
        <v>Erdgasverbrennungsmotor</v>
      </c>
      <c r="I76" s="11">
        <v>65</v>
      </c>
      <c r="J76" s="126">
        <f ca="1" t="shared" si="18"/>
        <v>46109.9166666666</v>
      </c>
      <c r="L76" s="33">
        <f ca="1" t="shared" si="16"/>
        <v>46107.7916666666</v>
      </c>
      <c r="M76" s="33">
        <f ca="1" t="shared" si="15"/>
        <v>46107.7916666667</v>
      </c>
      <c r="N76">
        <f>+SUM(M47:AF47)</f>
        <v>14</v>
      </c>
      <c r="O76" s="132">
        <f ca="1" t="shared" si="14"/>
        <v>46107.7916666666</v>
      </c>
    </row>
    <row r="77" spans="5:15">
      <c r="E77" s="10" t="s">
        <v>167</v>
      </c>
      <c r="F77" s="11" t="s">
        <v>162</v>
      </c>
      <c r="G77" s="11">
        <v>443014920</v>
      </c>
      <c r="H77" s="11" t="str">
        <f t="shared" si="17"/>
        <v>Dieselmotor</v>
      </c>
      <c r="I77" s="11">
        <v>105</v>
      </c>
      <c r="J77" s="126">
        <f ca="1" t="shared" si="18"/>
        <v>46109.9583333333</v>
      </c>
      <c r="L77" s="33">
        <f ca="1" t="shared" si="16"/>
        <v>46107.8333333333</v>
      </c>
      <c r="M77" s="33">
        <f ca="1" t="shared" si="15"/>
        <v>46107.8333333333</v>
      </c>
      <c r="N77">
        <f>+SUM(M47:AG47)</f>
        <v>15</v>
      </c>
      <c r="O77" s="132">
        <f ca="1" t="shared" si="14"/>
        <v>46107.8333333333</v>
      </c>
    </row>
    <row r="78" spans="5:15">
      <c r="E78" s="10" t="s">
        <v>168</v>
      </c>
      <c r="F78" s="11" t="s">
        <v>169</v>
      </c>
      <c r="G78" s="11">
        <v>545263102</v>
      </c>
      <c r="H78" s="11" t="str">
        <f t="shared" si="17"/>
        <v>Elektromotor</v>
      </c>
      <c r="I78" s="11">
        <v>230</v>
      </c>
      <c r="J78" s="126">
        <f ca="1">+L128+8.5/24</f>
        <v>46110.3124999999</v>
      </c>
      <c r="L78" s="33">
        <f ca="1" t="shared" si="16"/>
        <v>46107.8749999999</v>
      </c>
      <c r="M78" s="33">
        <f ca="1" t="shared" si="15"/>
        <v>46107.875</v>
      </c>
      <c r="N78">
        <f>+SUM(M47:AH47)</f>
        <v>16</v>
      </c>
      <c r="O78" s="132">
        <f ca="1" t="shared" si="14"/>
        <v>46107.8749999999</v>
      </c>
    </row>
    <row r="79" spans="5:15">
      <c r="E79" s="10" t="s">
        <v>170</v>
      </c>
      <c r="F79" s="11" t="s">
        <v>169</v>
      </c>
      <c r="G79" s="11">
        <v>545263102</v>
      </c>
      <c r="H79" s="11" t="str">
        <f t="shared" si="17"/>
        <v>Elektromotor</v>
      </c>
      <c r="I79" s="11">
        <v>40</v>
      </c>
      <c r="J79" s="126">
        <f ca="1" t="shared" ref="J79:J85" si="19">+L129+1/24</f>
        <v>46110.0416666667</v>
      </c>
      <c r="L79" s="33">
        <f ca="1" t="shared" si="16"/>
        <v>46107.9166666666</v>
      </c>
      <c r="M79" s="33">
        <f ca="1" t="shared" si="15"/>
        <v>46107.9166666667</v>
      </c>
      <c r="N79">
        <f>+SUM(M47:AI47)</f>
        <v>16</v>
      </c>
      <c r="O79" s="132">
        <f ca="1" t="shared" si="14"/>
        <v>46107.9166666666</v>
      </c>
    </row>
    <row r="80" spans="5:15">
      <c r="E80" s="10" t="s">
        <v>171</v>
      </c>
      <c r="F80" s="11" t="s">
        <v>169</v>
      </c>
      <c r="G80" s="11">
        <v>545263102</v>
      </c>
      <c r="H80" s="11" t="str">
        <f t="shared" si="17"/>
        <v>Elektromotor</v>
      </c>
      <c r="I80" s="11">
        <v>50</v>
      </c>
      <c r="J80" s="126">
        <f ca="1" t="shared" si="19"/>
        <v>46110.0833333333</v>
      </c>
      <c r="L80" s="33">
        <f ca="1" t="shared" si="16"/>
        <v>46107.9583333333</v>
      </c>
      <c r="M80" s="33">
        <f ca="1" t="shared" si="15"/>
        <v>46107.9583333333</v>
      </c>
      <c r="N80">
        <f>+SUM(M47:AJ47)</f>
        <v>16</v>
      </c>
      <c r="O80" s="132">
        <f ca="1" t="shared" si="14"/>
        <v>46107.9583333333</v>
      </c>
    </row>
    <row r="81" spans="5:15">
      <c r="E81" s="10" t="s">
        <v>172</v>
      </c>
      <c r="F81" s="11" t="s">
        <v>169</v>
      </c>
      <c r="G81" s="11">
        <v>545263102</v>
      </c>
      <c r="H81" s="11" t="str">
        <f t="shared" si="17"/>
        <v>Elektromotor</v>
      </c>
      <c r="I81" s="11">
        <v>55</v>
      </c>
      <c r="J81" s="126">
        <f ca="1" t="shared" si="19"/>
        <v>46110.125</v>
      </c>
      <c r="L81" s="33">
        <f ca="1">+L48</f>
        <v>46108</v>
      </c>
      <c r="M81" s="33">
        <f ca="1" t="shared" si="15"/>
        <v>46108</v>
      </c>
      <c r="N81">
        <f>SUM(M47:AJ47)+M48</f>
        <v>17</v>
      </c>
      <c r="O81" s="132">
        <f ca="1" t="shared" si="14"/>
        <v>46108</v>
      </c>
    </row>
    <row r="82" spans="5:15">
      <c r="E82" s="10" t="s">
        <v>173</v>
      </c>
      <c r="F82" s="11" t="s">
        <v>169</v>
      </c>
      <c r="G82" s="11">
        <v>545263102</v>
      </c>
      <c r="H82" s="11" t="str">
        <f t="shared" si="17"/>
        <v>Elektromotor</v>
      </c>
      <c r="I82" s="11">
        <v>60</v>
      </c>
      <c r="J82" s="126">
        <f ca="1" t="shared" si="19"/>
        <v>46110.1666666667</v>
      </c>
      <c r="L82" s="33">
        <f ca="1">+L81+1/24</f>
        <v>46108.0416666667</v>
      </c>
      <c r="M82" s="33">
        <f ca="1" t="shared" si="15"/>
        <v>46108.0416666667</v>
      </c>
      <c r="N82">
        <f>+SUM(M47:AJ47)+SUM(M48:N48)</f>
        <v>18</v>
      </c>
      <c r="O82" s="132">
        <f ca="1" t="shared" si="14"/>
        <v>46108.0416666667</v>
      </c>
    </row>
    <row r="83" spans="5:15">
      <c r="E83" s="10" t="s">
        <v>174</v>
      </c>
      <c r="F83" s="11" t="s">
        <v>169</v>
      </c>
      <c r="G83" s="11">
        <v>545263102</v>
      </c>
      <c r="H83" s="11" t="str">
        <f t="shared" si="17"/>
        <v>Elektromotor</v>
      </c>
      <c r="I83" s="11">
        <v>65</v>
      </c>
      <c r="J83" s="126">
        <f ca="1" t="shared" si="19"/>
        <v>46110.2083333333</v>
      </c>
      <c r="L83" s="33">
        <f ca="1">+L82+1/24</f>
        <v>46108.0833333333</v>
      </c>
      <c r="M83" s="33">
        <f ca="1" t="shared" si="15"/>
        <v>46108.0833333333</v>
      </c>
      <c r="N83">
        <f>+SUM(M47:AJ47)+SUM(M48:O48)</f>
        <v>19</v>
      </c>
      <c r="O83" s="132">
        <f ca="1" t="shared" si="14"/>
        <v>46108.0833333333</v>
      </c>
    </row>
    <row r="84" spans="5:15">
      <c r="E84" s="10" t="s">
        <v>175</v>
      </c>
      <c r="F84" s="11" t="s">
        <v>169</v>
      </c>
      <c r="G84" s="11">
        <v>545263102</v>
      </c>
      <c r="H84" s="11" t="str">
        <f t="shared" si="17"/>
        <v>Elektromotor</v>
      </c>
      <c r="I84" s="11">
        <v>95</v>
      </c>
      <c r="J84" s="126">
        <f ca="1" t="shared" si="19"/>
        <v>46110.25</v>
      </c>
      <c r="L84" s="33">
        <f ca="1" t="shared" ref="L84:L104" si="20">+L83+1/24</f>
        <v>46108.125</v>
      </c>
      <c r="M84" s="33">
        <f ca="1" t="shared" si="15"/>
        <v>46108.125</v>
      </c>
      <c r="N84">
        <f>+SUM(M47:AJ47)+SUM(M48:P48)</f>
        <v>20</v>
      </c>
      <c r="O84" s="132">
        <f ca="1" t="shared" si="14"/>
        <v>46108.125</v>
      </c>
    </row>
    <row r="85" spans="5:15">
      <c r="E85" s="10" t="s">
        <v>176</v>
      </c>
      <c r="F85" s="11" t="s">
        <v>177</v>
      </c>
      <c r="G85" s="11">
        <v>545263102</v>
      </c>
      <c r="H85" s="11" t="str">
        <f t="shared" si="17"/>
        <v>Elektromotor</v>
      </c>
      <c r="I85" s="11">
        <v>15</v>
      </c>
      <c r="J85" s="126">
        <f ca="1" t="shared" si="19"/>
        <v>46110.2916666666</v>
      </c>
      <c r="L85" s="33">
        <f ca="1" t="shared" si="20"/>
        <v>46108.1666666667</v>
      </c>
      <c r="M85" s="33">
        <f ca="1" t="shared" si="15"/>
        <v>46108.1666666667</v>
      </c>
      <c r="N85">
        <f>+SUM(M47:AJ47)+SUM(M48:Q48)</f>
        <v>21</v>
      </c>
      <c r="O85" s="132">
        <f ca="1" t="shared" si="14"/>
        <v>46108.1666666667</v>
      </c>
    </row>
    <row r="86" spans="5:15">
      <c r="E86" s="10" t="s">
        <v>178</v>
      </c>
      <c r="F86" s="11" t="s">
        <v>179</v>
      </c>
      <c r="G86" s="11">
        <v>402570130</v>
      </c>
      <c r="H86" s="11" t="str">
        <f t="shared" si="17"/>
        <v>Benzinmotor</v>
      </c>
      <c r="I86" s="11">
        <v>280</v>
      </c>
      <c r="J86" s="126">
        <f ca="1">+L136+10.15/24</f>
        <v>46110.7145833333</v>
      </c>
      <c r="L86" s="33">
        <f ca="1" t="shared" si="20"/>
        <v>46108.2083333333</v>
      </c>
      <c r="M86" s="33">
        <f ca="1" t="shared" si="15"/>
        <v>46108.2083333333</v>
      </c>
      <c r="N86">
        <f>+SUM(M47:AJ47)+SUM(M48:R48)</f>
        <v>22</v>
      </c>
      <c r="O86" s="132">
        <f ca="1" t="shared" si="14"/>
        <v>46108.2083333333</v>
      </c>
    </row>
    <row r="87" spans="5:15">
      <c r="E87" s="10" t="s">
        <v>180</v>
      </c>
      <c r="F87" s="11" t="s">
        <v>179</v>
      </c>
      <c r="G87" s="11">
        <v>520310473</v>
      </c>
      <c r="H87" s="11" t="str">
        <f t="shared" si="17"/>
        <v>Indirekteinspritzungsmotor</v>
      </c>
      <c r="I87" s="11">
        <v>160</v>
      </c>
      <c r="J87" s="126">
        <f ca="1" t="shared" ref="J87:J92" si="21">+L137+1/24</f>
        <v>46110.375</v>
      </c>
      <c r="L87" s="33">
        <f ca="1" t="shared" si="20"/>
        <v>46108.25</v>
      </c>
      <c r="M87" s="33">
        <f ca="1" t="shared" si="15"/>
        <v>46108.25</v>
      </c>
      <c r="N87">
        <f>+SUM(M47:AJ47)+SUM(M48:S48)</f>
        <v>23</v>
      </c>
      <c r="O87" s="132">
        <f ca="1" t="shared" si="14"/>
        <v>46108.25</v>
      </c>
    </row>
    <row r="88" spans="5:15">
      <c r="E88" s="10" t="s">
        <v>181</v>
      </c>
      <c r="F88" s="11" t="s">
        <v>179</v>
      </c>
      <c r="G88" s="11">
        <v>453201483</v>
      </c>
      <c r="H88" s="11" t="str">
        <f t="shared" si="17"/>
        <v>Direkteinspritzungsmotor</v>
      </c>
      <c r="I88" s="11">
        <v>155</v>
      </c>
      <c r="J88" s="126">
        <f ca="1" t="shared" si="21"/>
        <v>46110.4166666666</v>
      </c>
      <c r="L88" s="33">
        <f ca="1" t="shared" si="20"/>
        <v>46108.2916666666</v>
      </c>
      <c r="M88" s="33">
        <f ca="1" t="shared" si="15"/>
        <v>46108.2916666667</v>
      </c>
      <c r="N88">
        <f>+SUM(M47:AJ47)+SUM(M48:T48)</f>
        <v>24</v>
      </c>
      <c r="O88" s="132">
        <f ca="1" t="shared" si="14"/>
        <v>46108.2916666666</v>
      </c>
    </row>
    <row r="89" spans="5:15">
      <c r="E89" s="10" t="s">
        <v>182</v>
      </c>
      <c r="F89" s="11" t="s">
        <v>179</v>
      </c>
      <c r="G89" s="11">
        <v>520310473</v>
      </c>
      <c r="H89" s="11" t="str">
        <f t="shared" si="17"/>
        <v>Indirekteinspritzungsmotor</v>
      </c>
      <c r="I89" s="11">
        <v>115</v>
      </c>
      <c r="J89" s="126">
        <f ca="1" t="shared" si="21"/>
        <v>46110.4583333333</v>
      </c>
      <c r="L89" s="33">
        <f ca="1" t="shared" si="20"/>
        <v>46108.3333333333</v>
      </c>
      <c r="M89" s="33">
        <f ca="1" t="shared" ref="M89:M120" si="22">+ROUNDDOWN(L89*24,0)/24</f>
        <v>46108.3333333333</v>
      </c>
      <c r="N89">
        <f>+SUM(M47:AJ47)+SUM(M48:U48)</f>
        <v>25</v>
      </c>
      <c r="O89" s="132">
        <f ca="1" t="shared" ref="O89:O120" si="23">+L89</f>
        <v>46108.3333333333</v>
      </c>
    </row>
    <row r="90" spans="5:15">
      <c r="E90" s="10" t="s">
        <v>183</v>
      </c>
      <c r="F90" s="11" t="s">
        <v>179</v>
      </c>
      <c r="G90" s="11">
        <v>453201483</v>
      </c>
      <c r="H90" s="11" t="str">
        <f t="shared" si="17"/>
        <v>Direkteinspritzungsmotor</v>
      </c>
      <c r="I90" s="11">
        <v>170</v>
      </c>
      <c r="J90" s="126">
        <f ca="1" t="shared" si="21"/>
        <v>46110.5</v>
      </c>
      <c r="L90" s="33">
        <f ca="1" t="shared" si="20"/>
        <v>46108.375</v>
      </c>
      <c r="M90" s="33">
        <f ca="1" t="shared" si="22"/>
        <v>46108.375</v>
      </c>
      <c r="N90">
        <f>+SUM(M47:AJ47)+SUM(M48:V48)</f>
        <v>26</v>
      </c>
      <c r="O90" s="132">
        <f ca="1" t="shared" si="23"/>
        <v>46108.375</v>
      </c>
    </row>
    <row r="91" spans="5:15">
      <c r="E91" s="10" t="s">
        <v>184</v>
      </c>
      <c r="F91" s="11" t="s">
        <v>179</v>
      </c>
      <c r="G91" s="11">
        <v>443014920</v>
      </c>
      <c r="H91" s="11" t="str">
        <f t="shared" si="17"/>
        <v>Dieselmotor</v>
      </c>
      <c r="I91" s="11">
        <v>180</v>
      </c>
      <c r="J91" s="126">
        <f ca="1" t="shared" si="21"/>
        <v>46110.5416666666</v>
      </c>
      <c r="L91" s="33">
        <f ca="1" t="shared" si="20"/>
        <v>46108.4166666666</v>
      </c>
      <c r="M91" s="33">
        <f ca="1" t="shared" si="22"/>
        <v>46108.4166666667</v>
      </c>
      <c r="N91">
        <f>+SUM(M47:AJ47)+SUM(M48:W48)</f>
        <v>27</v>
      </c>
      <c r="O91" s="132">
        <f ca="1" t="shared" si="23"/>
        <v>46108.4166666666</v>
      </c>
    </row>
    <row r="92" spans="5:15">
      <c r="E92" s="10" t="s">
        <v>185</v>
      </c>
      <c r="F92" s="11" t="s">
        <v>179</v>
      </c>
      <c r="G92" s="11">
        <v>545263102</v>
      </c>
      <c r="H92" s="11" t="str">
        <f t="shared" si="17"/>
        <v>Elektromotor</v>
      </c>
      <c r="I92" s="11">
        <v>155</v>
      </c>
      <c r="J92" s="126">
        <f ca="1" t="shared" si="21"/>
        <v>46110.5833333333</v>
      </c>
      <c r="L92" s="33">
        <f ca="1" t="shared" si="20"/>
        <v>46108.4583333333</v>
      </c>
      <c r="M92" s="33">
        <f ca="1" t="shared" si="22"/>
        <v>46108.4583333333</v>
      </c>
      <c r="N92">
        <f>+SUM(M47:AJ47)+SUM(M48:X48)</f>
        <v>28</v>
      </c>
      <c r="O92" s="132">
        <f ca="1" t="shared" si="23"/>
        <v>46108.4583333333</v>
      </c>
    </row>
    <row r="93" spans="5:15">
      <c r="E93" s="10" t="s">
        <v>186</v>
      </c>
      <c r="F93" s="11" t="s">
        <v>187</v>
      </c>
      <c r="G93" s="11">
        <v>715240360</v>
      </c>
      <c r="H93" s="11" t="str">
        <f t="shared" si="17"/>
        <v>Variablekompressionsmotor</v>
      </c>
      <c r="I93" s="11">
        <v>150</v>
      </c>
      <c r="J93" s="126">
        <f ca="1">+L143+10/24</f>
        <v>46111</v>
      </c>
      <c r="L93" s="33">
        <f ca="1" t="shared" si="20"/>
        <v>46108.5</v>
      </c>
      <c r="M93" s="33">
        <f ca="1" t="shared" si="22"/>
        <v>46108.5</v>
      </c>
      <c r="N93">
        <f>+SUM(M47:AJ47)+SUM(M48:Y48)</f>
        <v>29</v>
      </c>
      <c r="O93" s="132">
        <f ca="1" t="shared" si="23"/>
        <v>46108.5</v>
      </c>
    </row>
    <row r="94" spans="5:15">
      <c r="E94" s="10" t="s">
        <v>188</v>
      </c>
      <c r="F94" s="11" t="s">
        <v>187</v>
      </c>
      <c r="G94" s="11">
        <v>402570130</v>
      </c>
      <c r="H94" s="11" t="str">
        <f t="shared" si="17"/>
        <v>Benzinmotor</v>
      </c>
      <c r="I94" s="11">
        <v>180</v>
      </c>
      <c r="J94" s="126">
        <f ca="1">+L144+1/24</f>
        <v>46110.6666666666</v>
      </c>
      <c r="L94" s="33">
        <f ca="1" t="shared" si="20"/>
        <v>46108.5416666666</v>
      </c>
      <c r="M94" s="33">
        <f ca="1" t="shared" si="22"/>
        <v>46108.5416666667</v>
      </c>
      <c r="N94">
        <f>+SUM(M47:AJ47)+SUM(M48:Z48)</f>
        <v>30</v>
      </c>
      <c r="O94" s="132">
        <f ca="1" t="shared" si="23"/>
        <v>46108.5416666666</v>
      </c>
    </row>
    <row r="95" spans="5:15">
      <c r="E95" s="10" t="s">
        <v>189</v>
      </c>
      <c r="F95" s="11" t="s">
        <v>187</v>
      </c>
      <c r="G95" s="11">
        <v>520310473</v>
      </c>
      <c r="H95" s="11" t="str">
        <f t="shared" si="17"/>
        <v>Indirekteinspritzungsmotor</v>
      </c>
      <c r="I95" s="11">
        <v>140</v>
      </c>
      <c r="J95" s="126">
        <f ca="1">+L145+1/24</f>
        <v>46110.7083333333</v>
      </c>
      <c r="L95" s="33">
        <f ca="1" t="shared" si="20"/>
        <v>46108.5833333333</v>
      </c>
      <c r="M95" s="33">
        <f ca="1" t="shared" si="22"/>
        <v>46108.5833333333</v>
      </c>
      <c r="N95">
        <f>+SUM(M47:AJ47)+SUM(M48:AA48)</f>
        <v>30</v>
      </c>
      <c r="O95" s="132">
        <f ca="1" t="shared" si="23"/>
        <v>46108.5833333333</v>
      </c>
    </row>
    <row r="96" spans="5:15">
      <c r="E96" s="10" t="s">
        <v>190</v>
      </c>
      <c r="F96" s="11" t="s">
        <v>187</v>
      </c>
      <c r="G96" s="11">
        <v>715240360</v>
      </c>
      <c r="H96" s="11" t="str">
        <f t="shared" si="17"/>
        <v>Variablekompressionsmotor</v>
      </c>
      <c r="I96" s="11">
        <v>160</v>
      </c>
      <c r="J96" s="126">
        <f ca="1">+L146+1/24</f>
        <v>46110.75</v>
      </c>
      <c r="L96" s="33">
        <f ca="1" t="shared" si="20"/>
        <v>46108.625</v>
      </c>
      <c r="M96" s="33">
        <f ca="1" t="shared" si="22"/>
        <v>46108.625</v>
      </c>
      <c r="N96">
        <f>+SUM(M47:AJ47)+SUM(M48:AB48)</f>
        <v>30</v>
      </c>
      <c r="O96" s="132">
        <f ca="1" t="shared" si="23"/>
        <v>46108.625</v>
      </c>
    </row>
    <row r="97" spans="5:15">
      <c r="E97" s="10" t="s">
        <v>191</v>
      </c>
      <c r="F97" s="11" t="s">
        <v>187</v>
      </c>
      <c r="G97" s="11">
        <v>675230220</v>
      </c>
      <c r="H97" s="11" t="str">
        <f t="shared" si="17"/>
        <v>Erdgasverbrennungsmotor</v>
      </c>
      <c r="I97" s="11">
        <v>190</v>
      </c>
      <c r="J97" s="126">
        <f ca="1">+L147+1/24</f>
        <v>46110.7916666666</v>
      </c>
      <c r="L97" s="33">
        <f ca="1" t="shared" si="20"/>
        <v>46108.6666666666</v>
      </c>
      <c r="M97" s="33">
        <f ca="1" t="shared" si="22"/>
        <v>46108.6666666667</v>
      </c>
      <c r="N97">
        <f>+SUM(M47:AJ47)+SUM(M48:AC48)</f>
        <v>30</v>
      </c>
      <c r="O97" s="132">
        <f ca="1" t="shared" si="23"/>
        <v>46108.6666666666</v>
      </c>
    </row>
    <row r="98" spans="5:15">
      <c r="E98" s="10" t="s">
        <v>192</v>
      </c>
      <c r="F98" s="11" t="s">
        <v>187</v>
      </c>
      <c r="G98" s="11">
        <v>635241018</v>
      </c>
      <c r="H98" s="11" t="str">
        <f t="shared" si="17"/>
        <v>Wasserstoffmotor</v>
      </c>
      <c r="I98" s="11">
        <v>140</v>
      </c>
      <c r="J98" s="126">
        <f ca="1">+L148+5.5/24</f>
        <v>46111.0208333333</v>
      </c>
      <c r="L98" s="33">
        <f ca="1" t="shared" si="20"/>
        <v>46108.7083333333</v>
      </c>
      <c r="M98" s="33">
        <f ca="1" t="shared" si="22"/>
        <v>46108.7083333333</v>
      </c>
      <c r="N98">
        <f>+SUM(M47:AJ47)+SUM(M48:AD48)</f>
        <v>30</v>
      </c>
      <c r="O98" s="132">
        <f ca="1" t="shared" si="23"/>
        <v>46108.7083333333</v>
      </c>
    </row>
    <row r="99" spans="5:15">
      <c r="E99" s="10" t="s">
        <v>193</v>
      </c>
      <c r="F99" s="11" t="s">
        <v>187</v>
      </c>
      <c r="G99" s="11">
        <v>443014920</v>
      </c>
      <c r="H99" s="11" t="str">
        <f t="shared" si="17"/>
        <v>Dieselmotor</v>
      </c>
      <c r="I99" s="11">
        <v>185</v>
      </c>
      <c r="J99" s="126">
        <f ca="1">+L149+1/24</f>
        <v>46110.8749999999</v>
      </c>
      <c r="L99" s="33">
        <f ca="1" t="shared" si="20"/>
        <v>46108.75</v>
      </c>
      <c r="M99" s="33">
        <f ca="1" t="shared" si="22"/>
        <v>46108.75</v>
      </c>
      <c r="N99">
        <f>+SUM(M47:AJ47)+SUM(M48:AE48)</f>
        <v>30</v>
      </c>
      <c r="O99" s="132">
        <f ca="1" t="shared" si="23"/>
        <v>46108.75</v>
      </c>
    </row>
    <row r="100" spans="5:15">
      <c r="E100" s="10" t="s">
        <v>194</v>
      </c>
      <c r="F100" s="11" t="s">
        <v>187</v>
      </c>
      <c r="G100" s="11">
        <v>675230220</v>
      </c>
      <c r="H100" s="11" t="str">
        <f t="shared" si="17"/>
        <v>Erdgasverbrennungsmotor</v>
      </c>
      <c r="I100" s="11">
        <v>145</v>
      </c>
      <c r="J100" s="126">
        <f ca="1">+L150+1/24</f>
        <v>46110.9166666666</v>
      </c>
      <c r="L100" s="33">
        <f ca="1" t="shared" si="20"/>
        <v>46108.7916666666</v>
      </c>
      <c r="M100" s="33">
        <f ca="1" t="shared" si="22"/>
        <v>46108.7916666667</v>
      </c>
      <c r="N100">
        <f>+SUM(M47:AJ47)+SUM(M48:AF48)</f>
        <v>30</v>
      </c>
      <c r="O100" s="132">
        <f ca="1" t="shared" si="23"/>
        <v>46108.7916666666</v>
      </c>
    </row>
    <row r="101" spans="5:15">
      <c r="E101" s="10" t="s">
        <v>195</v>
      </c>
      <c r="F101" s="11" t="s">
        <v>187</v>
      </c>
      <c r="G101" s="11">
        <v>675230220</v>
      </c>
      <c r="H101" s="11" t="str">
        <f t="shared" si="17"/>
        <v>Erdgasverbrennungsmotor</v>
      </c>
      <c r="I101" s="11">
        <v>65</v>
      </c>
      <c r="J101" s="126">
        <f ca="1">+L151+1/24</f>
        <v>46110.9583333333</v>
      </c>
      <c r="L101" s="33">
        <f ca="1" t="shared" si="20"/>
        <v>46108.8333333333</v>
      </c>
      <c r="M101" s="33">
        <f ca="1" t="shared" si="22"/>
        <v>46108.8333333333</v>
      </c>
      <c r="N101">
        <f>+SUM(M47:AJ47)+SUM(M48:AG48)</f>
        <v>30</v>
      </c>
      <c r="O101" s="132">
        <f ca="1" t="shared" si="23"/>
        <v>46108.8333333333</v>
      </c>
    </row>
    <row r="102" spans="5:15">
      <c r="E102" s="10" t="s">
        <v>196</v>
      </c>
      <c r="F102" s="11" t="s">
        <v>197</v>
      </c>
      <c r="G102" s="11">
        <v>402570130</v>
      </c>
      <c r="H102" s="11" t="str">
        <f t="shared" ref="H102:H133" si="24">IFERROR(VLOOKUP(G102,Produkt,2,FALSE),"")</f>
        <v>Benzinmotor</v>
      </c>
      <c r="I102" s="11">
        <v>180</v>
      </c>
      <c r="J102" s="126">
        <f ca="1">+L152+10.5/24</f>
        <v>46111.3958333333</v>
      </c>
      <c r="L102" s="33">
        <f ca="1" t="shared" si="20"/>
        <v>46108.8749999999</v>
      </c>
      <c r="M102" s="33">
        <f ca="1" t="shared" si="22"/>
        <v>46108.875</v>
      </c>
      <c r="N102">
        <f>+SUM(M47:AJ47)+SUM(M48:AH48)</f>
        <v>30</v>
      </c>
      <c r="O102" s="132">
        <f ca="1" t="shared" si="23"/>
        <v>46108.8749999999</v>
      </c>
    </row>
    <row r="103" spans="5:15">
      <c r="E103" s="10" t="s">
        <v>198</v>
      </c>
      <c r="F103" s="11" t="s">
        <v>197</v>
      </c>
      <c r="G103" s="11">
        <v>536325201</v>
      </c>
      <c r="H103" s="11" t="str">
        <f t="shared" si="24"/>
        <v>Hybridmotor</v>
      </c>
      <c r="I103" s="11">
        <v>302</v>
      </c>
      <c r="J103" s="126">
        <f ca="1">+L153+10/24</f>
        <v>46111.4166666666</v>
      </c>
      <c r="L103" s="33">
        <f ca="1" t="shared" si="20"/>
        <v>46108.9166666666</v>
      </c>
      <c r="M103" s="33">
        <f ca="1" t="shared" si="22"/>
        <v>46108.9166666667</v>
      </c>
      <c r="N103">
        <f>+SUM(M47:AJ47)+SUM(M48:AI48)</f>
        <v>31</v>
      </c>
      <c r="O103" s="132">
        <f ca="1" t="shared" si="23"/>
        <v>46108.9166666666</v>
      </c>
    </row>
    <row r="104" spans="5:15">
      <c r="E104" s="10" t="s">
        <v>199</v>
      </c>
      <c r="F104" s="11" t="s">
        <v>197</v>
      </c>
      <c r="G104" s="11">
        <v>536325201</v>
      </c>
      <c r="H104" s="11" t="str">
        <f t="shared" si="24"/>
        <v>Hybridmotor</v>
      </c>
      <c r="I104" s="11">
        <v>120</v>
      </c>
      <c r="J104" s="126">
        <f ca="1">+L154+15/24</f>
        <v>46111.6666666666</v>
      </c>
      <c r="L104" s="33">
        <f ca="1" t="shared" si="20"/>
        <v>46108.9583333333</v>
      </c>
      <c r="M104" s="33">
        <f ca="1" t="shared" si="22"/>
        <v>46108.9583333333</v>
      </c>
      <c r="N104">
        <f>+SUM(M47:AJ47)+SUM(M48:AJ48)</f>
        <v>32</v>
      </c>
      <c r="O104" s="132">
        <f ca="1" t="shared" si="23"/>
        <v>46108.9583333333</v>
      </c>
    </row>
    <row r="105" spans="5:15">
      <c r="E105" s="10" t="s">
        <v>200</v>
      </c>
      <c r="F105" s="11" t="s">
        <v>197</v>
      </c>
      <c r="G105" s="11">
        <v>698251201</v>
      </c>
      <c r="H105" s="16" t="str">
        <f t="shared" si="24"/>
        <v>Turbomotor</v>
      </c>
      <c r="I105" s="16">
        <v>130</v>
      </c>
      <c r="J105" s="126">
        <f ca="1">+L155+10/24</f>
        <v>46111.4999999999</v>
      </c>
      <c r="L105" s="33">
        <f ca="1">+L49</f>
        <v>46109</v>
      </c>
      <c r="M105" s="33">
        <f ca="1" t="shared" si="22"/>
        <v>46109</v>
      </c>
      <c r="N105">
        <f>+SUM(M47:AJ47)+SUM(M48:AJ48)+M49</f>
        <v>33</v>
      </c>
      <c r="O105" s="132">
        <f ca="1" t="shared" si="23"/>
        <v>46109</v>
      </c>
    </row>
    <row r="106" spans="5:15">
      <c r="L106" s="33">
        <f ca="1">+L105+1/24</f>
        <v>46109.0416666667</v>
      </c>
      <c r="M106" s="33">
        <f ca="1" t="shared" si="22"/>
        <v>46109.0416666667</v>
      </c>
      <c r="N106">
        <f>+SUM(M47:AJ47)+SUM(M48:AJ48)+SUM(M49:N49)</f>
        <v>34</v>
      </c>
      <c r="O106" s="132">
        <f ca="1" t="shared" si="23"/>
        <v>46109.0416666667</v>
      </c>
    </row>
    <row r="107" spans="5:15">
      <c r="L107" s="33">
        <f ca="1">+L106+1/24</f>
        <v>46109.0833333333</v>
      </c>
      <c r="M107" s="33">
        <f ca="1" t="shared" si="22"/>
        <v>46109.0833333333</v>
      </c>
      <c r="N107">
        <f>+SUM(M47:AJ47)+SUM(M48:AJ48)+SUM(M49:O49)</f>
        <v>35</v>
      </c>
      <c r="O107" s="132">
        <f ca="1" t="shared" si="23"/>
        <v>46109.0833333333</v>
      </c>
    </row>
    <row r="108" spans="5:15">
      <c r="L108" s="33">
        <f ca="1">+L107+1/24</f>
        <v>46109.125</v>
      </c>
      <c r="M108" s="33">
        <f ca="1" t="shared" si="22"/>
        <v>46109.125</v>
      </c>
      <c r="N108">
        <f>+SUM(M47:AJ47)+SUM(M48:AJ48)+SUM(M49:P49)</f>
        <v>36</v>
      </c>
      <c r="O108" s="132">
        <f ca="1" t="shared" si="23"/>
        <v>46109.125</v>
      </c>
    </row>
    <row r="109" spans="5:15">
      <c r="L109" s="33">
        <f ca="1" t="shared" ref="L109:L128" si="25">+L108+1/24</f>
        <v>46109.1666666667</v>
      </c>
      <c r="M109" s="33">
        <f ca="1" t="shared" si="22"/>
        <v>46109.1666666667</v>
      </c>
      <c r="N109">
        <f>+SUM(M47:AJ47)+SUM(M48:AJ48)+SUM(M49:Q49)</f>
        <v>37</v>
      </c>
      <c r="O109" s="132">
        <f ca="1" t="shared" si="23"/>
        <v>46109.1666666667</v>
      </c>
    </row>
    <row r="110" spans="5:15">
      <c r="L110" s="33">
        <f ca="1" t="shared" si="25"/>
        <v>46109.2083333333</v>
      </c>
      <c r="M110" s="33">
        <f ca="1" t="shared" si="22"/>
        <v>46109.2083333333</v>
      </c>
      <c r="N110">
        <f>+SUM(M47:AJ47)+SUM(M48:AJ48)+SUM(M49:R49)</f>
        <v>38</v>
      </c>
      <c r="O110" s="132">
        <f ca="1" t="shared" si="23"/>
        <v>46109.2083333333</v>
      </c>
    </row>
    <row r="111" spans="5:15">
      <c r="L111" s="33">
        <f ca="1" t="shared" si="25"/>
        <v>46109.25</v>
      </c>
      <c r="M111" s="33">
        <f ca="1" t="shared" si="22"/>
        <v>46109.25</v>
      </c>
      <c r="N111">
        <f>+SUM(M47:AJ47)+SUM(M48:AJ48)+SUM(M49:S49)</f>
        <v>38</v>
      </c>
      <c r="O111" s="132">
        <f ca="1" t="shared" si="23"/>
        <v>46109.25</v>
      </c>
    </row>
    <row r="112" spans="5:15">
      <c r="L112" s="33">
        <f ca="1" t="shared" si="25"/>
        <v>46109.2916666666</v>
      </c>
      <c r="M112" s="33">
        <f ca="1" t="shared" si="22"/>
        <v>46109.2916666667</v>
      </c>
      <c r="N112">
        <f>+SUM(M47:AJ47)+SUM(M48:AJ48)+SUM(M49:T49)</f>
        <v>38</v>
      </c>
      <c r="O112" s="132">
        <f ca="1" t="shared" si="23"/>
        <v>46109.2916666666</v>
      </c>
    </row>
    <row r="113" spans="12:15">
      <c r="L113" s="33">
        <f ca="1" t="shared" si="25"/>
        <v>46109.3333333333</v>
      </c>
      <c r="M113" s="33">
        <f ca="1" t="shared" si="22"/>
        <v>46109.3333333333</v>
      </c>
      <c r="N113">
        <f>+SUM(M47:AJ47)+SUM(M48:AJ48)+SUM(M49:U49)</f>
        <v>38</v>
      </c>
      <c r="O113" s="132">
        <f ca="1" t="shared" si="23"/>
        <v>46109.3333333333</v>
      </c>
    </row>
    <row r="114" spans="12:15">
      <c r="L114" s="33">
        <f ca="1" t="shared" si="25"/>
        <v>46109.375</v>
      </c>
      <c r="M114" s="33">
        <f ca="1" t="shared" si="22"/>
        <v>46109.375</v>
      </c>
      <c r="N114">
        <f>+SUM(M47:AJ47)+SUM(M48:AJ48)+SUM(M49:V49)</f>
        <v>38</v>
      </c>
      <c r="O114" s="132">
        <f ca="1" t="shared" si="23"/>
        <v>46109.375</v>
      </c>
    </row>
    <row r="115" spans="12:15">
      <c r="L115" s="33">
        <f ca="1" t="shared" si="25"/>
        <v>46109.4166666666</v>
      </c>
      <c r="M115" s="33">
        <f ca="1" t="shared" si="22"/>
        <v>46109.4166666667</v>
      </c>
      <c r="N115">
        <f>+SUM(M47:AJ47)+SUM(M48:AJ48)+SUM(M49:W49)</f>
        <v>38</v>
      </c>
      <c r="O115" s="132">
        <f ca="1" t="shared" si="23"/>
        <v>46109.4166666666</v>
      </c>
    </row>
    <row r="116" spans="12:15">
      <c r="L116" s="33">
        <f ca="1" t="shared" si="25"/>
        <v>46109.4583333333</v>
      </c>
      <c r="M116" s="33">
        <f ca="1" t="shared" si="22"/>
        <v>46109.4583333333</v>
      </c>
      <c r="N116">
        <f>+SUM(M47:AJ47)+SUM(M48:AJ48)+SUM(M49:X49)</f>
        <v>38</v>
      </c>
      <c r="O116" s="132">
        <f ca="1" t="shared" si="23"/>
        <v>46109.4583333333</v>
      </c>
    </row>
    <row r="117" spans="12:15">
      <c r="L117" s="33">
        <f ca="1" t="shared" si="25"/>
        <v>46109.5</v>
      </c>
      <c r="M117" s="33">
        <f ca="1" t="shared" si="22"/>
        <v>46109.5</v>
      </c>
      <c r="N117">
        <f>+SUM(M47:AJ47)+SUM(M48:AJ48)+SUM(M49:Y49)</f>
        <v>38</v>
      </c>
      <c r="O117" s="132">
        <f ca="1" t="shared" si="23"/>
        <v>46109.5</v>
      </c>
    </row>
    <row r="118" spans="12:15">
      <c r="L118" s="33">
        <f ca="1" t="shared" si="25"/>
        <v>46109.5416666666</v>
      </c>
      <c r="M118" s="33">
        <f ca="1" t="shared" si="22"/>
        <v>46109.5416666667</v>
      </c>
      <c r="N118">
        <f>+SUM(M47:AJ47)+SUM(M48:AJ48)+SUM(M49:Z49)</f>
        <v>38</v>
      </c>
      <c r="O118" s="132">
        <f ca="1" t="shared" si="23"/>
        <v>46109.5416666666</v>
      </c>
    </row>
    <row r="119" spans="12:15">
      <c r="L119" s="33">
        <f ca="1" t="shared" si="25"/>
        <v>46109.5833333333</v>
      </c>
      <c r="M119" s="33">
        <f ca="1" t="shared" si="22"/>
        <v>46109.5833333333</v>
      </c>
      <c r="N119">
        <f>+SUM(M47:AJ47)+SUM(M48:AJ48)+SUM(M49:AA49)</f>
        <v>39</v>
      </c>
      <c r="O119" s="132">
        <f ca="1" t="shared" si="23"/>
        <v>46109.5833333333</v>
      </c>
    </row>
    <row r="120" spans="12:15">
      <c r="L120" s="33">
        <f ca="1" t="shared" si="25"/>
        <v>46109.625</v>
      </c>
      <c r="M120" s="33">
        <f ca="1" t="shared" si="22"/>
        <v>46109.625</v>
      </c>
      <c r="N120">
        <f>+SUM(M47:AJ47)+SUM(M48:AJ48)+SUM(M49:AB49)</f>
        <v>40</v>
      </c>
      <c r="O120" s="132">
        <f ca="1" t="shared" si="23"/>
        <v>46109.625</v>
      </c>
    </row>
    <row r="121" spans="12:15">
      <c r="L121" s="33">
        <f ca="1" t="shared" si="25"/>
        <v>46109.6666666666</v>
      </c>
      <c r="M121" s="33">
        <f ca="1" t="shared" ref="M121:M152" si="26">+ROUNDDOWN(L121*24,0)/24</f>
        <v>46109.6666666667</v>
      </c>
      <c r="N121">
        <f>+SUM(M47:AJ47)+SUM(M48:AJ48)+SUM(M49:AC49)</f>
        <v>41</v>
      </c>
      <c r="O121" s="132">
        <f ca="1" t="shared" ref="O121:O176" si="27">+L121</f>
        <v>46109.6666666666</v>
      </c>
    </row>
    <row r="122" spans="12:15">
      <c r="L122" s="33">
        <f ca="1" t="shared" si="25"/>
        <v>46109.7083333333</v>
      </c>
      <c r="M122" s="33">
        <f ca="1" t="shared" si="26"/>
        <v>46109.7083333333</v>
      </c>
      <c r="N122">
        <f>+SUM(M47:AJ47)+SUM(M48:AJ48)+SUM(M49:AD49)</f>
        <v>42</v>
      </c>
      <c r="O122" s="132">
        <f ca="1" t="shared" si="27"/>
        <v>46109.7083333333</v>
      </c>
    </row>
    <row r="123" spans="12:15">
      <c r="L123" s="33">
        <f ca="1" t="shared" si="25"/>
        <v>46109.75</v>
      </c>
      <c r="M123" s="33">
        <f ca="1" t="shared" si="26"/>
        <v>46109.75</v>
      </c>
      <c r="N123">
        <f>+SUM(M47:AJ47)+SUM(M48:AJ48)+SUM(M49:AE49)</f>
        <v>43</v>
      </c>
      <c r="O123" s="132">
        <f ca="1" t="shared" si="27"/>
        <v>46109.75</v>
      </c>
    </row>
    <row r="124" spans="12:15">
      <c r="L124" s="33">
        <f ca="1" t="shared" si="25"/>
        <v>46109.7916666666</v>
      </c>
      <c r="M124" s="33">
        <f ca="1" t="shared" si="26"/>
        <v>46109.7916666667</v>
      </c>
      <c r="N124">
        <f>+SUM(M47:AJ47)+SUM(M48:AJ48)+SUM(M49:AF49)</f>
        <v>44</v>
      </c>
      <c r="O124" s="132">
        <f ca="1" t="shared" si="27"/>
        <v>46109.7916666666</v>
      </c>
    </row>
    <row r="125" spans="12:15">
      <c r="L125" s="33">
        <f ca="1" t="shared" si="25"/>
        <v>46109.8333333333</v>
      </c>
      <c r="M125" s="33">
        <f ca="1" t="shared" si="26"/>
        <v>46109.8333333333</v>
      </c>
      <c r="N125">
        <f>+SUM(M47:AJ47)+SUM(M48:AJ48)+SUM(M49:AG49)</f>
        <v>45</v>
      </c>
      <c r="O125" s="132">
        <f ca="1" t="shared" si="27"/>
        <v>46109.8333333333</v>
      </c>
    </row>
    <row r="126" spans="12:15">
      <c r="L126" s="33">
        <f ca="1" t="shared" si="25"/>
        <v>46109.8749999999</v>
      </c>
      <c r="M126" s="33">
        <f ca="1" t="shared" si="26"/>
        <v>46109.875</v>
      </c>
      <c r="N126">
        <f>+SUM(M47:AJ47)+SUM(M48:AJ48)+SUM(M49:AH49)</f>
        <v>46</v>
      </c>
      <c r="O126" s="132">
        <f ca="1" t="shared" si="27"/>
        <v>46109.8749999999</v>
      </c>
    </row>
    <row r="127" spans="12:15">
      <c r="L127" s="33">
        <f ca="1" t="shared" si="25"/>
        <v>46109.9166666666</v>
      </c>
      <c r="M127" s="33">
        <f ca="1" t="shared" si="26"/>
        <v>46109.9166666667</v>
      </c>
      <c r="N127">
        <f>+SUM(M47:AJ47)+SUM(M48:AJ48)+SUM(M49:AI49)</f>
        <v>47</v>
      </c>
      <c r="O127" s="132">
        <f ca="1" t="shared" si="27"/>
        <v>46109.9166666666</v>
      </c>
    </row>
    <row r="128" spans="12:15">
      <c r="L128" s="33">
        <f ca="1" t="shared" si="25"/>
        <v>46109.9583333333</v>
      </c>
      <c r="M128" s="33">
        <f ca="1" t="shared" si="26"/>
        <v>46109.9583333333</v>
      </c>
      <c r="N128">
        <f>+SUM(M47:AJ47)+SUM(M48:AJ48)+SUM(M49:AJ49)</f>
        <v>48</v>
      </c>
      <c r="O128" s="132">
        <f ca="1" t="shared" si="27"/>
        <v>46109.9583333333</v>
      </c>
    </row>
    <row r="129" spans="12:15">
      <c r="L129" s="33">
        <f ca="1">+L50</f>
        <v>46110</v>
      </c>
      <c r="M129" s="33">
        <f ca="1" t="shared" si="26"/>
        <v>46110</v>
      </c>
      <c r="N129">
        <f>+SUM(M47:AJ47)+SUM(M48:AJ48)+SUM(M49:AJ49)+M50</f>
        <v>48</v>
      </c>
      <c r="O129" s="132">
        <f ca="1" t="shared" si="27"/>
        <v>46110</v>
      </c>
    </row>
    <row r="130" spans="12:15">
      <c r="L130" s="33">
        <f ca="1">L129+1/24</f>
        <v>46110.0416666667</v>
      </c>
      <c r="M130" s="33">
        <f ca="1" t="shared" si="26"/>
        <v>46110.0416666667</v>
      </c>
      <c r="N130">
        <f>+SUM(M47:AJ47)+SUM(M48:AJ48)+SUM(M49:AJ49)+SUM(M50:N50)</f>
        <v>48</v>
      </c>
      <c r="O130" s="132">
        <f ca="1" t="shared" si="27"/>
        <v>46110.0416666667</v>
      </c>
    </row>
    <row r="131" spans="12:15">
      <c r="L131" s="33">
        <f ca="1" t="shared" ref="L131:L176" si="28">L130+1/24</f>
        <v>46110.0833333333</v>
      </c>
      <c r="M131" s="33">
        <f ca="1" t="shared" si="26"/>
        <v>46110.0833333333</v>
      </c>
      <c r="N131">
        <f>+SUM(M47:AJ47)+SUM(M48:AJ48)+SUM(M49:AJ49)+SUM(M50:O50)</f>
        <v>48</v>
      </c>
      <c r="O131" s="132">
        <f ca="1" t="shared" si="27"/>
        <v>46110.0833333333</v>
      </c>
    </row>
    <row r="132" spans="12:15">
      <c r="L132" s="33">
        <f ca="1" t="shared" si="28"/>
        <v>46110.125</v>
      </c>
      <c r="M132" s="33">
        <f ca="1" t="shared" si="26"/>
        <v>46110.125</v>
      </c>
      <c r="N132">
        <f>+SUM(M47:AJ47)+SUM(M48:AJ48)+SUM(M49:AJ49)+SUM(M50:P50)</f>
        <v>48</v>
      </c>
      <c r="O132" s="132">
        <f ca="1" t="shared" si="27"/>
        <v>46110.125</v>
      </c>
    </row>
    <row r="133" spans="12:15">
      <c r="L133" s="33">
        <f ca="1" t="shared" si="28"/>
        <v>46110.1666666667</v>
      </c>
      <c r="M133" s="33">
        <f ca="1" t="shared" si="26"/>
        <v>46110.1666666667</v>
      </c>
      <c r="N133">
        <f>+SUM(M47:AJ47)+SUM(M48:AJ48)+SUM(M49:AJ49)+SUM(M50:Q50)</f>
        <v>48</v>
      </c>
      <c r="O133" s="132">
        <f ca="1" t="shared" si="27"/>
        <v>46110.1666666667</v>
      </c>
    </row>
    <row r="134" spans="12:15">
      <c r="L134" s="33">
        <f ca="1" t="shared" si="28"/>
        <v>46110.2083333333</v>
      </c>
      <c r="M134" s="33">
        <f ca="1" t="shared" si="26"/>
        <v>46110.2083333333</v>
      </c>
      <c r="N134">
        <f>+SUM(M47:AJ47)+SUM(M48:AJ48)+SUM(M49:AJ49)+SUM(M50:R50)</f>
        <v>48</v>
      </c>
      <c r="O134" s="132">
        <f ca="1" t="shared" si="27"/>
        <v>46110.2083333333</v>
      </c>
    </row>
    <row r="135" spans="12:15">
      <c r="L135" s="33">
        <f ca="1" t="shared" si="28"/>
        <v>46110.25</v>
      </c>
      <c r="M135" s="33">
        <f ca="1" t="shared" si="26"/>
        <v>46110.25</v>
      </c>
      <c r="N135">
        <f>+SUM(M47:AJ47)+SUM(M48:AJ48)+SUM(M49:AJ49)+SUM(M50:S50)</f>
        <v>49</v>
      </c>
      <c r="O135" s="132">
        <f ca="1" t="shared" si="27"/>
        <v>46110.25</v>
      </c>
    </row>
    <row r="136" spans="12:15">
      <c r="L136" s="33">
        <f ca="1" t="shared" si="28"/>
        <v>46110.2916666666</v>
      </c>
      <c r="M136" s="33">
        <f ca="1" t="shared" si="26"/>
        <v>46110.2916666667</v>
      </c>
      <c r="N136">
        <f>+SUM(M47:AJ47)+SUM(M48:AJ48)+SUM(M49:AJ49)+SUM(M50:T50)</f>
        <v>50</v>
      </c>
      <c r="O136" s="132">
        <f ca="1" t="shared" si="27"/>
        <v>46110.2916666666</v>
      </c>
    </row>
    <row r="137" spans="12:15">
      <c r="L137" s="33">
        <f ca="1" t="shared" si="28"/>
        <v>46110.3333333333</v>
      </c>
      <c r="M137" s="33">
        <f ca="1" t="shared" si="26"/>
        <v>46110.3333333333</v>
      </c>
      <c r="N137">
        <f>+SUM(M47:AJ47)+SUM(M48:AJ48)+SUM(M49:AJ49)+SUM(M50:U50)</f>
        <v>51</v>
      </c>
      <c r="O137" s="132">
        <f ca="1" t="shared" si="27"/>
        <v>46110.3333333333</v>
      </c>
    </row>
    <row r="138" spans="12:15">
      <c r="L138" s="33">
        <f ca="1" t="shared" si="28"/>
        <v>46110.375</v>
      </c>
      <c r="M138" s="33">
        <f ca="1" t="shared" si="26"/>
        <v>46110.375</v>
      </c>
      <c r="N138">
        <f>+SUM(M47:AJ47)+SUM(M48:AJ48)+SUM(M49:AJ49)+SUM(M50:V50)</f>
        <v>52</v>
      </c>
      <c r="O138" s="132">
        <f ca="1" t="shared" si="27"/>
        <v>46110.375</v>
      </c>
    </row>
    <row r="139" spans="12:15">
      <c r="L139" s="33">
        <f ca="1" t="shared" si="28"/>
        <v>46110.4166666666</v>
      </c>
      <c r="M139" s="33">
        <f ca="1" t="shared" si="26"/>
        <v>46110.4166666667</v>
      </c>
      <c r="N139">
        <f>+SUM(M47:AJ47)+SUM(M48:AJ48)+SUM(M49:AJ49)+SUM(M50:W50)</f>
        <v>53</v>
      </c>
      <c r="O139" s="132">
        <f ca="1" t="shared" si="27"/>
        <v>46110.4166666666</v>
      </c>
    </row>
    <row r="140" spans="12:15">
      <c r="L140" s="33">
        <f ca="1" t="shared" si="28"/>
        <v>46110.4583333333</v>
      </c>
      <c r="M140" s="33">
        <f ca="1" t="shared" si="26"/>
        <v>46110.4583333333</v>
      </c>
      <c r="N140">
        <f>+SUM(M47:AJ47)+SUM(M48:AJ48)+SUM(M49:AJ49)+SUM(M50:X50)</f>
        <v>54</v>
      </c>
      <c r="O140" s="132">
        <f ca="1" t="shared" si="27"/>
        <v>46110.4583333333</v>
      </c>
    </row>
    <row r="141" spans="12:15">
      <c r="L141" s="33">
        <f ca="1" t="shared" si="28"/>
        <v>46110.5</v>
      </c>
      <c r="M141" s="33">
        <f ca="1" t="shared" si="26"/>
        <v>46110.5</v>
      </c>
      <c r="N141">
        <f>+SUM(M47:AJ47)+SUM(M48:AJ48)+SUM(M49:AJ49)+SUM(M50:Y50)</f>
        <v>55</v>
      </c>
      <c r="O141" s="132">
        <f ca="1" t="shared" si="27"/>
        <v>46110.5</v>
      </c>
    </row>
    <row r="142" spans="12:15">
      <c r="L142" s="33">
        <f ca="1" t="shared" si="28"/>
        <v>46110.5416666666</v>
      </c>
      <c r="M142" s="33">
        <f ca="1" t="shared" si="26"/>
        <v>46110.5416666667</v>
      </c>
      <c r="N142">
        <f>+SUM(M47:AJ47)+SUM(M48:AJ48)+SUM(M49:AJ49)+SUM(M50:Z50)</f>
        <v>56</v>
      </c>
      <c r="O142" s="132">
        <f ca="1" t="shared" si="27"/>
        <v>46110.5416666666</v>
      </c>
    </row>
    <row r="143" spans="12:15">
      <c r="L143" s="33">
        <f ca="1" t="shared" si="28"/>
        <v>46110.5833333333</v>
      </c>
      <c r="M143" s="33">
        <f ca="1" t="shared" si="26"/>
        <v>46110.5833333333</v>
      </c>
      <c r="N143">
        <f>+SUM(M47:AJ47)+SUM(M48:AJ48)+SUM(M49:AJ49)+SUM(M50:AA50)</f>
        <v>57</v>
      </c>
      <c r="O143" s="132">
        <f ca="1" t="shared" si="27"/>
        <v>46110.5833333333</v>
      </c>
    </row>
    <row r="144" spans="12:15">
      <c r="L144" s="33">
        <f ca="1" t="shared" si="28"/>
        <v>46110.625</v>
      </c>
      <c r="M144" s="33">
        <f ca="1" t="shared" si="26"/>
        <v>46110.625</v>
      </c>
      <c r="N144">
        <f>+SUM(M47:AJ47)+SUM(M48:AJ48)+SUM(M49:AJ49)+SUM(M50:AB50)</f>
        <v>58</v>
      </c>
      <c r="O144" s="132">
        <f ca="1" t="shared" si="27"/>
        <v>46110.625</v>
      </c>
    </row>
    <row r="145" spans="12:15">
      <c r="L145" s="33">
        <f ca="1" t="shared" si="28"/>
        <v>46110.6666666666</v>
      </c>
      <c r="M145" s="33">
        <f ca="1" t="shared" si="26"/>
        <v>46110.6666666667</v>
      </c>
      <c r="N145">
        <f>+SUM(M47:AJ47)+SUM(M48:AJ48)+SUM(M49:AJ49)+SUM(M50:AC50)</f>
        <v>59</v>
      </c>
      <c r="O145" s="132">
        <f ca="1" t="shared" si="27"/>
        <v>46110.6666666666</v>
      </c>
    </row>
    <row r="146" spans="12:15">
      <c r="L146" s="33">
        <f ca="1" t="shared" si="28"/>
        <v>46110.7083333333</v>
      </c>
      <c r="M146" s="33">
        <f ca="1" t="shared" si="26"/>
        <v>46110.7083333333</v>
      </c>
      <c r="N146">
        <f>+SUM(M47:AJ47)+SUM(M48:AJ48)+SUM(M49:AJ49)+SUM(M50:AD50)</f>
        <v>60</v>
      </c>
      <c r="O146" s="132">
        <f ca="1" t="shared" si="27"/>
        <v>46110.7083333333</v>
      </c>
    </row>
    <row r="147" spans="12:15">
      <c r="L147" s="33">
        <f ca="1" t="shared" si="28"/>
        <v>46110.75</v>
      </c>
      <c r="M147" s="33">
        <f ca="1" t="shared" si="26"/>
        <v>46110.75</v>
      </c>
      <c r="N147">
        <f>+SUM(M47:AJ47)+SUM(M48:AJ48)+SUM(M49:AJ49)+SUM(M50:AE50)</f>
        <v>61</v>
      </c>
      <c r="O147" s="132">
        <f ca="1" t="shared" si="27"/>
        <v>46110.75</v>
      </c>
    </row>
    <row r="148" spans="12:15">
      <c r="L148" s="33">
        <f ca="1" t="shared" si="28"/>
        <v>46110.7916666666</v>
      </c>
      <c r="M148" s="33">
        <f ca="1" t="shared" si="26"/>
        <v>46110.7916666667</v>
      </c>
      <c r="N148">
        <f>+SUM(M47:AJ47)+SUM(M48:AJ48)+SUM(M49:AJ49)+SUM(M50:AF50)</f>
        <v>62</v>
      </c>
      <c r="O148" s="132">
        <f ca="1" t="shared" si="27"/>
        <v>46110.7916666666</v>
      </c>
    </row>
    <row r="149" spans="12:15">
      <c r="L149" s="33">
        <f ca="1" t="shared" si="28"/>
        <v>46110.8333333333</v>
      </c>
      <c r="M149" s="33">
        <f ca="1" t="shared" si="26"/>
        <v>46110.8333333333</v>
      </c>
      <c r="N149">
        <f>+SUM(M47:AJ47)+SUM(M48:AJ48)+SUM(M49:AJ49)+SUM(M50:AG50)</f>
        <v>63</v>
      </c>
      <c r="O149" s="132">
        <f ca="1" t="shared" si="27"/>
        <v>46110.8333333333</v>
      </c>
    </row>
    <row r="150" spans="12:15">
      <c r="L150" s="33">
        <f ca="1" t="shared" si="28"/>
        <v>46110.8749999999</v>
      </c>
      <c r="M150" s="33">
        <f ca="1" t="shared" si="26"/>
        <v>46110.875</v>
      </c>
      <c r="N150">
        <f>+SUM(M47:AJ47)+SUM(M48:AJ48)+SUM(M49:AJ49)+SUM(M50:AH50)</f>
        <v>64</v>
      </c>
      <c r="O150" s="132">
        <f ca="1" t="shared" si="27"/>
        <v>46110.8749999999</v>
      </c>
    </row>
    <row r="151" spans="12:15">
      <c r="L151" s="33">
        <f ca="1" t="shared" si="28"/>
        <v>46110.9166666666</v>
      </c>
      <c r="M151" s="33">
        <f ca="1" t="shared" si="26"/>
        <v>46110.9166666667</v>
      </c>
      <c r="N151">
        <f>+SUM(M47:AJ47)+SUM(M48:AJ48)+SUM(M49:AJ49)+SUM(M50:AI50)</f>
        <v>64</v>
      </c>
      <c r="O151" s="132">
        <f ca="1" t="shared" si="27"/>
        <v>46110.9166666666</v>
      </c>
    </row>
    <row r="152" spans="12:15">
      <c r="L152" s="33">
        <f ca="1" t="shared" si="28"/>
        <v>46110.9583333333</v>
      </c>
      <c r="M152" s="33">
        <f ca="1" t="shared" si="26"/>
        <v>46110.9583333333</v>
      </c>
      <c r="N152">
        <f>+SUM(M47:AJ47)+SUM(M48:AJ48)+SUM(M49:AJ49)+SUM(M50:AJ50)</f>
        <v>64</v>
      </c>
      <c r="O152" s="132">
        <f ca="1" t="shared" si="27"/>
        <v>46110.9583333333</v>
      </c>
    </row>
    <row r="153" spans="12:15">
      <c r="L153" s="33">
        <f ca="1" t="shared" si="28"/>
        <v>46110.9999999999</v>
      </c>
      <c r="M153" s="33">
        <f ca="1" t="shared" ref="M153:M176" si="29">+ROUNDDOWN(L153*24,0)/24</f>
        <v>46111</v>
      </c>
      <c r="N153">
        <f>+SUM(M47:AJ47)+SUM(M48:AJ48)+SUM(M49:AJ49)+SUM(M50:AJ50)+M51</f>
        <v>65</v>
      </c>
      <c r="O153" s="132">
        <f ca="1" t="shared" si="27"/>
        <v>46110.9999999999</v>
      </c>
    </row>
    <row r="154" spans="12:15">
      <c r="L154" s="33">
        <f ca="1" t="shared" si="28"/>
        <v>46111.0416666666</v>
      </c>
      <c r="M154" s="33">
        <f ca="1" t="shared" si="29"/>
        <v>46111.0416666667</v>
      </c>
      <c r="N154">
        <f>+SUM(M47:AJ47)+SUM(M48:AJ48)+SUM(M49:AJ49)+SUM(M50:AJ50)+SUM(M51:N51)</f>
        <v>66</v>
      </c>
      <c r="O154" s="132">
        <f ca="1" t="shared" si="27"/>
        <v>46111.0416666666</v>
      </c>
    </row>
    <row r="155" spans="12:15">
      <c r="L155" s="33">
        <f ca="1" t="shared" si="28"/>
        <v>46111.0833333333</v>
      </c>
      <c r="M155" s="33">
        <f ca="1" t="shared" si="29"/>
        <v>46111.0833333333</v>
      </c>
      <c r="N155">
        <f>+SUM(M47:AJ47)+SUM(M48:AJ48)+SUM(M49:AJ49)+SUM(M50:AJ50)+SUM(M51:O51)</f>
        <v>67</v>
      </c>
      <c r="O155" s="132">
        <f ca="1" t="shared" si="27"/>
        <v>46111.0833333333</v>
      </c>
    </row>
    <row r="156" spans="12:15">
      <c r="L156" s="33">
        <f ca="1" t="shared" si="28"/>
        <v>46111.1249999999</v>
      </c>
      <c r="M156" s="33">
        <f ca="1" t="shared" si="29"/>
        <v>46111.125</v>
      </c>
      <c r="N156">
        <f>+SUM(M47:AJ47)+SUM(M48:AJ48)+SUM(M49:AJ49)+SUM(M50:AJ50)+SUM(M51:P51)</f>
        <v>68</v>
      </c>
      <c r="O156" s="132">
        <f ca="1" t="shared" si="27"/>
        <v>46111.1249999999</v>
      </c>
    </row>
    <row r="157" spans="12:15">
      <c r="L157" s="33">
        <f ca="1" t="shared" si="28"/>
        <v>46111.1666666666</v>
      </c>
      <c r="M157" s="33">
        <f ca="1" t="shared" si="29"/>
        <v>46111.1666666667</v>
      </c>
      <c r="N157">
        <f>+SUM(M47:AJ47)+SUM(M48:AJ48)+SUM(M49:AJ49)+SUM(M50:AJ50)+SUM(M51:Q51)</f>
        <v>69</v>
      </c>
      <c r="O157" s="132">
        <f ca="1" t="shared" si="27"/>
        <v>46111.1666666666</v>
      </c>
    </row>
    <row r="158" spans="12:15">
      <c r="L158" s="33">
        <f ca="1" t="shared" si="28"/>
        <v>46111.2083333333</v>
      </c>
      <c r="M158" s="33">
        <f ca="1" t="shared" si="29"/>
        <v>46111.2083333333</v>
      </c>
      <c r="N158">
        <f>+SUM(M47:AJ47)+SUM(M48:AJ48)+SUM(M49:AJ49)+SUM(M50:AJ50)+SUM(M51:R51)</f>
        <v>70</v>
      </c>
      <c r="O158" s="132">
        <f ca="1" t="shared" si="27"/>
        <v>46111.2083333333</v>
      </c>
    </row>
    <row r="159" spans="12:15">
      <c r="L159" s="33">
        <f ca="1" t="shared" si="28"/>
        <v>46111.2499999999</v>
      </c>
      <c r="M159" s="33">
        <f ca="1" t="shared" si="29"/>
        <v>46111.25</v>
      </c>
      <c r="N159">
        <f>+SUM(M47:AJ47)+SUM(M48:AJ48)+SUM(M49:AJ49)+SUM(M50:AJ50)+SUM(M51:S51)</f>
        <v>70</v>
      </c>
      <c r="O159" s="132">
        <f ca="1" t="shared" si="27"/>
        <v>46111.2499999999</v>
      </c>
    </row>
    <row r="160" spans="12:15">
      <c r="L160" s="33">
        <f ca="1" t="shared" si="28"/>
        <v>46111.2916666666</v>
      </c>
      <c r="M160" s="33">
        <f ca="1" t="shared" si="29"/>
        <v>46111.2916666667</v>
      </c>
      <c r="N160">
        <f>+SUM(M47:AJ47)+SUM(M48:AJ48)+SUM(M49:AJ49)+SUM(M50:AJ50)+SUM(M51:T51)</f>
        <v>70</v>
      </c>
      <c r="O160" s="132">
        <f ca="1" t="shared" si="27"/>
        <v>46111.2916666666</v>
      </c>
    </row>
    <row r="161" spans="12:15">
      <c r="L161" s="33">
        <f ca="1" t="shared" si="28"/>
        <v>46111.3333333333</v>
      </c>
      <c r="M161" s="33">
        <f ca="1" t="shared" si="29"/>
        <v>46111.3333333333</v>
      </c>
      <c r="N161">
        <f>+SUM(M47:AJ47)+SUM(M48:AJ48)+SUM(M49:AJ49)+SUM(M50:AJ50)+SUM(M51:U51)</f>
        <v>70</v>
      </c>
      <c r="O161" s="132">
        <f ca="1" t="shared" si="27"/>
        <v>46111.3333333333</v>
      </c>
    </row>
    <row r="162" spans="12:15">
      <c r="L162" s="33">
        <f ca="1" t="shared" si="28"/>
        <v>46111.3749999999</v>
      </c>
      <c r="M162" s="33">
        <f ca="1" t="shared" si="29"/>
        <v>46111.375</v>
      </c>
      <c r="N162">
        <f>+SUM(M47:AJ47)+SUM(M48:AJ48)+SUM(M49:AJ49)+SUM(M50:AJ50)+SUM(M51:V51)</f>
        <v>70</v>
      </c>
      <c r="O162" s="132">
        <f ca="1" t="shared" si="27"/>
        <v>46111.3749999999</v>
      </c>
    </row>
    <row r="163" spans="12:15">
      <c r="L163" s="33">
        <f ca="1" t="shared" si="28"/>
        <v>46111.4166666666</v>
      </c>
      <c r="M163" s="33">
        <f ca="1" t="shared" si="29"/>
        <v>46111.4166666667</v>
      </c>
      <c r="N163">
        <f>+SUM(M47:AJ47)+SUM(M48:AJ48)+SUM(M49:AJ49)+SUM(M50:AJ50)+SUM(M51:W51)</f>
        <v>70</v>
      </c>
      <c r="O163" s="132">
        <f ca="1" t="shared" si="27"/>
        <v>46111.4166666666</v>
      </c>
    </row>
    <row r="164" spans="12:15">
      <c r="L164" s="33">
        <f ca="1" t="shared" si="28"/>
        <v>46111.4583333332</v>
      </c>
      <c r="M164" s="33">
        <f ca="1" t="shared" si="29"/>
        <v>46111.4583333333</v>
      </c>
      <c r="N164">
        <f>+SUM(M47:AJ47)+SUM(M48:AJ48)+SUM(M49:AJ49)+SUM(M50:AJ50)+SUM(M51:X51)</f>
        <v>70</v>
      </c>
      <c r="O164" s="132">
        <f ca="1" t="shared" si="27"/>
        <v>46111.4583333332</v>
      </c>
    </row>
    <row r="165" spans="12:15">
      <c r="L165" s="33">
        <f ca="1" t="shared" si="28"/>
        <v>46111.4999999999</v>
      </c>
      <c r="M165" s="33">
        <f ca="1" t="shared" si="29"/>
        <v>46111.5</v>
      </c>
      <c r="N165">
        <f>+SUM(M47:AJ47)+SUM(M48:AJ48)+SUM(M49:AJ49)+SUM(M50:AJ50)+SUM(M51:Y51)</f>
        <v>70</v>
      </c>
      <c r="O165" s="132">
        <f ca="1" t="shared" si="27"/>
        <v>46111.4999999999</v>
      </c>
    </row>
    <row r="166" spans="12:15">
      <c r="L166" s="33">
        <f ca="1" t="shared" si="28"/>
        <v>46111.5416666666</v>
      </c>
      <c r="M166" s="33">
        <f ca="1" t="shared" si="29"/>
        <v>46111.5416666667</v>
      </c>
      <c r="N166">
        <f>+SUM(M47:AJ47)+SUM(M48:AJ48)+SUM(M49:AJ49)+SUM(M50:AJ50)+SUM(M51:Z51)</f>
        <v>70</v>
      </c>
      <c r="O166" s="132">
        <f ca="1" t="shared" si="27"/>
        <v>46111.5416666666</v>
      </c>
    </row>
    <row r="167" spans="12:15">
      <c r="L167" s="33">
        <f ca="1" t="shared" si="28"/>
        <v>46111.5833333332</v>
      </c>
      <c r="M167" s="33">
        <f ca="1" t="shared" si="29"/>
        <v>46111.5833333333</v>
      </c>
      <c r="N167">
        <f>+SUM(M47:AJ47)+SUM(M48:AJ48)+SUM(M49:AJ49)+SUM(M50:AJ50)+SUM(M51:AA51)</f>
        <v>71</v>
      </c>
      <c r="O167" s="132">
        <f ca="1" t="shared" si="27"/>
        <v>46111.5833333332</v>
      </c>
    </row>
    <row r="168" spans="12:15">
      <c r="L168" s="33">
        <f ca="1" t="shared" si="28"/>
        <v>46111.6249999999</v>
      </c>
      <c r="M168" s="33">
        <f ca="1" t="shared" si="29"/>
        <v>46111.625</v>
      </c>
      <c r="N168">
        <f>+SUM(M47:AJ47)+SUM(M48:AJ48)+SUM(M49:AJ49)+SUM(M50:AJ50)+SUM(M51:AB51)</f>
        <v>72</v>
      </c>
      <c r="O168" s="132">
        <f ca="1" t="shared" si="27"/>
        <v>46111.6249999999</v>
      </c>
    </row>
    <row r="169" spans="12:15">
      <c r="L169" s="33">
        <f ca="1" t="shared" si="28"/>
        <v>46111.6666666666</v>
      </c>
      <c r="M169" s="33">
        <f ca="1" t="shared" si="29"/>
        <v>46111.6666666667</v>
      </c>
      <c r="N169">
        <f>+SUM(M47:AJ47)+SUM(M48:AJ48)+SUM(M49:AJ49)+SUM(M50:AJ50)+SUM(M51:AC51)</f>
        <v>73</v>
      </c>
      <c r="O169" s="132">
        <f ca="1" t="shared" si="27"/>
        <v>46111.6666666666</v>
      </c>
    </row>
    <row r="170" spans="12:15">
      <c r="L170" s="33">
        <f ca="1" t="shared" si="28"/>
        <v>46111.7083333332</v>
      </c>
      <c r="M170" s="33">
        <f ca="1" t="shared" si="29"/>
        <v>46111.7083333333</v>
      </c>
      <c r="N170">
        <f>+SUM(M47:AJ47)+SUM(M48:AJ48)+SUM(M49:AJ49)+SUM(M50:AJ50)+SUM(M51:AD51)</f>
        <v>74</v>
      </c>
      <c r="O170" s="132">
        <f ca="1" t="shared" si="27"/>
        <v>46111.7083333332</v>
      </c>
    </row>
    <row r="171" spans="12:15">
      <c r="L171" s="33">
        <f ca="1" t="shared" si="28"/>
        <v>46111.7499999999</v>
      </c>
      <c r="M171" s="33">
        <f ca="1" t="shared" si="29"/>
        <v>46111.75</v>
      </c>
      <c r="N171">
        <f>+SUM(M47:AJ47)+SUM(M48:AJ48)+SUM(M49:AJ49)+SUM(M50:AJ50)+SUM(M51:AE51)</f>
        <v>75</v>
      </c>
      <c r="O171" s="132">
        <f ca="1" t="shared" si="27"/>
        <v>46111.7499999999</v>
      </c>
    </row>
    <row r="172" spans="12:15">
      <c r="L172" s="33">
        <f ca="1" t="shared" si="28"/>
        <v>46111.7916666666</v>
      </c>
      <c r="M172" s="33">
        <f ca="1" t="shared" si="29"/>
        <v>46111.7916666667</v>
      </c>
      <c r="N172">
        <f>+SUM(M47:AJ47)+SUM(M48:AJ48)+SUM(M49:AJ49)+SUM(M50:AJ50)+SUM(M51:AF51)</f>
        <v>76</v>
      </c>
      <c r="O172" s="132">
        <f ca="1" t="shared" si="27"/>
        <v>46111.7916666666</v>
      </c>
    </row>
    <row r="173" spans="12:15">
      <c r="L173" s="33">
        <f ca="1" t="shared" si="28"/>
        <v>46111.8333333332</v>
      </c>
      <c r="M173" s="33">
        <f ca="1" t="shared" si="29"/>
        <v>46111.8333333333</v>
      </c>
      <c r="N173">
        <f>+SUM(M47:AJ47)+SUM(M48:AJ48)+SUM(M49:AJ49)+SUM(M50:AJ50)+SUM(M51:AG51)</f>
        <v>77</v>
      </c>
      <c r="O173" s="132">
        <f ca="1" t="shared" si="27"/>
        <v>46111.8333333332</v>
      </c>
    </row>
    <row r="174" spans="12:15">
      <c r="L174" s="33">
        <f ca="1" t="shared" si="28"/>
        <v>46111.8749999999</v>
      </c>
      <c r="M174" s="33">
        <f ca="1" t="shared" si="29"/>
        <v>46111.875</v>
      </c>
      <c r="N174">
        <f>+SUM(M47:AJ47)+SUM(M48:AJ48)+SUM(M49:AJ49)+SUM(M50:AJ50)+SUM(M51:AH51)</f>
        <v>78</v>
      </c>
      <c r="O174" s="132">
        <f ca="1" t="shared" si="27"/>
        <v>46111.8749999999</v>
      </c>
    </row>
    <row r="175" spans="12:15">
      <c r="L175" s="33">
        <f ca="1" t="shared" si="28"/>
        <v>46111.9166666666</v>
      </c>
      <c r="M175" s="33">
        <f ca="1" t="shared" si="29"/>
        <v>46111.9166666667</v>
      </c>
      <c r="N175">
        <f>+SUM(M47:AJ47)+SUM(M48:AJ48)+SUM(M49:AJ49)+SUM(M50:AJ50)+SUM(M51:AI51)</f>
        <v>79</v>
      </c>
      <c r="O175" s="132">
        <f ca="1" t="shared" si="27"/>
        <v>46111.9166666666</v>
      </c>
    </row>
    <row r="176" spans="12:15">
      <c r="L176" s="33">
        <f ca="1" t="shared" si="28"/>
        <v>46111.9583333332</v>
      </c>
      <c r="M176" s="33">
        <f ca="1" t="shared" si="29"/>
        <v>46111.9583333333</v>
      </c>
      <c r="N176">
        <f>+SUM(M47:AJ47)+SUM(M48:AJ48)+SUM(M49:AJ49)+SUM(M50:AJ50)+SUM(M51:AJ51)</f>
        <v>80</v>
      </c>
      <c r="O176" s="132">
        <f ca="1" t="shared" si="27"/>
        <v>46111.9583333332</v>
      </c>
    </row>
    <row r="177" spans="12:12">
      <c r="L177" s="33"/>
    </row>
    <row r="178" spans="12:12">
      <c r="L178" s="33"/>
    </row>
    <row r="179" spans="12:12">
      <c r="L179" s="33"/>
    </row>
    <row r="180" spans="12:12">
      <c r="L180" s="33"/>
    </row>
    <row r="181" spans="12:12">
      <c r="L181" s="33"/>
    </row>
    <row r="182" spans="12:12">
      <c r="L182" s="33"/>
    </row>
    <row r="183" spans="12:12">
      <c r="L183" s="33"/>
    </row>
    <row r="184" spans="12:12">
      <c r="L184" s="33"/>
    </row>
    <row r="185" spans="12:12">
      <c r="L185" s="33"/>
    </row>
    <row r="186" spans="12:12">
      <c r="L186" s="33"/>
    </row>
    <row r="187" spans="12:12">
      <c r="L187" s="33"/>
    </row>
    <row r="188" spans="12:12">
      <c r="L188" s="33"/>
    </row>
    <row r="189" spans="12:12">
      <c r="L189" s="33"/>
    </row>
    <row r="190" spans="12:12">
      <c r="L190" s="33"/>
    </row>
    <row r="191" spans="12:12">
      <c r="L191" s="33"/>
    </row>
    <row r="192" spans="12:12">
      <c r="L192" s="33"/>
    </row>
    <row r="193" spans="12:12">
      <c r="L193" s="33"/>
    </row>
    <row r="194" spans="12:12">
      <c r="L194" s="33"/>
    </row>
    <row r="195" spans="12:12">
      <c r="L195" s="33"/>
    </row>
    <row r="196" spans="12:12">
      <c r="L196" s="33"/>
    </row>
    <row r="197" spans="12:12">
      <c r="L197" s="33"/>
    </row>
    <row r="198" spans="12:12">
      <c r="L198" s="33"/>
    </row>
    <row r="199" spans="12:12">
      <c r="L199" s="33"/>
    </row>
    <row r="200" spans="12:12">
      <c r="L200" s="33"/>
    </row>
    <row r="201" spans="12:12">
      <c r="L201" s="33"/>
    </row>
    <row r="202" spans="12:12">
      <c r="L202" s="33"/>
    </row>
    <row r="203" spans="12:12">
      <c r="L203" s="33"/>
    </row>
    <row r="204" spans="12:12">
      <c r="L204" s="33"/>
    </row>
    <row r="205" spans="12:12">
      <c r="L205" s="33"/>
    </row>
    <row r="206" spans="12:12">
      <c r="L206" s="33"/>
    </row>
    <row r="207" spans="12:12">
      <c r="L207" s="33"/>
    </row>
    <row r="208" spans="12:12">
      <c r="L208" s="33"/>
    </row>
    <row r="209" spans="12:12">
      <c r="L209" s="33"/>
    </row>
    <row r="210" spans="12:12">
      <c r="L210" s="33"/>
    </row>
    <row r="211" spans="12:12">
      <c r="L211" s="33"/>
    </row>
    <row r="212" spans="12:12">
      <c r="L212" s="33"/>
    </row>
    <row r="213" spans="12:12">
      <c r="L213" s="33"/>
    </row>
    <row r="214" spans="12:12">
      <c r="L214" s="33"/>
    </row>
    <row r="215" spans="12:12">
      <c r="L215" s="33"/>
    </row>
    <row r="216" spans="12:12">
      <c r="L216" s="33"/>
    </row>
    <row r="217" spans="12:12">
      <c r="L217" s="33"/>
    </row>
    <row r="218" spans="12:12">
      <c r="L218" s="33"/>
    </row>
    <row r="219" spans="12:12">
      <c r="L219" s="33"/>
    </row>
    <row r="220" spans="12:12">
      <c r="L220" s="33"/>
    </row>
    <row r="221" spans="12:12">
      <c r="L221" s="33"/>
    </row>
    <row r="222" spans="12:12">
      <c r="L222" s="33"/>
    </row>
    <row r="223" spans="12:12">
      <c r="L223" s="33"/>
    </row>
    <row r="224" spans="12:12">
      <c r="L224" s="33"/>
    </row>
    <row r="225" spans="12:12">
      <c r="L225" s="33"/>
    </row>
    <row r="226" spans="12:12">
      <c r="L226" s="33"/>
    </row>
    <row r="227" spans="12:12">
      <c r="L227" s="33"/>
    </row>
    <row r="228" spans="12:12">
      <c r="L228" s="33"/>
    </row>
    <row r="229" spans="12:12">
      <c r="L229" s="33"/>
    </row>
    <row r="230" spans="12:12">
      <c r="L230" s="33"/>
    </row>
    <row r="231" spans="12:12">
      <c r="L231" s="33"/>
    </row>
    <row r="232" spans="12:12">
      <c r="L232" s="33"/>
    </row>
    <row r="233" spans="12:12">
      <c r="L233" s="33"/>
    </row>
    <row r="234" spans="12:12">
      <c r="L234" s="33"/>
    </row>
    <row r="235" spans="12:12">
      <c r="L235" s="33"/>
    </row>
    <row r="236" spans="12:12">
      <c r="L236" s="33"/>
    </row>
    <row r="237" spans="12:12">
      <c r="L237" s="33"/>
    </row>
    <row r="238" spans="12:12">
      <c r="L238" s="33"/>
    </row>
    <row r="239" spans="12:12">
      <c r="L239" s="33"/>
    </row>
    <row r="240" spans="12:12">
      <c r="L240" s="33"/>
    </row>
    <row r="241" spans="12:12">
      <c r="L241" s="33"/>
    </row>
    <row r="242" spans="12:12">
      <c r="L242" s="33"/>
    </row>
    <row r="243" spans="12:12">
      <c r="L243" s="33"/>
    </row>
    <row r="244" spans="12:12">
      <c r="L244" s="33"/>
    </row>
    <row r="245" spans="12:12">
      <c r="L245" s="33"/>
    </row>
    <row r="246" spans="12:12">
      <c r="L246" s="33"/>
    </row>
    <row r="247" spans="12:12">
      <c r="L247" s="33"/>
    </row>
    <row r="248" spans="12:12">
      <c r="L248" s="33"/>
    </row>
    <row r="249" spans="12:12">
      <c r="L249" s="33"/>
    </row>
  </sheetData>
  <mergeCells count="3">
    <mergeCell ref="B2:C3"/>
    <mergeCell ref="E2:J3"/>
    <mergeCell ref="L2:AL3"/>
  </mergeCells>
  <pageMargins left="0.7" right="0.7" top="0.787401575" bottom="0.787401575" header="0.3" footer="0.3"/>
  <pageSetup paperSize="9" orientation="portrait"/>
  <headerFooter/>
  <ignoredErrors>
    <ignoredError sqref="L105" formula="1"/>
  </ignoredErrors>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Tabelle3"/>
  <dimension ref="A1:R34"/>
  <sheetViews>
    <sheetView showGridLines="0" zoomScale="87" zoomScaleNormal="87" topLeftCell="A10" workbookViewId="0">
      <selection activeCell="G10" sqref="G10"/>
    </sheetView>
  </sheetViews>
  <sheetFormatPr defaultColWidth="11" defaultRowHeight="15"/>
  <cols>
    <col min="1" max="1" width="6.26666666666667" customWidth="1"/>
    <col min="3" max="3" width="12.0857142857143" customWidth="1"/>
    <col min="4" max="4" width="24" customWidth="1"/>
  </cols>
  <sheetData>
    <row r="1" spans="1:18">
      <c r="A1" s="11"/>
    </row>
    <row r="2" spans="1:18">
      <c r="B2" s="7" t="s">
        <v>201</v>
      </c>
      <c r="C2" s="8"/>
      <c r="D2" s="8"/>
      <c r="E2" s="8"/>
      <c r="F2" s="8"/>
      <c r="G2" s="8"/>
      <c r="H2" s="8"/>
      <c r="I2" s="8"/>
      <c r="J2" s="8"/>
      <c r="K2" s="8"/>
      <c r="L2" s="8"/>
      <c r="M2" s="8"/>
      <c r="N2" s="8"/>
      <c r="O2" s="8"/>
      <c r="P2" s="8"/>
      <c r="Q2" s="8"/>
      <c r="R2" s="89"/>
    </row>
    <row r="3" spans="1:18">
      <c r="B3" s="90"/>
      <c r="C3" s="16"/>
      <c r="D3" s="16"/>
      <c r="E3" s="16"/>
      <c r="F3" s="16"/>
      <c r="G3" s="16"/>
      <c r="H3" s="16"/>
      <c r="I3" s="16"/>
      <c r="J3" s="16"/>
      <c r="K3" s="16"/>
      <c r="L3" s="16"/>
      <c r="M3" s="16"/>
      <c r="N3" s="16"/>
      <c r="O3" s="16"/>
      <c r="P3" s="16"/>
      <c r="Q3" s="16"/>
      <c r="R3" s="17"/>
    </row>
    <row r="5" spans="1:18">
      <c r="B5" s="93" t="s">
        <v>202</v>
      </c>
      <c r="C5" s="93"/>
      <c r="D5" s="94"/>
      <c r="E5" s="95" t="s">
        <v>203</v>
      </c>
      <c r="F5" s="96"/>
      <c r="G5" s="96"/>
      <c r="H5" s="96"/>
      <c r="I5" s="96"/>
      <c r="J5" s="96"/>
      <c r="K5" s="96"/>
      <c r="L5" s="96"/>
      <c r="M5" s="96"/>
      <c r="N5" s="96"/>
      <c r="O5" s="96"/>
      <c r="P5" s="97"/>
      <c r="Q5" s="8" t="s">
        <v>204</v>
      </c>
      <c r="R5" s="89"/>
    </row>
    <row r="6" spans="1:18">
      <c r="B6" s="7" t="s">
        <v>205</v>
      </c>
      <c r="C6" s="8" t="s">
        <v>206</v>
      </c>
      <c r="D6" s="96" t="s">
        <v>207</v>
      </c>
      <c r="E6" s="95" t="s">
        <v>208</v>
      </c>
      <c r="F6" s="8" t="s">
        <v>209</v>
      </c>
      <c r="G6" s="8" t="s">
        <v>210</v>
      </c>
      <c r="H6" s="8" t="s">
        <v>211</v>
      </c>
      <c r="I6" s="8" t="s">
        <v>212</v>
      </c>
      <c r="J6" s="8" t="s">
        <v>213</v>
      </c>
      <c r="K6" s="8" t="s">
        <v>214</v>
      </c>
      <c r="L6" s="8" t="s">
        <v>215</v>
      </c>
      <c r="M6" s="8" t="s">
        <v>216</v>
      </c>
      <c r="N6" s="8" t="s">
        <v>217</v>
      </c>
      <c r="O6" s="8" t="s">
        <v>218</v>
      </c>
      <c r="P6" s="8" t="s">
        <v>219</v>
      </c>
      <c r="Q6" s="98" t="s">
        <v>220</v>
      </c>
      <c r="R6" s="97" t="s">
        <v>221</v>
      </c>
    </row>
    <row r="7" spans="1:18">
      <c r="B7" s="99">
        <v>1</v>
      </c>
      <c r="C7" s="100" t="s">
        <v>222</v>
      </c>
      <c r="D7" s="8" t="s">
        <v>223</v>
      </c>
      <c r="E7" s="101">
        <v>0.65</v>
      </c>
      <c r="F7" s="101">
        <v>0.66</v>
      </c>
      <c r="G7" s="101">
        <v>0.93</v>
      </c>
      <c r="H7" s="101">
        <v>0.85</v>
      </c>
      <c r="I7" s="101">
        <v>0.63</v>
      </c>
      <c r="J7" s="101">
        <v>0.53</v>
      </c>
      <c r="K7" s="101">
        <v>0.45</v>
      </c>
      <c r="L7" s="101">
        <v>0.89</v>
      </c>
      <c r="M7" s="101">
        <v>0.78</v>
      </c>
      <c r="N7" s="101">
        <v>0.82</v>
      </c>
      <c r="O7" s="101">
        <f>IFERROR(MEDIAN(E7:N7),"")</f>
        <v>0.72</v>
      </c>
      <c r="P7" s="101"/>
      <c r="Q7" s="7">
        <f>IF(O7="","",SUM(Aufträge!$AK$6:$AK$12))</f>
        <v>80</v>
      </c>
      <c r="R7" s="102">
        <f>IFERROR(Q7*O7,"")</f>
        <v>57.6</v>
      </c>
    </row>
    <row r="8" spans="1:18">
      <c r="B8" s="10">
        <v>2</v>
      </c>
      <c r="C8" s="103" t="s">
        <v>224</v>
      </c>
      <c r="D8" s="104" t="s">
        <v>225</v>
      </c>
      <c r="E8" s="105">
        <v>0.84</v>
      </c>
      <c r="F8" s="105">
        <v>0.52</v>
      </c>
      <c r="G8" s="105">
        <v>0.63</v>
      </c>
      <c r="H8" s="105">
        <v>0.23</v>
      </c>
      <c r="I8" s="105">
        <v>0.85</v>
      </c>
      <c r="J8" s="105">
        <v>0.74</v>
      </c>
      <c r="K8" s="105">
        <v>0.68</v>
      </c>
      <c r="L8" s="105">
        <v>0.96</v>
      </c>
      <c r="M8" s="105">
        <v>0.87</v>
      </c>
      <c r="N8" s="105">
        <v>0.65</v>
      </c>
      <c r="O8" s="106">
        <f>IFERROR(MEDIAN(E8:N8),"")</f>
        <v>0.71</v>
      </c>
      <c r="P8" s="105"/>
      <c r="Q8" s="107">
        <f>IF(O8="","",SUM(Aufträge!$AK$6:$AK$12))</f>
        <v>80</v>
      </c>
      <c r="R8" s="108">
        <f>IFERROR(Q8*O8,"")</f>
        <v>56.8</v>
      </c>
    </row>
    <row r="9" spans="1:18">
      <c r="A9" s="37"/>
      <c r="B9" s="104">
        <v>3</v>
      </c>
      <c r="C9" s="104" t="s">
        <v>226</v>
      </c>
      <c r="D9" s="109" t="s">
        <v>227</v>
      </c>
      <c r="E9" s="110">
        <v>0.9</v>
      </c>
      <c r="F9" s="110">
        <v>0.96</v>
      </c>
      <c r="G9" s="110">
        <v>0.85</v>
      </c>
      <c r="H9" s="110">
        <v>0.096</v>
      </c>
      <c r="I9" s="110">
        <v>0.85</v>
      </c>
      <c r="J9" s="110">
        <v>0.74</v>
      </c>
      <c r="K9" s="110">
        <v>0.72</v>
      </c>
      <c r="L9" s="110">
        <v>0.93</v>
      </c>
      <c r="M9" s="110">
        <v>0.85</v>
      </c>
      <c r="N9" s="110">
        <v>0.75</v>
      </c>
      <c r="O9" s="110">
        <f>IFERROR(MEDIAN(E9:N9),"")</f>
        <v>0.85</v>
      </c>
      <c r="P9" s="110"/>
      <c r="Q9" s="107">
        <f>IF(O9="","",SUM(Aufträge!$AK$6:$AK$12))</f>
        <v>80</v>
      </c>
      <c r="R9" s="111">
        <f>IFERROR(Q9*O9,"")</f>
        <v>68</v>
      </c>
    </row>
    <row r="10" spans="1:18">
      <c r="B10" s="112">
        <v>4</v>
      </c>
      <c r="C10" s="104" t="s">
        <v>228</v>
      </c>
      <c r="D10" s="11" t="s">
        <v>229</v>
      </c>
      <c r="E10" s="110">
        <v>0.85</v>
      </c>
      <c r="F10" s="110">
        <v>0.36</v>
      </c>
      <c r="G10" s="110">
        <v>0.85</v>
      </c>
      <c r="H10" s="110">
        <v>0.63</v>
      </c>
      <c r="I10" s="110">
        <v>0.74</v>
      </c>
      <c r="J10" s="110">
        <v>0.73</v>
      </c>
      <c r="K10" s="110">
        <v>0.86</v>
      </c>
      <c r="L10" s="110">
        <v>0.68</v>
      </c>
      <c r="M10" s="110">
        <v>0.72</v>
      </c>
      <c r="N10" s="110">
        <v>0.74</v>
      </c>
      <c r="O10" s="110">
        <f t="shared" ref="O10:O11" si="0">IFERROR(MEDIAN(E10:N10),"")</f>
        <v>0.735</v>
      </c>
      <c r="P10" s="110"/>
      <c r="Q10" s="107">
        <f>IF(O10="","",SUM(Aufträge!$AK$6:$AK$12))</f>
        <v>80</v>
      </c>
      <c r="R10" s="111">
        <f t="shared" ref="R10:R11" si="1">IFERROR(Q10*O10,"")</f>
        <v>58.8</v>
      </c>
    </row>
    <row r="11" spans="1:18">
      <c r="B11" s="90">
        <v>5</v>
      </c>
      <c r="C11" s="11" t="s">
        <v>230</v>
      </c>
      <c r="D11" s="113" t="s">
        <v>231</v>
      </c>
      <c r="E11" s="114">
        <v>0.84</v>
      </c>
      <c r="F11" s="114">
        <v>0.75</v>
      </c>
      <c r="G11" s="114">
        <v>0.69</v>
      </c>
      <c r="H11" s="114">
        <v>0.85</v>
      </c>
      <c r="I11" s="114">
        <v>0.96</v>
      </c>
      <c r="J11" s="114">
        <v>0.75</v>
      </c>
      <c r="K11" s="114">
        <v>0.85</v>
      </c>
      <c r="L11" s="114">
        <v>0.41</v>
      </c>
      <c r="M11" s="114">
        <v>0.68</v>
      </c>
      <c r="N11" s="114">
        <v>0.95</v>
      </c>
      <c r="O11" s="106">
        <f t="shared" si="0"/>
        <v>0.795</v>
      </c>
      <c r="P11" s="114"/>
      <c r="Q11" s="115">
        <f>IF(O11="","",SUM(Aufträge!$AK$6:$AK$12))</f>
        <v>80</v>
      </c>
      <c r="R11" s="116">
        <f t="shared" si="1"/>
        <v>63.6</v>
      </c>
    </row>
    <row r="12" spans="1:18">
      <c r="C12" s="117" t="s">
        <v>232</v>
      </c>
      <c r="D12" s="117"/>
      <c r="E12" s="118">
        <f>+COUNTIF(O7:O11,"&gt;0")</f>
        <v>5</v>
      </c>
      <c r="O12" s="28"/>
    </row>
    <row r="15" spans="1:18">
      <c r="B15" s="119" t="s">
        <v>233</v>
      </c>
      <c r="C15" s="119"/>
      <c r="D15" s="120" t="s">
        <v>82</v>
      </c>
    </row>
    <row r="34" spans="5:15">
      <c r="E34" s="95" t="s">
        <v>234</v>
      </c>
      <c r="F34" s="96"/>
      <c r="G34" s="96"/>
      <c r="H34" s="96"/>
      <c r="I34" s="96"/>
      <c r="J34" s="96"/>
      <c r="K34" s="96"/>
      <c r="L34" s="96"/>
      <c r="M34" s="96"/>
      <c r="N34" s="96"/>
      <c r="O34" s="97"/>
    </row>
  </sheetData>
  <mergeCells count="7">
    <mergeCell ref="B5:D5"/>
    <mergeCell ref="E5:P5"/>
    <mergeCell ref="Q5:R5"/>
    <mergeCell ref="C12:D12"/>
    <mergeCell ref="B15:C15"/>
    <mergeCell ref="E34:O34"/>
    <mergeCell ref="B2:R3"/>
  </mergeCells>
  <conditionalFormatting sqref="E7:O11">
    <cfRule type="colorScale" priority="2">
      <colorScale>
        <cfvo type="min"/>
        <cfvo type="percentile" val="50"/>
        <cfvo type="max"/>
        <color rgb="FFF8696B"/>
        <color rgb="FFFFEB84"/>
        <color rgb="FF63BE7B"/>
      </colorScale>
    </cfRule>
  </conditionalFormatting>
  <pageMargins left="0.7" right="0.7" top="0.787401575" bottom="0.787401575" header="0.3" footer="0.3"/>
  <headerFooter/>
  <drawing r:id="rId1"/>
  <extLst>
    <ext xmlns:x14="http://schemas.microsoft.com/office/spreadsheetml/2009/9/main" uri="{78C0D931-6437-407d-A8EE-F0AAD7539E65}">
      <x14:conditionalFormattings>
        <x14:conditionalFormatting xmlns:xm="http://schemas.microsoft.com/office/excel/2006/main">
          <x14:cfRule type="iconSet" priority="1" id="{31fdefd2-ff56-41ab-9dc1-f9658b0beaf2}">
            <x14:iconSet iconSet="3Triangles">
              <x14:cfvo type="percent">
                <xm:f>0</xm:f>
              </x14:cfvo>
              <x14:cfvo type="percent">
                <xm:f>33</xm:f>
              </x14:cfvo>
              <x14:cfvo type="percent">
                <xm:f>67</xm:f>
              </x14:cfvo>
            </x14:iconSet>
          </x14:cfRule>
          <xm:sqref>E7:O11</xm:sqref>
        </x14:conditionalFormatting>
      </x14:conditionalFormattings>
    </ext>
    <ext xmlns:x14="http://schemas.microsoft.com/office/spreadsheetml/2009/9/main" uri="{05C60535-1F16-4fd2-B633-F4F36F0B64E0}">
      <x14:sparklineGroups xmlns:xm="http://schemas.microsoft.com/office/excel/2006/main">
        <x14:sparklineGroup type="line" displayEmptyCellsAs="gap">
          <x14:colorSeries rgb="FF376092"/>
          <x14:colorNegative rgb="FFD00000"/>
          <x14:colorAxis rgb="FF000000"/>
          <x14:colorMarkers rgb="FFD00000"/>
          <x14:colorFirst rgb="FFD00000"/>
          <x14:colorLast rgb="FFD00000"/>
          <x14:colorHigh rgb="FFD00000"/>
          <x14:colorLow rgb="FFD00000"/>
          <x14:sparklines>
            <x14:sparkline>
              <xm:f>'APE und OEE'!E7:O7</xm:f>
              <xm:sqref>P7</xm:sqref>
            </x14:sparkline>
          </x14:sparklines>
        </x14:sparklineGroup>
        <x14:sparklineGroup type="line" displayEmptyCellsAs="gap">
          <x14:colorSeries rgb="FF376092"/>
          <x14:colorNegative rgb="FFD00000"/>
          <x14:colorAxis rgb="FF000000"/>
          <x14:colorMarkers rgb="FFD00000"/>
          <x14:colorFirst rgb="FFD00000"/>
          <x14:colorLast rgb="FFD00000"/>
          <x14:colorHigh rgb="FFD00000"/>
          <x14:colorLow rgb="FFD00000"/>
          <x14:sparklines>
            <x14:sparkline>
              <xm:f>'APE und OEE'!E8:O8</xm:f>
              <xm:sqref>P8</xm:sqref>
            </x14:sparkline>
          </x14:sparklines>
        </x14:sparklineGroup>
        <x14:sparklineGroup type="line" displayEmptyCellsAs="gap">
          <x14:colorSeries rgb="FF376092"/>
          <x14:colorNegative rgb="FFD00000"/>
          <x14:colorAxis rgb="FF000000"/>
          <x14:colorMarkers rgb="FFD00000"/>
          <x14:colorFirst rgb="FFD00000"/>
          <x14:colorLast rgb="FFD00000"/>
          <x14:colorHigh rgb="FFD00000"/>
          <x14:colorLow rgb="FFD00000"/>
          <x14:sparklines>
            <x14:sparkline>
              <xm:f>'APE und OEE'!E9:O9</xm:f>
              <xm:sqref>P9</xm:sqref>
            </x14:sparkline>
          </x14:sparklines>
        </x14:sparklineGroup>
        <x14:sparklineGroup type="line" displayEmptyCellsAs="gap">
          <x14:colorSeries rgb="FF376092"/>
          <x14:colorNegative rgb="FFD00000"/>
          <x14:colorAxis rgb="FF000000"/>
          <x14:colorMarkers rgb="FFD00000"/>
          <x14:colorFirst rgb="FFD00000"/>
          <x14:colorLast rgb="FFD00000"/>
          <x14:colorHigh rgb="FFD00000"/>
          <x14:colorLow rgb="FFD00000"/>
          <x14:sparklines>
            <x14:sparkline>
              <xm:f>'APE und OEE'!E10:O10</xm:f>
              <xm:sqref>P10</xm:sqref>
            </x14:sparkline>
          </x14:sparklines>
        </x14:sparklineGroup>
        <x14:sparklineGroup type="line" displayEmptyCellsAs="gap">
          <x14:colorSeries rgb="FF376092"/>
          <x14:colorNegative rgb="FFD00000"/>
          <x14:colorAxis rgb="FF000000"/>
          <x14:colorMarkers rgb="FFD00000"/>
          <x14:colorFirst rgb="FFD00000"/>
          <x14:colorLast rgb="FFD00000"/>
          <x14:colorHigh rgb="FFD00000"/>
          <x14:colorLow rgb="FFD00000"/>
          <x14:sparklines>
            <x14:sparkline>
              <xm:f>'APE und OEE'!E11:O11</xm:f>
              <xm:sqref>P11</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Tabelle4"/>
  <dimension ref="B2:K15"/>
  <sheetViews>
    <sheetView showGridLines="0" workbookViewId="0">
      <selection activeCell="D16" sqref="D16"/>
    </sheetView>
  </sheetViews>
  <sheetFormatPr defaultColWidth="11" defaultRowHeight="15"/>
  <cols>
    <col min="1" max="1" width="4.18095238095238" customWidth="1"/>
    <col min="2" max="2" width="16.3619047619048" customWidth="1"/>
    <col min="3" max="3" width="28.2666666666667" customWidth="1"/>
    <col min="4" max="4" width="20.9047619047619" customWidth="1"/>
  </cols>
  <sheetData>
    <row r="2" spans="2:11">
      <c r="B2" s="88" t="s">
        <v>235</v>
      </c>
      <c r="C2" s="8"/>
      <c r="D2" s="8"/>
      <c r="E2" s="8"/>
      <c r="F2" s="8"/>
      <c r="G2" s="8"/>
      <c r="H2" s="8"/>
      <c r="I2" s="8"/>
      <c r="J2" s="8"/>
      <c r="K2" s="89"/>
    </row>
    <row r="3" spans="2:11">
      <c r="B3" s="90"/>
      <c r="C3" s="16"/>
      <c r="D3" s="16"/>
      <c r="E3" s="16"/>
      <c r="F3" s="16"/>
      <c r="G3" s="16"/>
      <c r="H3" s="16"/>
      <c r="I3" s="16"/>
      <c r="J3" s="16"/>
      <c r="K3" s="17"/>
    </row>
    <row r="5" spans="2:11">
      <c r="B5" s="27" t="s">
        <v>236</v>
      </c>
      <c r="C5" s="28" t="s">
        <v>237</v>
      </c>
      <c r="D5" s="31" t="s">
        <v>238</v>
      </c>
    </row>
    <row r="6" spans="2:11">
      <c r="B6" s="10">
        <f>IF(Aufträge!B6="","",Aufträge!B6)</f>
        <v>402570130</v>
      </c>
      <c r="C6" s="11" t="str">
        <f>IF(Aufträge!C6="","",Aufträge!C6)</f>
        <v>Benzinmotor</v>
      </c>
      <c r="D6" s="91">
        <v>0.605</v>
      </c>
    </row>
    <row r="7" spans="2:11">
      <c r="B7" s="10">
        <f>IF(Aufträge!B7="","",Aufträge!B7)</f>
        <v>443014920</v>
      </c>
      <c r="C7" s="11" t="str">
        <f>IF(Aufträge!C7="","",Aufträge!C7)</f>
        <v>Dieselmotor</v>
      </c>
      <c r="D7" s="91">
        <v>0.62</v>
      </c>
    </row>
    <row r="8" spans="2:11">
      <c r="B8" s="10">
        <f>IF(Aufträge!B8="","",Aufträge!B8)</f>
        <v>453201483</v>
      </c>
      <c r="C8" s="11" t="str">
        <f>IF(Aufträge!C8="","",Aufträge!C8)</f>
        <v>Direkteinspritzungsmotor</v>
      </c>
      <c r="D8" s="91">
        <v>0.65</v>
      </c>
    </row>
    <row r="9" spans="2:11">
      <c r="B9" s="10">
        <f>IF(Aufträge!B9="","",Aufträge!B9)</f>
        <v>520310473</v>
      </c>
      <c r="C9" s="11" t="str">
        <f>IF(Aufträge!C9="","",Aufträge!C9)</f>
        <v>Indirekteinspritzungsmotor</v>
      </c>
      <c r="D9" s="91">
        <v>0.625</v>
      </c>
    </row>
    <row r="10" spans="2:11">
      <c r="B10" s="10">
        <f>IF(Aufträge!B10="","",Aufträge!B10)</f>
        <v>536325201</v>
      </c>
      <c r="C10" s="11" t="str">
        <f>IF(Aufträge!C10="","",Aufträge!C10)</f>
        <v>Hybridmotor</v>
      </c>
      <c r="D10" s="91">
        <v>0.655</v>
      </c>
    </row>
    <row r="11" spans="2:11">
      <c r="B11" s="10">
        <f>IF(Aufträge!B11="","",Aufträge!B11)</f>
        <v>545263102</v>
      </c>
      <c r="C11" s="11" t="str">
        <f>IF(Aufträge!C11="","",Aufträge!C11)</f>
        <v>Elektromotor</v>
      </c>
      <c r="D11" s="91">
        <v>0.695</v>
      </c>
    </row>
    <row r="12" spans="2:11">
      <c r="B12" s="10">
        <f>IF(Aufträge!B12="","",Aufträge!B12)</f>
        <v>635241018</v>
      </c>
      <c r="C12" s="11" t="str">
        <f>IF(Aufträge!C12="","",Aufträge!C12)</f>
        <v>Wasserstoffmotor</v>
      </c>
      <c r="D12" s="91">
        <v>0.63</v>
      </c>
    </row>
    <row r="13" spans="2:11">
      <c r="B13" s="10">
        <f>IF(Aufträge!B13="","",Aufträge!B13)</f>
        <v>675230220</v>
      </c>
      <c r="C13" s="11" t="str">
        <f>IF(Aufträge!C13="","",Aufträge!C13)</f>
        <v>Erdgasverbrennungsmotor</v>
      </c>
      <c r="D13" s="91">
        <v>0.625</v>
      </c>
    </row>
    <row r="14" spans="2:11">
      <c r="B14" s="10">
        <f>IF(Aufträge!B14="","",Aufträge!B14)</f>
        <v>698251201</v>
      </c>
      <c r="C14" s="11" t="str">
        <f>IF(Aufträge!C14="","",Aufträge!C14)</f>
        <v>Turbomotor</v>
      </c>
      <c r="D14" s="91">
        <v>0.635</v>
      </c>
    </row>
    <row r="15" spans="2:11">
      <c r="B15" s="90">
        <f>IF(Aufträge!B15="","",Aufträge!B15)</f>
        <v>715240360</v>
      </c>
      <c r="C15" s="16" t="str">
        <f>IF(Aufträge!C15="","",Aufträge!C15)</f>
        <v>Variablekompressionsmotor</v>
      </c>
      <c r="D15" s="92">
        <v>0.675</v>
      </c>
    </row>
  </sheetData>
  <mergeCells count="1">
    <mergeCell ref="B2:K3"/>
  </mergeCells>
  <pageMargins left="0.7" right="0.7" top="0.787401575" bottom="0.787401575" header="0.3" footer="0.3"/>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Tabelle6"/>
  <dimension ref="B2:P106"/>
  <sheetViews>
    <sheetView showGridLines="0" topLeftCell="A43" workbookViewId="0">
      <selection activeCell="F17" sqref="F17"/>
    </sheetView>
  </sheetViews>
  <sheetFormatPr defaultColWidth="11" defaultRowHeight="15"/>
  <cols>
    <col min="1" max="1" width="4.62857142857143" customWidth="1"/>
    <col min="2" max="2" width="22.0857142857143" customWidth="1"/>
    <col min="3" max="3" width="26.3619047619048" customWidth="1"/>
    <col min="4" max="4" width="22" customWidth="1"/>
    <col min="5" max="5" width="23.7238095238095" customWidth="1"/>
    <col min="6" max="6" width="20.7238095238095" customWidth="1"/>
    <col min="7" max="7" width="23.3619047619048" customWidth="1"/>
  </cols>
  <sheetData>
    <row r="2" spans="2:16">
      <c r="B2" s="1" t="s">
        <v>239</v>
      </c>
      <c r="C2" s="2"/>
      <c r="D2" s="2"/>
      <c r="E2" s="2"/>
      <c r="F2" s="2"/>
      <c r="G2" s="2"/>
      <c r="H2" s="2"/>
      <c r="I2" s="2"/>
      <c r="J2" s="2"/>
      <c r="K2" s="2"/>
      <c r="L2" s="2"/>
      <c r="M2" s="2"/>
      <c r="N2" s="2"/>
      <c r="O2" s="2"/>
      <c r="P2" s="3"/>
    </row>
    <row r="3" spans="2:16">
      <c r="B3" s="4"/>
      <c r="C3" s="5"/>
      <c r="D3" s="5"/>
      <c r="E3" s="5"/>
      <c r="F3" s="5"/>
      <c r="G3" s="5"/>
      <c r="H3" s="5"/>
      <c r="I3" s="5"/>
      <c r="J3" s="5"/>
      <c r="K3" s="5"/>
      <c r="L3" s="5"/>
      <c r="M3" s="5"/>
      <c r="N3" s="5"/>
      <c r="O3" s="5"/>
      <c r="P3" s="6"/>
    </row>
    <row r="5" spans="2:16">
      <c r="B5" s="84" t="s">
        <v>240</v>
      </c>
      <c r="C5" s="85" t="s">
        <v>49</v>
      </c>
      <c r="D5" s="85" t="s">
        <v>46</v>
      </c>
      <c r="E5" s="85" t="s">
        <v>47</v>
      </c>
      <c r="F5" s="85" t="s">
        <v>241</v>
      </c>
      <c r="G5" s="86" t="s">
        <v>242</v>
      </c>
    </row>
    <row r="6" spans="2:16">
      <c r="B6" s="27" t="s">
        <v>55</v>
      </c>
      <c r="C6" s="28" t="s">
        <v>56</v>
      </c>
      <c r="D6" s="28">
        <v>402570130</v>
      </c>
      <c r="E6" s="28" t="s">
        <v>54</v>
      </c>
      <c r="F6" s="28">
        <v>50</v>
      </c>
      <c r="G6" s="87">
        <v>46107.0416666667</v>
      </c>
    </row>
    <row r="7" spans="2:16">
      <c r="B7" s="32" t="s">
        <v>59</v>
      </c>
      <c r="C7" s="35" t="s">
        <v>56</v>
      </c>
      <c r="D7" s="35">
        <v>545263102</v>
      </c>
      <c r="E7" s="35" t="s">
        <v>67</v>
      </c>
      <c r="F7" s="35">
        <v>45</v>
      </c>
      <c r="G7" s="15">
        <v>46107.0833333333</v>
      </c>
    </row>
    <row r="8" spans="2:16">
      <c r="B8" s="32" t="s">
        <v>61</v>
      </c>
      <c r="C8" s="35" t="s">
        <v>56</v>
      </c>
      <c r="D8" s="35">
        <v>520310473</v>
      </c>
      <c r="E8" s="35" t="s">
        <v>62</v>
      </c>
      <c r="F8" s="35">
        <v>150</v>
      </c>
      <c r="G8" s="15">
        <v>46107.21875</v>
      </c>
    </row>
    <row r="9" spans="2:16">
      <c r="B9" s="32" t="s">
        <v>63</v>
      </c>
      <c r="C9" t="s">
        <v>64</v>
      </c>
      <c r="D9">
        <v>715240360</v>
      </c>
      <c r="E9" t="s">
        <v>76</v>
      </c>
      <c r="F9">
        <v>280</v>
      </c>
      <c r="G9" s="15">
        <v>46107.25</v>
      </c>
    </row>
    <row r="10" spans="2:16">
      <c r="B10" s="32" t="s">
        <v>66</v>
      </c>
      <c r="C10" t="s">
        <v>64</v>
      </c>
      <c r="D10">
        <v>635241018</v>
      </c>
      <c r="E10" t="s">
        <v>69</v>
      </c>
      <c r="F10">
        <v>260</v>
      </c>
      <c r="G10" s="15">
        <v>46107.25</v>
      </c>
    </row>
    <row r="11" spans="2:16">
      <c r="B11" s="32" t="s">
        <v>68</v>
      </c>
      <c r="C11" t="s">
        <v>64</v>
      </c>
      <c r="D11">
        <v>453201483</v>
      </c>
      <c r="E11" t="s">
        <v>60</v>
      </c>
      <c r="F11">
        <v>1000</v>
      </c>
      <c r="G11" s="15">
        <v>46107.2916666666</v>
      </c>
    </row>
    <row r="12" spans="2:16">
      <c r="B12" s="32" t="s">
        <v>70</v>
      </c>
      <c r="C12" t="s">
        <v>71</v>
      </c>
      <c r="D12">
        <v>715240360</v>
      </c>
      <c r="E12" t="s">
        <v>76</v>
      </c>
      <c r="F12">
        <v>140</v>
      </c>
      <c r="G12" s="15">
        <v>46107.3333333333</v>
      </c>
    </row>
    <row r="13" spans="2:16">
      <c r="B13" s="32" t="s">
        <v>73</v>
      </c>
      <c r="C13" t="s">
        <v>71</v>
      </c>
      <c r="D13">
        <v>536325201</v>
      </c>
      <c r="E13" t="s">
        <v>65</v>
      </c>
      <c r="F13">
        <v>30</v>
      </c>
      <c r="G13" s="15">
        <v>46107.4583333333</v>
      </c>
    </row>
    <row r="14" spans="2:16">
      <c r="B14" s="32" t="s">
        <v>75</v>
      </c>
      <c r="C14" t="s">
        <v>71</v>
      </c>
      <c r="D14">
        <v>520310473</v>
      </c>
      <c r="E14" t="s">
        <v>62</v>
      </c>
      <c r="F14">
        <v>10</v>
      </c>
      <c r="G14" s="15">
        <v>46107.4583333333</v>
      </c>
    </row>
    <row r="15" spans="2:16">
      <c r="B15" s="32" t="s">
        <v>77</v>
      </c>
      <c r="C15" t="s">
        <v>78</v>
      </c>
      <c r="D15">
        <v>698251201</v>
      </c>
      <c r="E15" t="s">
        <v>74</v>
      </c>
      <c r="F15">
        <v>205</v>
      </c>
      <c r="G15" s="15">
        <v>46107.4791666667</v>
      </c>
    </row>
    <row r="16" spans="2:16">
      <c r="B16" s="32" t="s">
        <v>79</v>
      </c>
      <c r="C16" t="s">
        <v>80</v>
      </c>
      <c r="D16">
        <v>698251201</v>
      </c>
      <c r="E16" t="s">
        <v>74</v>
      </c>
      <c r="F16">
        <v>200</v>
      </c>
      <c r="G16" s="15">
        <v>46107.4791666667</v>
      </c>
    </row>
    <row r="17" spans="2:7">
      <c r="B17" s="32" t="s">
        <v>83</v>
      </c>
      <c r="C17" t="s">
        <v>80</v>
      </c>
      <c r="D17">
        <v>635241018</v>
      </c>
      <c r="E17" t="s">
        <v>69</v>
      </c>
      <c r="F17">
        <v>50</v>
      </c>
      <c r="G17" s="15">
        <v>46107.5</v>
      </c>
    </row>
    <row r="18" spans="2:7">
      <c r="B18" s="32" t="s">
        <v>85</v>
      </c>
      <c r="C18" t="s">
        <v>80</v>
      </c>
      <c r="D18">
        <v>520310473</v>
      </c>
      <c r="E18" t="s">
        <v>62</v>
      </c>
      <c r="F18">
        <v>140</v>
      </c>
      <c r="G18" s="15">
        <v>46107.5416666666</v>
      </c>
    </row>
    <row r="19" spans="2:7">
      <c r="B19" s="32" t="s">
        <v>86</v>
      </c>
      <c r="C19" t="s">
        <v>80</v>
      </c>
      <c r="D19">
        <v>520310473</v>
      </c>
      <c r="E19" t="s">
        <v>62</v>
      </c>
      <c r="F19">
        <v>115</v>
      </c>
      <c r="G19" s="15">
        <v>46107.5833333333</v>
      </c>
    </row>
    <row r="20" spans="2:7">
      <c r="B20" s="32" t="s">
        <v>87</v>
      </c>
      <c r="C20" t="s">
        <v>80</v>
      </c>
      <c r="D20">
        <v>545263102</v>
      </c>
      <c r="E20" t="s">
        <v>67</v>
      </c>
      <c r="F20">
        <v>100</v>
      </c>
      <c r="G20" s="15">
        <v>46107.625</v>
      </c>
    </row>
    <row r="21" spans="2:7">
      <c r="B21" s="32" t="s">
        <v>88</v>
      </c>
      <c r="C21" t="s">
        <v>80</v>
      </c>
      <c r="D21">
        <v>443014920</v>
      </c>
      <c r="E21" t="s">
        <v>58</v>
      </c>
      <c r="F21">
        <v>165</v>
      </c>
      <c r="G21" s="15">
        <v>46107.6666666666</v>
      </c>
    </row>
    <row r="22" spans="2:7">
      <c r="B22" s="32" t="s">
        <v>89</v>
      </c>
      <c r="C22" t="s">
        <v>80</v>
      </c>
      <c r="D22">
        <v>675230220</v>
      </c>
      <c r="E22" t="s">
        <v>72</v>
      </c>
      <c r="F22">
        <v>120</v>
      </c>
      <c r="G22" s="15">
        <v>46107.6770833333</v>
      </c>
    </row>
    <row r="23" spans="2:7">
      <c r="B23" s="32" t="s">
        <v>90</v>
      </c>
      <c r="C23" t="s">
        <v>80</v>
      </c>
      <c r="D23">
        <v>635241018</v>
      </c>
      <c r="E23" t="s">
        <v>69</v>
      </c>
      <c r="F23">
        <v>290</v>
      </c>
      <c r="G23" s="15">
        <v>46107.7083333333</v>
      </c>
    </row>
    <row r="24" spans="2:7">
      <c r="B24" s="32" t="s">
        <v>91</v>
      </c>
      <c r="C24" t="s">
        <v>80</v>
      </c>
      <c r="D24">
        <v>635241018</v>
      </c>
      <c r="E24" t="s">
        <v>69</v>
      </c>
      <c r="F24">
        <v>205</v>
      </c>
      <c r="G24" s="15">
        <v>46107.75</v>
      </c>
    </row>
    <row r="25" spans="2:7">
      <c r="B25" s="32" t="s">
        <v>92</v>
      </c>
      <c r="C25" t="s">
        <v>93</v>
      </c>
      <c r="D25">
        <v>715240360</v>
      </c>
      <c r="E25" t="s">
        <v>76</v>
      </c>
      <c r="F25">
        <v>200</v>
      </c>
      <c r="G25" s="15">
        <v>46107.8749999999</v>
      </c>
    </row>
    <row r="26" spans="2:7">
      <c r="B26" s="32" t="s">
        <v>94</v>
      </c>
      <c r="C26" t="s">
        <v>93</v>
      </c>
      <c r="D26">
        <v>536325201</v>
      </c>
      <c r="E26" t="s">
        <v>65</v>
      </c>
      <c r="F26">
        <v>110</v>
      </c>
      <c r="G26" s="15">
        <v>46107.9166666666</v>
      </c>
    </row>
    <row r="27" spans="2:7">
      <c r="B27" s="32" t="s">
        <v>95</v>
      </c>
      <c r="C27" t="s">
        <v>93</v>
      </c>
      <c r="D27">
        <v>536325201</v>
      </c>
      <c r="E27" t="s">
        <v>65</v>
      </c>
      <c r="F27">
        <v>185</v>
      </c>
      <c r="G27" s="15">
        <v>46107.9583333333</v>
      </c>
    </row>
    <row r="28" spans="2:7">
      <c r="B28" s="32" t="s">
        <v>96</v>
      </c>
      <c r="C28" t="s">
        <v>93</v>
      </c>
      <c r="D28">
        <v>545263102</v>
      </c>
      <c r="E28" t="s">
        <v>67</v>
      </c>
      <c r="F28">
        <v>200</v>
      </c>
      <c r="G28" s="15">
        <v>46108.0208333333</v>
      </c>
    </row>
    <row r="29" spans="2:7">
      <c r="B29" s="32" t="s">
        <v>97</v>
      </c>
      <c r="C29" t="s">
        <v>93</v>
      </c>
      <c r="D29">
        <v>536325201</v>
      </c>
      <c r="E29" t="s">
        <v>65</v>
      </c>
      <c r="F29">
        <v>180</v>
      </c>
      <c r="G29" s="15">
        <v>46108.09375</v>
      </c>
    </row>
    <row r="30" spans="2:7">
      <c r="B30" s="32" t="s">
        <v>98</v>
      </c>
      <c r="C30" t="s">
        <v>99</v>
      </c>
      <c r="D30">
        <v>402570130</v>
      </c>
      <c r="E30" t="s">
        <v>54</v>
      </c>
      <c r="F30">
        <v>200</v>
      </c>
      <c r="G30" s="15">
        <v>46108.1874999999</v>
      </c>
    </row>
    <row r="31" spans="2:7">
      <c r="B31" s="32" t="s">
        <v>100</v>
      </c>
      <c r="C31" t="s">
        <v>101</v>
      </c>
      <c r="D31">
        <v>698251201</v>
      </c>
      <c r="E31" t="s">
        <v>74</v>
      </c>
      <c r="F31">
        <v>290</v>
      </c>
      <c r="G31" s="15">
        <v>46108.2083333333</v>
      </c>
    </row>
    <row r="32" spans="2:7">
      <c r="B32" s="32" t="s">
        <v>102</v>
      </c>
      <c r="C32" t="s">
        <v>101</v>
      </c>
      <c r="D32">
        <v>402570130</v>
      </c>
      <c r="E32" t="s">
        <v>54</v>
      </c>
      <c r="F32">
        <v>25</v>
      </c>
      <c r="G32" s="15">
        <v>46108.25</v>
      </c>
    </row>
    <row r="33" spans="2:7">
      <c r="B33" s="32" t="s">
        <v>103</v>
      </c>
      <c r="C33" t="s">
        <v>101</v>
      </c>
      <c r="D33">
        <v>443014920</v>
      </c>
      <c r="E33" t="s">
        <v>58</v>
      </c>
      <c r="F33">
        <v>300</v>
      </c>
      <c r="G33" s="15">
        <v>46108.2916666666</v>
      </c>
    </row>
    <row r="34" spans="2:7">
      <c r="B34" s="32" t="s">
        <v>104</v>
      </c>
      <c r="C34" t="s">
        <v>101</v>
      </c>
      <c r="D34">
        <v>545263102</v>
      </c>
      <c r="E34" t="s">
        <v>67</v>
      </c>
      <c r="F34">
        <v>250</v>
      </c>
      <c r="G34" s="15">
        <v>46108.3125</v>
      </c>
    </row>
    <row r="35" spans="2:7">
      <c r="B35" s="32" t="s">
        <v>105</v>
      </c>
      <c r="C35" t="s">
        <v>106</v>
      </c>
      <c r="D35">
        <v>453201483</v>
      </c>
      <c r="E35" t="s">
        <v>60</v>
      </c>
      <c r="F35">
        <v>45</v>
      </c>
      <c r="G35" s="15">
        <v>46108.3125</v>
      </c>
    </row>
    <row r="36" spans="2:7">
      <c r="B36" s="32" t="s">
        <v>107</v>
      </c>
      <c r="C36" t="s">
        <v>106</v>
      </c>
      <c r="D36">
        <v>675230220</v>
      </c>
      <c r="E36" t="s">
        <v>72</v>
      </c>
      <c r="F36">
        <v>75</v>
      </c>
      <c r="G36" s="15">
        <v>46108.3333333333</v>
      </c>
    </row>
    <row r="37" spans="2:7">
      <c r="B37" s="32" t="s">
        <v>108</v>
      </c>
      <c r="C37" t="s">
        <v>109</v>
      </c>
      <c r="D37">
        <v>443014920</v>
      </c>
      <c r="E37" t="s">
        <v>58</v>
      </c>
      <c r="F37">
        <v>50</v>
      </c>
      <c r="G37" s="15">
        <v>46108.375</v>
      </c>
    </row>
    <row r="38" spans="2:7">
      <c r="B38" s="32" t="s">
        <v>110</v>
      </c>
      <c r="C38" t="s">
        <v>111</v>
      </c>
      <c r="D38">
        <v>536325201</v>
      </c>
      <c r="E38" t="s">
        <v>65</v>
      </c>
      <c r="F38">
        <v>120</v>
      </c>
      <c r="G38" s="15">
        <v>46108.3958333333</v>
      </c>
    </row>
    <row r="39" spans="2:7">
      <c r="B39" s="32" t="s">
        <v>112</v>
      </c>
      <c r="C39" t="s">
        <v>111</v>
      </c>
      <c r="D39">
        <v>536325201</v>
      </c>
      <c r="E39" t="s">
        <v>65</v>
      </c>
      <c r="F39">
        <v>140</v>
      </c>
      <c r="G39" s="15">
        <v>46108.4166666666</v>
      </c>
    </row>
    <row r="40" spans="2:7">
      <c r="B40" s="32" t="s">
        <v>113</v>
      </c>
      <c r="C40" t="s">
        <v>114</v>
      </c>
      <c r="D40">
        <v>715240360</v>
      </c>
      <c r="E40" t="s">
        <v>76</v>
      </c>
      <c r="F40">
        <v>60</v>
      </c>
      <c r="G40" s="15">
        <v>46108.4583333333</v>
      </c>
    </row>
    <row r="41" spans="2:7">
      <c r="B41" s="32" t="s">
        <v>115</v>
      </c>
      <c r="C41" t="s">
        <v>116</v>
      </c>
      <c r="D41">
        <v>402570130</v>
      </c>
      <c r="E41" t="s">
        <v>54</v>
      </c>
      <c r="F41">
        <v>20</v>
      </c>
      <c r="G41" s="15">
        <v>46108.5</v>
      </c>
    </row>
    <row r="42" spans="2:7">
      <c r="B42" s="32" t="s">
        <v>117</v>
      </c>
      <c r="C42" t="s">
        <v>116</v>
      </c>
      <c r="D42">
        <v>520310473</v>
      </c>
      <c r="E42" t="s">
        <v>62</v>
      </c>
      <c r="F42">
        <v>55</v>
      </c>
      <c r="G42" s="15">
        <v>46108.5416666666</v>
      </c>
    </row>
    <row r="43" spans="2:7">
      <c r="B43" s="32" t="s">
        <v>118</v>
      </c>
      <c r="C43" t="s">
        <v>116</v>
      </c>
      <c r="D43">
        <v>453201483</v>
      </c>
      <c r="E43" t="s">
        <v>60</v>
      </c>
      <c r="F43">
        <v>75</v>
      </c>
      <c r="G43" s="15">
        <v>46108.5833333333</v>
      </c>
    </row>
    <row r="44" spans="2:7">
      <c r="B44" s="32" t="s">
        <v>119</v>
      </c>
      <c r="C44" t="s">
        <v>116</v>
      </c>
      <c r="D44">
        <v>635241018</v>
      </c>
      <c r="E44" t="s">
        <v>69</v>
      </c>
      <c r="F44">
        <v>100</v>
      </c>
      <c r="G44" s="15">
        <v>46108.625</v>
      </c>
    </row>
    <row r="45" spans="2:7">
      <c r="B45" s="32" t="s">
        <v>120</v>
      </c>
      <c r="C45" t="s">
        <v>116</v>
      </c>
      <c r="D45">
        <v>675230220</v>
      </c>
      <c r="E45" t="s">
        <v>72</v>
      </c>
      <c r="F45">
        <v>45</v>
      </c>
      <c r="G45" s="15">
        <v>46108.6666666666</v>
      </c>
    </row>
    <row r="46" spans="2:7">
      <c r="B46" s="32" t="s">
        <v>122</v>
      </c>
      <c r="C46" t="s">
        <v>116</v>
      </c>
      <c r="D46">
        <v>443014920</v>
      </c>
      <c r="E46" t="s">
        <v>58</v>
      </c>
      <c r="F46">
        <v>30</v>
      </c>
      <c r="G46" s="15">
        <v>46108.6875</v>
      </c>
    </row>
    <row r="47" spans="2:7">
      <c r="B47" s="32" t="s">
        <v>125</v>
      </c>
      <c r="C47" t="s">
        <v>116</v>
      </c>
      <c r="D47">
        <v>675230220</v>
      </c>
      <c r="E47" t="s">
        <v>72</v>
      </c>
      <c r="F47">
        <v>95</v>
      </c>
      <c r="G47" s="15">
        <v>46108.7083333333</v>
      </c>
    </row>
    <row r="48" spans="2:7">
      <c r="B48" s="32" t="s">
        <v>126</v>
      </c>
      <c r="C48" t="s">
        <v>116</v>
      </c>
      <c r="D48">
        <v>545263102</v>
      </c>
      <c r="E48" t="s">
        <v>67</v>
      </c>
      <c r="F48">
        <v>85</v>
      </c>
      <c r="G48" s="15">
        <v>46108.75</v>
      </c>
    </row>
    <row r="49" spans="2:7">
      <c r="B49" s="32" t="s">
        <v>127</v>
      </c>
      <c r="C49" t="s">
        <v>116</v>
      </c>
      <c r="D49">
        <v>545263102</v>
      </c>
      <c r="E49" t="s">
        <v>67</v>
      </c>
      <c r="F49">
        <v>130</v>
      </c>
      <c r="G49" s="15">
        <v>46108.7916666666</v>
      </c>
    </row>
    <row r="50" spans="2:7">
      <c r="B50" s="32" t="s">
        <v>128</v>
      </c>
      <c r="C50" t="s">
        <v>116</v>
      </c>
      <c r="D50">
        <v>635241018</v>
      </c>
      <c r="E50" t="s">
        <v>69</v>
      </c>
      <c r="F50">
        <v>140</v>
      </c>
      <c r="G50" s="15">
        <v>46108.8333333333</v>
      </c>
    </row>
    <row r="51" spans="2:7">
      <c r="B51" s="32" t="s">
        <v>129</v>
      </c>
      <c r="C51" t="s">
        <v>130</v>
      </c>
      <c r="D51">
        <v>698251201</v>
      </c>
      <c r="E51" t="s">
        <v>74</v>
      </c>
      <c r="F51">
        <v>50</v>
      </c>
      <c r="G51" s="15">
        <v>46108.9166666666</v>
      </c>
    </row>
    <row r="52" spans="2:7">
      <c r="B52" s="32" t="s">
        <v>131</v>
      </c>
      <c r="C52" t="s">
        <v>130</v>
      </c>
      <c r="D52">
        <v>520310473</v>
      </c>
      <c r="E52" t="s">
        <v>62</v>
      </c>
      <c r="F52">
        <v>30</v>
      </c>
      <c r="G52" s="15">
        <v>46108.9583333333</v>
      </c>
    </row>
    <row r="53" spans="2:7">
      <c r="B53" s="32" t="s">
        <v>132</v>
      </c>
      <c r="C53" t="s">
        <v>130</v>
      </c>
      <c r="D53">
        <v>536325201</v>
      </c>
      <c r="E53" t="s">
        <v>65</v>
      </c>
      <c r="F53">
        <v>360</v>
      </c>
      <c r="G53" s="15">
        <v>46108.9791666666</v>
      </c>
    </row>
    <row r="54" spans="2:7">
      <c r="B54" s="32" t="s">
        <v>133</v>
      </c>
      <c r="C54" t="s">
        <v>130</v>
      </c>
      <c r="D54">
        <v>715240360</v>
      </c>
      <c r="E54" t="s">
        <v>76</v>
      </c>
      <c r="F54">
        <v>55</v>
      </c>
      <c r="G54" s="15">
        <v>46108.9999999999</v>
      </c>
    </row>
    <row r="55" spans="2:7">
      <c r="B55" s="32" t="s">
        <v>134</v>
      </c>
      <c r="C55" t="s">
        <v>135</v>
      </c>
      <c r="D55">
        <v>715240360</v>
      </c>
      <c r="E55" t="s">
        <v>76</v>
      </c>
      <c r="F55">
        <v>40</v>
      </c>
      <c r="G55" s="15">
        <v>46109.2291666667</v>
      </c>
    </row>
    <row r="56" spans="2:7">
      <c r="B56" s="32" t="s">
        <v>136</v>
      </c>
      <c r="C56" t="s">
        <v>135</v>
      </c>
      <c r="D56">
        <v>520310473</v>
      </c>
      <c r="E56" t="s">
        <v>62</v>
      </c>
      <c r="F56">
        <v>220</v>
      </c>
      <c r="G56" s="15">
        <v>46109.2916666666</v>
      </c>
    </row>
    <row r="57" spans="2:7">
      <c r="B57" s="32" t="s">
        <v>141</v>
      </c>
      <c r="C57" t="s">
        <v>135</v>
      </c>
      <c r="D57">
        <v>453201483</v>
      </c>
      <c r="E57" t="s">
        <v>60</v>
      </c>
      <c r="F57">
        <v>60</v>
      </c>
      <c r="G57" s="15">
        <v>46109.3125</v>
      </c>
    </row>
    <row r="58" spans="2:7">
      <c r="B58" s="32" t="s">
        <v>142</v>
      </c>
      <c r="C58" t="s">
        <v>143</v>
      </c>
      <c r="D58">
        <v>402570130</v>
      </c>
      <c r="E58" t="s">
        <v>54</v>
      </c>
      <c r="F58">
        <v>40</v>
      </c>
      <c r="G58" s="15">
        <v>46109.3333333333</v>
      </c>
    </row>
    <row r="59" spans="2:7">
      <c r="B59" s="32" t="s">
        <v>144</v>
      </c>
      <c r="C59" t="s">
        <v>145</v>
      </c>
      <c r="D59">
        <v>545263102</v>
      </c>
      <c r="E59" t="s">
        <v>67</v>
      </c>
      <c r="F59">
        <v>155</v>
      </c>
      <c r="G59" s="15">
        <v>46109.3333333333</v>
      </c>
    </row>
    <row r="60" spans="2:7">
      <c r="B60" s="32" t="s">
        <v>146</v>
      </c>
      <c r="C60" t="s">
        <v>147</v>
      </c>
      <c r="D60">
        <v>698251201</v>
      </c>
      <c r="E60" t="s">
        <v>74</v>
      </c>
      <c r="F60">
        <v>245</v>
      </c>
      <c r="G60" s="15">
        <v>46109.375</v>
      </c>
    </row>
    <row r="61" spans="2:7">
      <c r="B61" s="32" t="s">
        <v>148</v>
      </c>
      <c r="C61" t="s">
        <v>147</v>
      </c>
      <c r="D61">
        <v>545263102</v>
      </c>
      <c r="E61" t="s">
        <v>67</v>
      </c>
      <c r="F61">
        <v>145</v>
      </c>
      <c r="G61" s="15">
        <v>46109.3958333333</v>
      </c>
    </row>
    <row r="62" spans="2:7">
      <c r="B62" s="32" t="s">
        <v>149</v>
      </c>
      <c r="C62" t="s">
        <v>147</v>
      </c>
      <c r="D62">
        <v>453201483</v>
      </c>
      <c r="E62" t="s">
        <v>60</v>
      </c>
      <c r="F62">
        <v>105</v>
      </c>
      <c r="G62" s="15">
        <v>46109.3958333333</v>
      </c>
    </row>
    <row r="63" spans="2:7">
      <c r="B63" s="32" t="s">
        <v>150</v>
      </c>
      <c r="C63" t="s">
        <v>147</v>
      </c>
      <c r="D63">
        <v>443014920</v>
      </c>
      <c r="E63" t="s">
        <v>58</v>
      </c>
      <c r="F63">
        <v>200</v>
      </c>
      <c r="G63" s="15">
        <v>46109.4166666666</v>
      </c>
    </row>
    <row r="64" spans="2:7">
      <c r="B64" s="32" t="s">
        <v>151</v>
      </c>
      <c r="C64" t="s">
        <v>147</v>
      </c>
      <c r="D64">
        <v>536325201</v>
      </c>
      <c r="E64" t="s">
        <v>65</v>
      </c>
      <c r="F64">
        <v>50</v>
      </c>
      <c r="G64" s="15">
        <v>46109.4583333333</v>
      </c>
    </row>
    <row r="65" spans="2:7">
      <c r="B65" s="32" t="s">
        <v>152</v>
      </c>
      <c r="C65" t="s">
        <v>147</v>
      </c>
      <c r="D65">
        <v>675230220</v>
      </c>
      <c r="E65" t="s">
        <v>72</v>
      </c>
      <c r="F65">
        <v>20</v>
      </c>
      <c r="G65" s="15">
        <v>46109.5</v>
      </c>
    </row>
    <row r="66" spans="2:7">
      <c r="B66" s="32" t="s">
        <v>153</v>
      </c>
      <c r="C66" t="s">
        <v>154</v>
      </c>
      <c r="D66">
        <v>715240360</v>
      </c>
      <c r="E66" t="s">
        <v>76</v>
      </c>
      <c r="F66">
        <v>40</v>
      </c>
      <c r="G66" s="15">
        <v>46109.5833333333</v>
      </c>
    </row>
    <row r="67" spans="2:7">
      <c r="B67" s="32" t="s">
        <v>155</v>
      </c>
      <c r="C67" t="s">
        <v>154</v>
      </c>
      <c r="D67">
        <v>715240360</v>
      </c>
      <c r="E67" t="s">
        <v>76</v>
      </c>
      <c r="F67">
        <v>100</v>
      </c>
      <c r="G67" s="15">
        <v>46109.625</v>
      </c>
    </row>
    <row r="68" spans="2:7">
      <c r="B68" s="32" t="s">
        <v>156</v>
      </c>
      <c r="C68" t="s">
        <v>154</v>
      </c>
      <c r="D68">
        <v>536325201</v>
      </c>
      <c r="E68" t="s">
        <v>65</v>
      </c>
      <c r="F68">
        <v>35</v>
      </c>
      <c r="G68" s="15">
        <v>46109.7083333333</v>
      </c>
    </row>
    <row r="69" spans="2:7">
      <c r="B69" s="32" t="s">
        <v>157</v>
      </c>
      <c r="C69" t="s">
        <v>154</v>
      </c>
      <c r="D69">
        <v>453201483</v>
      </c>
      <c r="E69" t="s">
        <v>60</v>
      </c>
      <c r="F69">
        <v>30</v>
      </c>
      <c r="G69" s="15">
        <v>46109.7083333333</v>
      </c>
    </row>
    <row r="70" spans="2:7">
      <c r="B70" s="32" t="s">
        <v>158</v>
      </c>
      <c r="C70" t="s">
        <v>154</v>
      </c>
      <c r="D70">
        <v>635241018</v>
      </c>
      <c r="E70" t="s">
        <v>69</v>
      </c>
      <c r="F70">
        <v>10</v>
      </c>
      <c r="G70" s="15">
        <v>46109.75</v>
      </c>
    </row>
    <row r="71" spans="2:7">
      <c r="B71" s="32" t="s">
        <v>159</v>
      </c>
      <c r="C71" t="s">
        <v>160</v>
      </c>
      <c r="D71">
        <v>698251201</v>
      </c>
      <c r="E71" t="s">
        <v>74</v>
      </c>
      <c r="F71">
        <v>520</v>
      </c>
      <c r="G71" s="15">
        <v>46109.7916666666</v>
      </c>
    </row>
    <row r="72" spans="2:7">
      <c r="B72" s="32" t="s">
        <v>161</v>
      </c>
      <c r="C72" t="s">
        <v>162</v>
      </c>
      <c r="D72">
        <v>453201483</v>
      </c>
      <c r="E72" t="s">
        <v>60</v>
      </c>
      <c r="F72">
        <v>260</v>
      </c>
      <c r="G72" s="15">
        <v>46109.7916666666</v>
      </c>
    </row>
    <row r="73" spans="2:7">
      <c r="B73" s="32" t="s">
        <v>163</v>
      </c>
      <c r="C73" t="s">
        <v>162</v>
      </c>
      <c r="D73">
        <v>698251201</v>
      </c>
      <c r="E73" t="s">
        <v>74</v>
      </c>
      <c r="F73">
        <v>80</v>
      </c>
      <c r="G73" s="15">
        <v>46109.8333333333</v>
      </c>
    </row>
    <row r="74" spans="2:7">
      <c r="B74" s="32" t="s">
        <v>164</v>
      </c>
      <c r="C74" t="s">
        <v>162</v>
      </c>
      <c r="D74">
        <v>545263102</v>
      </c>
      <c r="E74" t="s">
        <v>67</v>
      </c>
      <c r="F74">
        <v>75</v>
      </c>
      <c r="G74" s="15">
        <v>46109.8541666666</v>
      </c>
    </row>
    <row r="75" spans="2:7">
      <c r="B75" s="32" t="s">
        <v>165</v>
      </c>
      <c r="C75" t="s">
        <v>162</v>
      </c>
      <c r="D75">
        <v>443014920</v>
      </c>
      <c r="E75" t="s">
        <v>58</v>
      </c>
      <c r="F75">
        <v>40</v>
      </c>
      <c r="G75" s="15">
        <v>46109.8749999999</v>
      </c>
    </row>
    <row r="76" spans="2:7">
      <c r="B76" s="32" t="s">
        <v>166</v>
      </c>
      <c r="C76" t="s">
        <v>162</v>
      </c>
      <c r="D76">
        <v>675230220</v>
      </c>
      <c r="E76" t="s">
        <v>72</v>
      </c>
      <c r="F76">
        <v>65</v>
      </c>
      <c r="G76" s="15">
        <v>46109.9166666666</v>
      </c>
    </row>
    <row r="77" spans="2:7">
      <c r="B77" s="32" t="s">
        <v>167</v>
      </c>
      <c r="C77" t="s">
        <v>162</v>
      </c>
      <c r="D77">
        <v>443014920</v>
      </c>
      <c r="E77" t="s">
        <v>58</v>
      </c>
      <c r="F77">
        <v>105</v>
      </c>
      <c r="G77" s="15">
        <v>46109.9583333333</v>
      </c>
    </row>
    <row r="78" spans="2:7">
      <c r="B78" s="32" t="s">
        <v>168</v>
      </c>
      <c r="C78" t="s">
        <v>169</v>
      </c>
      <c r="D78">
        <v>545263102</v>
      </c>
      <c r="E78" t="s">
        <v>67</v>
      </c>
      <c r="F78">
        <v>230</v>
      </c>
      <c r="G78" s="15">
        <v>46110.0416666667</v>
      </c>
    </row>
    <row r="79" spans="2:7">
      <c r="B79" s="32" t="s">
        <v>170</v>
      </c>
      <c r="C79" t="s">
        <v>169</v>
      </c>
      <c r="D79">
        <v>545263102</v>
      </c>
      <c r="E79" t="s">
        <v>67</v>
      </c>
      <c r="F79">
        <v>40</v>
      </c>
      <c r="G79" s="15">
        <v>46110.0833333333</v>
      </c>
    </row>
    <row r="80" spans="2:7">
      <c r="B80" s="32" t="s">
        <v>171</v>
      </c>
      <c r="C80" t="s">
        <v>169</v>
      </c>
      <c r="D80">
        <v>545263102</v>
      </c>
      <c r="E80" t="s">
        <v>67</v>
      </c>
      <c r="F80">
        <v>50</v>
      </c>
      <c r="G80" s="15">
        <v>46110.125</v>
      </c>
    </row>
    <row r="81" spans="2:7">
      <c r="B81" s="32" t="s">
        <v>172</v>
      </c>
      <c r="C81" t="s">
        <v>169</v>
      </c>
      <c r="D81">
        <v>545263102</v>
      </c>
      <c r="E81" t="s">
        <v>67</v>
      </c>
      <c r="F81">
        <v>55</v>
      </c>
      <c r="G81" s="15">
        <v>46110.1666666667</v>
      </c>
    </row>
    <row r="82" spans="2:7">
      <c r="B82" s="32" t="s">
        <v>173</v>
      </c>
      <c r="C82" t="s">
        <v>169</v>
      </c>
      <c r="D82">
        <v>545263102</v>
      </c>
      <c r="E82" t="s">
        <v>67</v>
      </c>
      <c r="F82">
        <v>60</v>
      </c>
      <c r="G82" s="15">
        <v>46110.2083333333</v>
      </c>
    </row>
    <row r="83" spans="2:7">
      <c r="B83" s="32" t="s">
        <v>174</v>
      </c>
      <c r="C83" t="s">
        <v>169</v>
      </c>
      <c r="D83">
        <v>545263102</v>
      </c>
      <c r="E83" t="s">
        <v>67</v>
      </c>
      <c r="F83">
        <v>65</v>
      </c>
      <c r="G83" s="15">
        <v>46110.25</v>
      </c>
    </row>
    <row r="84" spans="2:7">
      <c r="B84" s="32" t="s">
        <v>175</v>
      </c>
      <c r="C84" t="s">
        <v>169</v>
      </c>
      <c r="D84">
        <v>545263102</v>
      </c>
      <c r="E84" t="s">
        <v>67</v>
      </c>
      <c r="F84">
        <v>95</v>
      </c>
      <c r="G84" s="15">
        <v>46110.2916666666</v>
      </c>
    </row>
    <row r="85" spans="2:7">
      <c r="B85" s="32" t="s">
        <v>176</v>
      </c>
      <c r="C85" t="s">
        <v>177</v>
      </c>
      <c r="D85">
        <v>545263102</v>
      </c>
      <c r="E85" t="s">
        <v>67</v>
      </c>
      <c r="F85">
        <v>15</v>
      </c>
      <c r="G85" s="15">
        <v>46110.3124999999</v>
      </c>
    </row>
    <row r="86" spans="2:7">
      <c r="B86" s="32" t="s">
        <v>178</v>
      </c>
      <c r="C86" t="s">
        <v>179</v>
      </c>
      <c r="D86">
        <v>402570130</v>
      </c>
      <c r="E86" t="s">
        <v>54</v>
      </c>
      <c r="F86">
        <v>280</v>
      </c>
      <c r="G86" s="15">
        <v>46110.375</v>
      </c>
    </row>
    <row r="87" spans="2:7">
      <c r="B87" s="32" t="s">
        <v>180</v>
      </c>
      <c r="C87" t="s">
        <v>179</v>
      </c>
      <c r="D87">
        <v>520310473</v>
      </c>
      <c r="E87" t="s">
        <v>62</v>
      </c>
      <c r="F87">
        <v>160</v>
      </c>
      <c r="G87" s="15">
        <v>46110.4166666666</v>
      </c>
    </row>
    <row r="88" spans="2:7">
      <c r="B88" s="32" t="s">
        <v>181</v>
      </c>
      <c r="C88" t="s">
        <v>179</v>
      </c>
      <c r="D88">
        <v>453201483</v>
      </c>
      <c r="E88" t="s">
        <v>60</v>
      </c>
      <c r="F88">
        <v>155</v>
      </c>
      <c r="G88" s="15">
        <v>46110.4583333333</v>
      </c>
    </row>
    <row r="89" spans="2:7">
      <c r="B89" s="32" t="s">
        <v>182</v>
      </c>
      <c r="C89" t="s">
        <v>179</v>
      </c>
      <c r="D89">
        <v>520310473</v>
      </c>
      <c r="E89" t="s">
        <v>62</v>
      </c>
      <c r="F89">
        <v>115</v>
      </c>
      <c r="G89" s="15">
        <v>46110.5</v>
      </c>
    </row>
    <row r="90" spans="2:7">
      <c r="B90" s="32" t="s">
        <v>183</v>
      </c>
      <c r="C90" t="s">
        <v>179</v>
      </c>
      <c r="D90">
        <v>453201483</v>
      </c>
      <c r="E90" t="s">
        <v>60</v>
      </c>
      <c r="F90">
        <v>170</v>
      </c>
      <c r="G90" s="15">
        <v>46110.5416666666</v>
      </c>
    </row>
    <row r="91" spans="2:7">
      <c r="B91" s="32" t="s">
        <v>184</v>
      </c>
      <c r="C91" t="s">
        <v>179</v>
      </c>
      <c r="D91">
        <v>443014920</v>
      </c>
      <c r="E91" t="s">
        <v>58</v>
      </c>
      <c r="F91">
        <v>180</v>
      </c>
      <c r="G91" s="15">
        <v>46110.5833333333</v>
      </c>
    </row>
    <row r="92" spans="2:7">
      <c r="B92" s="32" t="s">
        <v>185</v>
      </c>
      <c r="C92" t="s">
        <v>179</v>
      </c>
      <c r="D92">
        <v>545263102</v>
      </c>
      <c r="E92" t="s">
        <v>67</v>
      </c>
      <c r="F92">
        <v>155</v>
      </c>
      <c r="G92" s="15">
        <v>46110.6666666666</v>
      </c>
    </row>
    <row r="93" spans="2:7">
      <c r="B93" s="32" t="s">
        <v>186</v>
      </c>
      <c r="C93" t="s">
        <v>187</v>
      </c>
      <c r="D93">
        <v>715240360</v>
      </c>
      <c r="E93" t="s">
        <v>76</v>
      </c>
      <c r="F93">
        <v>150</v>
      </c>
      <c r="G93" s="15">
        <v>46110.7083333333</v>
      </c>
    </row>
    <row r="94" spans="2:7">
      <c r="B94" s="32" t="s">
        <v>188</v>
      </c>
      <c r="C94" t="s">
        <v>187</v>
      </c>
      <c r="D94">
        <v>402570130</v>
      </c>
      <c r="E94" t="s">
        <v>54</v>
      </c>
      <c r="F94">
        <v>180</v>
      </c>
      <c r="G94" s="15">
        <v>46110.7145833333</v>
      </c>
    </row>
    <row r="95" spans="2:7">
      <c r="B95" s="32" t="s">
        <v>189</v>
      </c>
      <c r="C95" t="s">
        <v>187</v>
      </c>
      <c r="D95">
        <v>520310473</v>
      </c>
      <c r="E95" t="s">
        <v>62</v>
      </c>
      <c r="F95">
        <v>140</v>
      </c>
      <c r="G95" s="15">
        <v>46110.75</v>
      </c>
    </row>
    <row r="96" spans="2:7">
      <c r="B96" s="32" t="s">
        <v>190</v>
      </c>
      <c r="C96" t="s">
        <v>187</v>
      </c>
      <c r="D96">
        <v>715240360</v>
      </c>
      <c r="E96" t="s">
        <v>76</v>
      </c>
      <c r="F96">
        <v>160</v>
      </c>
      <c r="G96" s="15">
        <v>46110.7916666666</v>
      </c>
    </row>
    <row r="97" spans="2:7">
      <c r="B97" s="32" t="s">
        <v>191</v>
      </c>
      <c r="C97" t="s">
        <v>187</v>
      </c>
      <c r="D97">
        <v>675230220</v>
      </c>
      <c r="E97" t="s">
        <v>72</v>
      </c>
      <c r="F97">
        <v>190</v>
      </c>
      <c r="G97" s="15">
        <v>46110.8749999999</v>
      </c>
    </row>
    <row r="98" spans="2:7">
      <c r="B98" s="32" t="s">
        <v>192</v>
      </c>
      <c r="C98" t="s">
        <v>187</v>
      </c>
      <c r="D98">
        <v>635241018</v>
      </c>
      <c r="E98" t="s">
        <v>69</v>
      </c>
      <c r="F98">
        <v>140</v>
      </c>
      <c r="G98" s="15">
        <v>46110.9166666666</v>
      </c>
    </row>
    <row r="99" spans="2:7">
      <c r="B99" s="32" t="s">
        <v>193</v>
      </c>
      <c r="C99" t="s">
        <v>187</v>
      </c>
      <c r="D99">
        <v>443014920</v>
      </c>
      <c r="E99" t="s">
        <v>58</v>
      </c>
      <c r="F99">
        <v>185</v>
      </c>
      <c r="G99" s="15">
        <v>46110.9583333333</v>
      </c>
    </row>
    <row r="100" spans="2:7">
      <c r="B100" s="32" t="s">
        <v>194</v>
      </c>
      <c r="C100" t="s">
        <v>187</v>
      </c>
      <c r="D100">
        <v>675230220</v>
      </c>
      <c r="E100" t="s">
        <v>72</v>
      </c>
      <c r="F100">
        <v>145</v>
      </c>
      <c r="G100" s="15">
        <v>46111</v>
      </c>
    </row>
    <row r="101" spans="2:7">
      <c r="B101" s="32" t="s">
        <v>195</v>
      </c>
      <c r="C101" t="s">
        <v>187</v>
      </c>
      <c r="D101">
        <v>675230220</v>
      </c>
      <c r="E101" t="s">
        <v>72</v>
      </c>
      <c r="F101">
        <v>65</v>
      </c>
      <c r="G101" s="15">
        <v>46111.0208333333</v>
      </c>
    </row>
    <row r="102" spans="2:7">
      <c r="B102" s="32" t="s">
        <v>196</v>
      </c>
      <c r="C102" t="s">
        <v>197</v>
      </c>
      <c r="D102">
        <v>402570130</v>
      </c>
      <c r="E102" t="s">
        <v>54</v>
      </c>
      <c r="F102">
        <v>180</v>
      </c>
      <c r="G102" s="15">
        <v>46111.3958333333</v>
      </c>
    </row>
    <row r="103" spans="2:7">
      <c r="B103" s="32" t="s">
        <v>198</v>
      </c>
      <c r="C103" t="s">
        <v>197</v>
      </c>
      <c r="D103">
        <v>536325201</v>
      </c>
      <c r="E103" t="s">
        <v>65</v>
      </c>
      <c r="F103">
        <v>302</v>
      </c>
      <c r="G103" s="15">
        <v>46111.4166666666</v>
      </c>
    </row>
    <row r="104" spans="2:7">
      <c r="B104" s="32" t="s">
        <v>199</v>
      </c>
      <c r="C104" t="s">
        <v>197</v>
      </c>
      <c r="D104">
        <v>536325201</v>
      </c>
      <c r="E104" t="s">
        <v>65</v>
      </c>
      <c r="F104">
        <v>120</v>
      </c>
      <c r="G104" s="15">
        <v>46111.4999999999</v>
      </c>
    </row>
    <row r="105" spans="2:7">
      <c r="B105" s="32" t="s">
        <v>200</v>
      </c>
      <c r="C105" t="s">
        <v>197</v>
      </c>
      <c r="D105">
        <v>698251201</v>
      </c>
      <c r="E105" t="s">
        <v>74</v>
      </c>
      <c r="F105">
        <v>130</v>
      </c>
      <c r="G105" s="15">
        <v>46111.6666666666</v>
      </c>
    </row>
    <row r="106" spans="2:7">
      <c r="B106" s="28"/>
      <c r="C106" s="28"/>
      <c r="D106" s="28"/>
      <c r="E106" s="28"/>
      <c r="F106" s="28"/>
      <c r="G106" s="28"/>
    </row>
  </sheetData>
  <sortState ref="G6:G105">
    <sortCondition ref="G5"/>
  </sortState>
  <mergeCells count="1">
    <mergeCell ref="B2:P3"/>
  </mergeCells>
  <pageMargins left="0.7" right="0.7" top="0.787401575" bottom="0.787401575" header="0.3" footer="0.3"/>
  <headerFooter/>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Tabelle5"/>
  <dimension ref="B2:T5739"/>
  <sheetViews>
    <sheetView showGridLines="0" tabSelected="1" zoomScale="86" zoomScaleNormal="86" workbookViewId="0">
      <selection activeCell="O5" sqref="O5"/>
    </sheetView>
  </sheetViews>
  <sheetFormatPr defaultColWidth="11" defaultRowHeight="15"/>
  <cols>
    <col min="1" max="1" width="6.08571428571429" customWidth="1"/>
    <col min="2" max="2" width="15.8190476190476" customWidth="1"/>
    <col min="3" max="3" width="16.6285714285714" customWidth="1"/>
    <col min="4" max="4" width="15.2666666666667" customWidth="1"/>
    <col min="5" max="5" width="24.2666666666667" customWidth="1"/>
    <col min="6" max="6" width="16.6285714285714" customWidth="1"/>
    <col min="7" max="7" width="16.2666666666667" customWidth="1"/>
    <col min="8" max="8" width="13.3619047619048" customWidth="1"/>
    <col min="11" max="11" width="14.4571428571429" customWidth="1"/>
    <col min="12" max="12" width="13.8190476190476" customWidth="1"/>
    <col min="13" max="13" width="16.5428571428571" customWidth="1"/>
    <col min="14" max="14" width="17.0857142857143" customWidth="1"/>
    <col min="15" max="15" width="16" customWidth="1"/>
    <col min="17" max="17" width="16" customWidth="1"/>
  </cols>
  <sheetData>
    <row r="2" spans="2:20">
      <c r="B2" s="1" t="s">
        <v>243</v>
      </c>
      <c r="C2" s="2"/>
      <c r="D2" s="2"/>
      <c r="E2" s="2"/>
      <c r="F2" s="2"/>
      <c r="G2" s="2"/>
      <c r="H2" s="2"/>
      <c r="I2" s="2"/>
      <c r="J2" s="2"/>
      <c r="K2" s="2"/>
      <c r="L2" s="2"/>
      <c r="M2" s="2"/>
      <c r="N2" s="2"/>
      <c r="O2" s="2"/>
      <c r="P2" s="2"/>
      <c r="Q2" s="2"/>
      <c r="R2" s="2"/>
      <c r="S2" s="2"/>
      <c r="T2" s="3"/>
    </row>
    <row r="3" spans="2:20">
      <c r="B3" s="4"/>
      <c r="C3" s="5"/>
      <c r="D3" s="5"/>
      <c r="E3" s="5"/>
      <c r="F3" s="5"/>
      <c r="G3" s="5"/>
      <c r="H3" s="5"/>
      <c r="I3" s="5"/>
      <c r="J3" s="5"/>
      <c r="K3" s="5"/>
      <c r="L3" s="5"/>
      <c r="M3" s="5"/>
      <c r="N3" s="5"/>
      <c r="O3" s="5"/>
      <c r="P3" s="5"/>
      <c r="Q3" s="5"/>
      <c r="R3" s="5"/>
      <c r="S3" s="5"/>
      <c r="T3" s="6"/>
    </row>
    <row r="5" spans="2:20">
      <c r="B5" s="7" t="s">
        <v>244</v>
      </c>
      <c r="C5" s="8"/>
      <c r="D5" s="9">
        <f ca="1">+Aufträge!L6</f>
        <v>46107</v>
      </c>
      <c r="E5" s="10"/>
      <c r="F5" s="11"/>
      <c r="G5" s="11"/>
      <c r="H5" s="11"/>
      <c r="J5" s="12" t="s">
        <v>245</v>
      </c>
      <c r="K5" s="13"/>
      <c r="L5" s="14">
        <f>+'APE und OEE'!E12</f>
        <v>5</v>
      </c>
    </row>
    <row r="6" spans="2:20">
      <c r="B6" s="10" t="s">
        <v>246</v>
      </c>
      <c r="C6" s="11"/>
      <c r="D6" s="15">
        <f ca="1">+VLOOKUP(1,Aufträge!N57:O387,2,FALSE)</f>
        <v>46107.25</v>
      </c>
      <c r="E6" s="10"/>
      <c r="F6" s="11"/>
      <c r="G6" s="11"/>
      <c r="H6" s="11"/>
      <c r="L6" s="11"/>
      <c r="M6" s="11"/>
      <c r="N6" s="11"/>
      <c r="O6" s="11"/>
      <c r="P6" s="16" t="s">
        <v>247</v>
      </c>
      <c r="Q6" s="16"/>
      <c r="R6" s="16"/>
      <c r="S6" s="17"/>
      <c r="T6" s="18">
        <f ca="1">+COUNTIF(T8:T107,"&lt;0")</f>
        <v>10</v>
      </c>
    </row>
    <row r="7" ht="54.5" customHeight="1" spans="2:20">
      <c r="B7" s="19" t="s">
        <v>248</v>
      </c>
      <c r="C7" s="20" t="s">
        <v>49</v>
      </c>
      <c r="D7" s="20" t="s">
        <v>46</v>
      </c>
      <c r="E7" s="20" t="s">
        <v>249</v>
      </c>
      <c r="F7" s="20" t="s">
        <v>250</v>
      </c>
      <c r="G7" s="20" t="s">
        <v>242</v>
      </c>
      <c r="H7" s="21" t="s">
        <v>251</v>
      </c>
      <c r="I7" s="22" t="s">
        <v>252</v>
      </c>
      <c r="J7" s="20" t="s">
        <v>253</v>
      </c>
      <c r="K7" s="21" t="s">
        <v>206</v>
      </c>
      <c r="L7" s="21" t="s">
        <v>254</v>
      </c>
      <c r="M7" s="21" t="s">
        <v>255</v>
      </c>
      <c r="N7" s="23" t="s">
        <v>256</v>
      </c>
      <c r="O7" s="24" t="s">
        <v>257</v>
      </c>
      <c r="P7" s="24" t="s">
        <v>258</v>
      </c>
      <c r="Q7" s="24" t="s">
        <v>259</v>
      </c>
      <c r="R7" s="25" t="s">
        <v>260</v>
      </c>
      <c r="S7" s="25" t="s">
        <v>261</v>
      </c>
      <c r="T7" s="26" t="s">
        <v>262</v>
      </c>
    </row>
    <row r="8" spans="2:20">
      <c r="B8" s="27" t="s">
        <v>55</v>
      </c>
      <c r="C8" s="28" t="s">
        <v>56</v>
      </c>
      <c r="D8" s="28">
        <v>402570130</v>
      </c>
      <c r="E8" s="28" t="s">
        <v>54</v>
      </c>
      <c r="F8" s="28">
        <v>50</v>
      </c>
      <c r="G8" s="29">
        <v>46107.0416666667</v>
      </c>
      <c r="H8" s="28">
        <f t="shared" ref="H8:H39" si="0">IFERROR(VLOOKUP(D8,Zeit,3,0),"")</f>
        <v>0.605</v>
      </c>
      <c r="I8" s="28">
        <f>IFERROR(H8*F8,"")</f>
        <v>30.25</v>
      </c>
      <c r="J8" s="30">
        <v>1</v>
      </c>
      <c r="K8" s="28" t="str">
        <f t="shared" ref="K8:K39" si="1">IFERROR(VLOOKUP(J8,APE,2,0),"")</f>
        <v>A01</v>
      </c>
      <c r="L8" s="28" t="str">
        <f t="shared" ref="L8:L39" si="2">IFERROR(VLOOKUP(J8,APE,3,0),"")</f>
        <v>Motor Typ 1</v>
      </c>
      <c r="M8" s="28">
        <f>+IFERROR(VLOOKUP(J8,APE,14,0),"")</f>
        <v>0.72</v>
      </c>
      <c r="N8" s="28">
        <f>IFERROR(H8/M8,"")</f>
        <v>0.840277777777778</v>
      </c>
      <c r="O8" s="28">
        <f>IFERROR(I8/M8,0)</f>
        <v>42.0138888888889</v>
      </c>
      <c r="P8" s="28">
        <f t="shared" ref="P8:P24" si="3">+O8/60</f>
        <v>0.700231481481482</v>
      </c>
      <c r="Q8" s="29">
        <f>+ROUNDDOWN(G8*24,0)/24</f>
        <v>46107.0416666667</v>
      </c>
      <c r="R8" s="28">
        <f ca="1">IFERROR(IF(G8&gt;Aufträge!$L$176,Aufträge!$N$176,VLOOKUP(Q8,Kalender,2,0)),"")</f>
        <v>0</v>
      </c>
      <c r="S8" s="28">
        <f>+SUMIFS($P$8:$P$107,$K$8:$K$107,K8,$G$8:$G$107,"&lt;="&amp;G8)</f>
        <v>0.700231481481482</v>
      </c>
      <c r="T8" s="31">
        <f ca="1">IFERROR(R8-S8,"")</f>
        <v>-0.700231481481482</v>
      </c>
    </row>
    <row r="9" spans="2:20">
      <c r="B9" s="32" t="s">
        <v>59</v>
      </c>
      <c r="C9" t="s">
        <v>56</v>
      </c>
      <c r="D9">
        <v>545263102</v>
      </c>
      <c r="E9" t="s">
        <v>67</v>
      </c>
      <c r="F9">
        <v>45</v>
      </c>
      <c r="G9" s="33">
        <v>46107.0833333333</v>
      </c>
      <c r="H9">
        <f t="shared" si="0"/>
        <v>0.695</v>
      </c>
      <c r="I9">
        <f t="shared" ref="I9:I72" si="4">IFERROR(H9*F9,"")</f>
        <v>31.275</v>
      </c>
      <c r="J9" s="34">
        <v>2</v>
      </c>
      <c r="K9" s="35" t="str">
        <f>IFERROR(VLOOKUP(J9,APE,2,0),"")</f>
        <v>A02</v>
      </c>
      <c r="L9" s="35" t="str">
        <f>IFERROR(VLOOKUP(J9,APE,3,0),"")</f>
        <v>Motor Typ 2</v>
      </c>
      <c r="M9" s="35">
        <f t="shared" ref="M8:M39" si="5">+IFERROR(VLOOKUP(J9,APE,14,0),"")</f>
        <v>0.71</v>
      </c>
      <c r="N9" s="35">
        <f>IFERROR(H9/M9,"")</f>
        <v>0.97887323943662</v>
      </c>
      <c r="O9" s="35">
        <f>IFERROR(I9/M9,0)</f>
        <v>44.0492957746479</v>
      </c>
      <c r="P9" s="35">
        <f t="shared" si="3"/>
        <v>0.734154929577465</v>
      </c>
      <c r="Q9" s="36">
        <f>+ROUNDDOWN(G9*24,0)/24</f>
        <v>46107.0833333333</v>
      </c>
      <c r="R9" s="35">
        <f ca="1">IFERROR(IF(G9&gt;Aufträge!$L$176,Aufträge!$N$176,VLOOKUP(Q9,Kalender,2,0)),"")</f>
        <v>0</v>
      </c>
      <c r="S9" s="35">
        <f t="shared" ref="S9:S72" si="6">+SUMIFS($P$8:$P$107,$K$8:$K$107,K9,$G$8:$G$107,"&lt;="&amp;G9)</f>
        <v>0.734154929577465</v>
      </c>
      <c r="T9" s="37">
        <f ca="1" t="shared" ref="T9:T72" si="7">IFERROR(R9-S9,"")</f>
        <v>-0.734154929577465</v>
      </c>
    </row>
    <row r="10" spans="2:20">
      <c r="B10" s="32" t="s">
        <v>61</v>
      </c>
      <c r="C10" t="s">
        <v>56</v>
      </c>
      <c r="D10">
        <v>520310473</v>
      </c>
      <c r="E10" t="s">
        <v>62</v>
      </c>
      <c r="F10">
        <v>150</v>
      </c>
      <c r="G10" s="33">
        <v>46107.21875</v>
      </c>
      <c r="H10">
        <f t="shared" si="0"/>
        <v>0.625</v>
      </c>
      <c r="I10">
        <f t="shared" si="4"/>
        <v>93.75</v>
      </c>
      <c r="J10" s="34">
        <v>3</v>
      </c>
      <c r="K10" s="35" t="str">
        <f t="shared" si="1"/>
        <v>A03</v>
      </c>
      <c r="L10" s="35" t="str">
        <f t="shared" si="2"/>
        <v>Motor Typ 3</v>
      </c>
      <c r="M10" s="35">
        <f t="shared" si="5"/>
        <v>0.85</v>
      </c>
      <c r="N10" s="35">
        <f>IFERROR(H10/M10,"")</f>
        <v>0.735294117647059</v>
      </c>
      <c r="O10" s="35">
        <f>IFERROR(I10/M10,0)</f>
        <v>110.294117647059</v>
      </c>
      <c r="P10" s="35">
        <f t="shared" si="3"/>
        <v>1.83823529411765</v>
      </c>
      <c r="Q10" s="36">
        <f>+ROUNDDOWN(G10*24,0)/24</f>
        <v>46107.2083333333</v>
      </c>
      <c r="R10" s="35">
        <f ca="1">IFERROR(IF(G10&gt;Aufträge!$L$176,Aufträge!$N$176,VLOOKUP(Q10,Kalender,2,0)),"")</f>
        <v>0</v>
      </c>
      <c r="S10" s="35">
        <f t="shared" si="6"/>
        <v>1.83823529411765</v>
      </c>
      <c r="T10" s="37">
        <f ca="1" t="shared" si="7"/>
        <v>-1.83823529411765</v>
      </c>
    </row>
    <row r="11" spans="2:20">
      <c r="B11" s="32" t="s">
        <v>63</v>
      </c>
      <c r="C11" t="s">
        <v>64</v>
      </c>
      <c r="D11">
        <v>715240360</v>
      </c>
      <c r="E11" t="s">
        <v>76</v>
      </c>
      <c r="F11">
        <v>280</v>
      </c>
      <c r="G11" s="33">
        <v>46107.25</v>
      </c>
      <c r="H11">
        <f t="shared" si="0"/>
        <v>0.675</v>
      </c>
      <c r="I11">
        <f t="shared" si="4"/>
        <v>189</v>
      </c>
      <c r="J11" s="34">
        <v>4</v>
      </c>
      <c r="K11" s="35" t="str">
        <f t="shared" si="1"/>
        <v>A04</v>
      </c>
      <c r="L11" s="35" t="str">
        <f t="shared" si="2"/>
        <v>Motor Typ 4</v>
      </c>
      <c r="M11" s="35">
        <f t="shared" si="5"/>
        <v>0.735</v>
      </c>
      <c r="N11" s="35">
        <f>IFERROR(H11/M11,"")</f>
        <v>0.918367346938776</v>
      </c>
      <c r="O11" s="35">
        <f t="shared" ref="O11:O72" si="8">IFERROR(I11/M11,0)</f>
        <v>257.142857142857</v>
      </c>
      <c r="P11" s="35">
        <f t="shared" si="3"/>
        <v>4.28571428571429</v>
      </c>
      <c r="Q11" s="36">
        <f>+ROUNDDOWN(G11*24,0)/24</f>
        <v>46107.25</v>
      </c>
      <c r="R11" s="35">
        <f ca="1">IFERROR(IF(G11&gt;Aufträge!$L$176,Aufträge!$N$176,VLOOKUP(Q11,Kalender,2,0)),"")</f>
        <v>1</v>
      </c>
      <c r="S11" s="35">
        <f t="shared" si="6"/>
        <v>4.28571428571429</v>
      </c>
      <c r="T11" s="37">
        <f ca="1" t="shared" si="7"/>
        <v>-3.28571428571429</v>
      </c>
    </row>
    <row r="12" spans="2:20">
      <c r="B12" s="32" t="s">
        <v>66</v>
      </c>
      <c r="C12" t="s">
        <v>64</v>
      </c>
      <c r="D12">
        <v>635241018</v>
      </c>
      <c r="E12" t="s">
        <v>69</v>
      </c>
      <c r="F12">
        <v>260</v>
      </c>
      <c r="G12" s="33">
        <v>46107.25</v>
      </c>
      <c r="H12">
        <f t="shared" si="0"/>
        <v>0.63</v>
      </c>
      <c r="I12">
        <f t="shared" si="4"/>
        <v>163.8</v>
      </c>
      <c r="J12" s="34">
        <v>5</v>
      </c>
      <c r="K12" s="35" t="str">
        <f t="shared" si="1"/>
        <v>A05</v>
      </c>
      <c r="L12" s="35" t="str">
        <f t="shared" si="2"/>
        <v>Motor Typ 5</v>
      </c>
      <c r="M12" s="35">
        <f t="shared" si="5"/>
        <v>0.795</v>
      </c>
      <c r="N12" s="35">
        <f>IFERROR(H12/M12,"")</f>
        <v>0.792452830188679</v>
      </c>
      <c r="O12" s="35">
        <f t="shared" si="8"/>
        <v>206.037735849057</v>
      </c>
      <c r="P12" s="35">
        <f t="shared" si="3"/>
        <v>3.43396226415094</v>
      </c>
      <c r="Q12" s="36">
        <f>+ROUNDDOWN(G12*24,0)/24</f>
        <v>46107.25</v>
      </c>
      <c r="R12" s="35">
        <f ca="1">IFERROR(IF(G12&gt;Aufträge!$L$176,Aufträge!$N$176,VLOOKUP(Q12,Kalender,2,0)),"")</f>
        <v>1</v>
      </c>
      <c r="S12" s="35">
        <f t="shared" si="6"/>
        <v>3.43396226415094</v>
      </c>
      <c r="T12" s="37">
        <f ca="1" t="shared" si="7"/>
        <v>-2.43396226415094</v>
      </c>
    </row>
    <row r="13" spans="2:20">
      <c r="B13" s="32" t="s">
        <v>68</v>
      </c>
      <c r="C13" t="s">
        <v>64</v>
      </c>
      <c r="D13">
        <v>453201483</v>
      </c>
      <c r="E13" t="s">
        <v>60</v>
      </c>
      <c r="F13">
        <v>1000</v>
      </c>
      <c r="G13" s="33">
        <v>46107.2916666666</v>
      </c>
      <c r="H13">
        <f t="shared" si="0"/>
        <v>0.65</v>
      </c>
      <c r="I13">
        <f t="shared" si="4"/>
        <v>650</v>
      </c>
      <c r="J13" s="34">
        <v>3</v>
      </c>
      <c r="K13" s="35" t="str">
        <f t="shared" si="1"/>
        <v>A03</v>
      </c>
      <c r="L13" s="35" t="str">
        <f t="shared" si="2"/>
        <v>Motor Typ 3</v>
      </c>
      <c r="M13" s="35">
        <f t="shared" si="5"/>
        <v>0.85</v>
      </c>
      <c r="N13" s="35">
        <f t="shared" ref="N9:N72" si="9">IFERROR(H13/M13,"")</f>
        <v>0.764705882352941</v>
      </c>
      <c r="O13" s="35">
        <f t="shared" si="8"/>
        <v>764.705882352941</v>
      </c>
      <c r="P13" s="35">
        <f t="shared" si="3"/>
        <v>12.7450980392157</v>
      </c>
      <c r="Q13" s="36">
        <f t="shared" ref="Q11:Q72" si="10">+ROUNDDOWN(G13*24,0)/24</f>
        <v>46107.2916666667</v>
      </c>
      <c r="R13" s="35">
        <f ca="1">IFERROR(IF(G13&gt;Aufträge!$L$176,Aufträge!$N$176,VLOOKUP(Q13,Kalender,2,0)),"")</f>
        <v>2</v>
      </c>
      <c r="S13" s="35">
        <f t="shared" si="6"/>
        <v>14.5833333333333</v>
      </c>
      <c r="T13" s="37">
        <f ca="1" t="shared" si="7"/>
        <v>-12.5833333333333</v>
      </c>
    </row>
    <row r="14" spans="2:20">
      <c r="B14" s="32" t="s">
        <v>70</v>
      </c>
      <c r="C14" t="s">
        <v>71</v>
      </c>
      <c r="D14">
        <v>715240360</v>
      </c>
      <c r="E14" t="s">
        <v>76</v>
      </c>
      <c r="F14">
        <v>140</v>
      </c>
      <c r="G14" s="33">
        <v>46107.3333333333</v>
      </c>
      <c r="H14">
        <f t="shared" si="0"/>
        <v>0.675</v>
      </c>
      <c r="I14">
        <f t="shared" si="4"/>
        <v>94.5</v>
      </c>
      <c r="J14" s="34">
        <v>4</v>
      </c>
      <c r="K14" s="35" t="str">
        <f t="shared" si="1"/>
        <v>A04</v>
      </c>
      <c r="L14" s="35" t="str">
        <f t="shared" si="2"/>
        <v>Motor Typ 4</v>
      </c>
      <c r="M14" s="35">
        <f t="shared" si="5"/>
        <v>0.735</v>
      </c>
      <c r="N14" s="35">
        <f t="shared" si="9"/>
        <v>0.918367346938776</v>
      </c>
      <c r="O14" s="35">
        <f t="shared" si="8"/>
        <v>128.571428571429</v>
      </c>
      <c r="P14" s="35">
        <f t="shared" si="3"/>
        <v>2.14285714285714</v>
      </c>
      <c r="Q14" s="36">
        <f t="shared" si="10"/>
        <v>46107.3333333333</v>
      </c>
      <c r="R14" s="35">
        <f ca="1">IFERROR(IF(G14&gt;Aufträge!$L$176,Aufträge!$N$176,VLOOKUP(Q14,Kalender,2,0)),"")</f>
        <v>3</v>
      </c>
      <c r="S14" s="35">
        <f t="shared" si="6"/>
        <v>6.42857142857143</v>
      </c>
      <c r="T14" s="37">
        <f ca="1" t="shared" si="7"/>
        <v>-3.42857142857143</v>
      </c>
    </row>
    <row r="15" spans="2:20">
      <c r="B15" s="32" t="s">
        <v>73</v>
      </c>
      <c r="C15" t="s">
        <v>71</v>
      </c>
      <c r="D15">
        <v>536325201</v>
      </c>
      <c r="E15" t="s">
        <v>65</v>
      </c>
      <c r="F15">
        <v>30</v>
      </c>
      <c r="G15" s="33">
        <v>46107.4583333333</v>
      </c>
      <c r="H15">
        <f t="shared" si="0"/>
        <v>0.655</v>
      </c>
      <c r="I15">
        <f t="shared" si="4"/>
        <v>19.65</v>
      </c>
      <c r="J15" s="34">
        <v>5</v>
      </c>
      <c r="K15" s="35" t="str">
        <f t="shared" si="1"/>
        <v>A05</v>
      </c>
      <c r="L15" s="35" t="str">
        <f t="shared" si="2"/>
        <v>Motor Typ 5</v>
      </c>
      <c r="M15" s="35">
        <f t="shared" si="5"/>
        <v>0.795</v>
      </c>
      <c r="N15" s="35">
        <f t="shared" si="9"/>
        <v>0.823899371069183</v>
      </c>
      <c r="O15" s="35">
        <f t="shared" si="8"/>
        <v>24.7169811320755</v>
      </c>
      <c r="P15" s="35">
        <f t="shared" si="3"/>
        <v>0.411949685534591</v>
      </c>
      <c r="Q15" s="36">
        <f t="shared" si="10"/>
        <v>46107.4583333333</v>
      </c>
      <c r="R15" s="35">
        <f ca="1">IFERROR(IF(G15&gt;Aufträge!$L$176,Aufträge!$N$176,VLOOKUP(Q15,Kalender,2,0)),"")</f>
        <v>6</v>
      </c>
      <c r="S15" s="35">
        <f t="shared" si="6"/>
        <v>3.84591194968553</v>
      </c>
      <c r="T15" s="37">
        <f ca="1" t="shared" si="7"/>
        <v>2.15408805031446</v>
      </c>
    </row>
    <row r="16" spans="2:20">
      <c r="B16" s="32" t="s">
        <v>75</v>
      </c>
      <c r="C16" t="s">
        <v>71</v>
      </c>
      <c r="D16">
        <v>520310473</v>
      </c>
      <c r="E16" t="s">
        <v>62</v>
      </c>
      <c r="F16">
        <v>10</v>
      </c>
      <c r="G16" s="33">
        <v>46107.4583333333</v>
      </c>
      <c r="H16">
        <f t="shared" si="0"/>
        <v>0.625</v>
      </c>
      <c r="I16">
        <f t="shared" si="4"/>
        <v>6.25</v>
      </c>
      <c r="J16" s="34">
        <v>1</v>
      </c>
      <c r="K16" s="35" t="str">
        <f t="shared" si="1"/>
        <v>A01</v>
      </c>
      <c r="L16" s="35" t="str">
        <f t="shared" si="2"/>
        <v>Motor Typ 1</v>
      </c>
      <c r="M16" s="35">
        <f t="shared" si="5"/>
        <v>0.72</v>
      </c>
      <c r="N16" s="35">
        <f t="shared" si="9"/>
        <v>0.868055555555556</v>
      </c>
      <c r="O16" s="35">
        <f t="shared" si="8"/>
        <v>8.68055555555556</v>
      </c>
      <c r="P16" s="35">
        <f t="shared" si="3"/>
        <v>0.144675925925926</v>
      </c>
      <c r="Q16" s="36">
        <f t="shared" si="10"/>
        <v>46107.4583333333</v>
      </c>
      <c r="R16" s="35">
        <f ca="1">IFERROR(IF(G16&gt;Aufträge!$L$176,Aufträge!$N$176,VLOOKUP(Q16,Kalender,2,0)),"")</f>
        <v>6</v>
      </c>
      <c r="S16" s="35">
        <f t="shared" si="6"/>
        <v>0.844907407407407</v>
      </c>
      <c r="T16" s="37">
        <f ca="1" t="shared" si="7"/>
        <v>5.15509259259259</v>
      </c>
    </row>
    <row r="17" spans="2:20">
      <c r="B17" s="32" t="s">
        <v>77</v>
      </c>
      <c r="C17" t="s">
        <v>78</v>
      </c>
      <c r="D17">
        <v>698251201</v>
      </c>
      <c r="E17" t="s">
        <v>74</v>
      </c>
      <c r="F17">
        <v>205</v>
      </c>
      <c r="G17" s="33">
        <v>46107.4791666667</v>
      </c>
      <c r="H17">
        <f t="shared" si="0"/>
        <v>0.635</v>
      </c>
      <c r="I17">
        <f t="shared" si="4"/>
        <v>130.175</v>
      </c>
      <c r="J17" s="34">
        <v>1</v>
      </c>
      <c r="K17" s="35" t="str">
        <f t="shared" si="1"/>
        <v>A01</v>
      </c>
      <c r="L17" s="35" t="str">
        <f t="shared" si="2"/>
        <v>Motor Typ 1</v>
      </c>
      <c r="M17" s="35">
        <f t="shared" si="5"/>
        <v>0.72</v>
      </c>
      <c r="N17" s="35">
        <f t="shared" si="9"/>
        <v>0.881944444444445</v>
      </c>
      <c r="O17" s="35">
        <f t="shared" si="8"/>
        <v>180.798611111111</v>
      </c>
      <c r="P17" s="35">
        <f t="shared" si="3"/>
        <v>3.01331018518519</v>
      </c>
      <c r="Q17" s="36">
        <f t="shared" si="10"/>
        <v>46107.4583333333</v>
      </c>
      <c r="R17" s="35">
        <f ca="1">IFERROR(IF(G17&gt;Aufträge!$L$176,Aufträge!$N$176,VLOOKUP(Q17,Kalender,2,0)),"")</f>
        <v>6</v>
      </c>
      <c r="S17" s="35">
        <f t="shared" si="6"/>
        <v>6.79803240740741</v>
      </c>
      <c r="T17" s="37">
        <f ca="1" t="shared" si="7"/>
        <v>-0.798032407407408</v>
      </c>
    </row>
    <row r="18" spans="2:20">
      <c r="B18" s="32" t="s">
        <v>79</v>
      </c>
      <c r="C18" t="s">
        <v>80</v>
      </c>
      <c r="D18">
        <v>698251201</v>
      </c>
      <c r="E18" t="s">
        <v>74</v>
      </c>
      <c r="F18">
        <v>200</v>
      </c>
      <c r="G18" s="33">
        <v>46107.4791666667</v>
      </c>
      <c r="H18">
        <f t="shared" si="0"/>
        <v>0.635</v>
      </c>
      <c r="I18">
        <f t="shared" si="4"/>
        <v>127</v>
      </c>
      <c r="J18" s="34">
        <v>1</v>
      </c>
      <c r="K18" s="35" t="str">
        <f t="shared" si="1"/>
        <v>A01</v>
      </c>
      <c r="L18" s="35" t="str">
        <f t="shared" si="2"/>
        <v>Motor Typ 1</v>
      </c>
      <c r="M18" s="35">
        <f t="shared" si="5"/>
        <v>0.72</v>
      </c>
      <c r="N18" s="35">
        <f t="shared" si="9"/>
        <v>0.881944444444445</v>
      </c>
      <c r="O18" s="35">
        <f t="shared" si="8"/>
        <v>176.388888888889</v>
      </c>
      <c r="P18" s="35">
        <f t="shared" si="3"/>
        <v>2.93981481481481</v>
      </c>
      <c r="Q18" s="36">
        <f t="shared" si="10"/>
        <v>46107.4583333333</v>
      </c>
      <c r="R18" s="35">
        <f ca="1">IFERROR(IF(G18&gt;Aufträge!$L$176,Aufträge!$N$176,VLOOKUP(Q18,Kalender,2,0)),"")</f>
        <v>6</v>
      </c>
      <c r="S18" s="35">
        <f t="shared" si="6"/>
        <v>6.79803240740741</v>
      </c>
      <c r="T18" s="37">
        <f ca="1" t="shared" si="7"/>
        <v>-0.798032407407408</v>
      </c>
    </row>
    <row r="19" spans="2:20">
      <c r="B19" s="32" t="s">
        <v>83</v>
      </c>
      <c r="C19" t="s">
        <v>80</v>
      </c>
      <c r="D19">
        <v>635241018</v>
      </c>
      <c r="E19" t="s">
        <v>69</v>
      </c>
      <c r="F19">
        <v>50</v>
      </c>
      <c r="G19" s="33">
        <v>46107.5</v>
      </c>
      <c r="H19">
        <f t="shared" si="0"/>
        <v>0.63</v>
      </c>
      <c r="I19">
        <f t="shared" si="4"/>
        <v>31.5</v>
      </c>
      <c r="J19" s="34">
        <v>1</v>
      </c>
      <c r="K19" s="35" t="str">
        <f t="shared" si="1"/>
        <v>A01</v>
      </c>
      <c r="L19" s="35" t="str">
        <f t="shared" si="2"/>
        <v>Motor Typ 1</v>
      </c>
      <c r="M19" s="35">
        <f t="shared" si="5"/>
        <v>0.72</v>
      </c>
      <c r="N19" s="35">
        <f t="shared" si="9"/>
        <v>0.875</v>
      </c>
      <c r="O19" s="35">
        <f t="shared" si="8"/>
        <v>43.75</v>
      </c>
      <c r="P19" s="35">
        <f t="shared" si="3"/>
        <v>0.729166666666667</v>
      </c>
      <c r="Q19" s="36">
        <f t="shared" si="10"/>
        <v>46107.5</v>
      </c>
      <c r="R19" s="35">
        <f ca="1">IFERROR(IF(G19&gt;Aufträge!$L$176,Aufträge!$N$176,VLOOKUP(Q19,Kalender,2,0)),"")</f>
        <v>7</v>
      </c>
      <c r="S19" s="35">
        <f t="shared" si="6"/>
        <v>7.52719907407408</v>
      </c>
      <c r="T19" s="37">
        <f ca="1" t="shared" si="7"/>
        <v>-0.527199074074075</v>
      </c>
    </row>
    <row r="20" spans="2:20">
      <c r="B20" s="32" t="s">
        <v>85</v>
      </c>
      <c r="C20" t="s">
        <v>80</v>
      </c>
      <c r="D20">
        <v>520310473</v>
      </c>
      <c r="E20" t="s">
        <v>62</v>
      </c>
      <c r="F20">
        <v>140</v>
      </c>
      <c r="G20" s="33">
        <v>46107.5416666666</v>
      </c>
      <c r="H20">
        <f t="shared" si="0"/>
        <v>0.625</v>
      </c>
      <c r="I20">
        <f t="shared" si="4"/>
        <v>87.5</v>
      </c>
      <c r="J20" s="34">
        <v>2</v>
      </c>
      <c r="K20" s="35" t="str">
        <f t="shared" si="1"/>
        <v>A02</v>
      </c>
      <c r="L20" s="35" t="str">
        <f t="shared" si="2"/>
        <v>Motor Typ 2</v>
      </c>
      <c r="M20" s="35">
        <f t="shared" si="5"/>
        <v>0.71</v>
      </c>
      <c r="N20" s="35">
        <f t="shared" si="9"/>
        <v>0.880281690140845</v>
      </c>
      <c r="O20" s="35">
        <f t="shared" si="8"/>
        <v>123.239436619718</v>
      </c>
      <c r="P20" s="35">
        <f t="shared" si="3"/>
        <v>2.05399061032864</v>
      </c>
      <c r="Q20" s="36">
        <f t="shared" si="10"/>
        <v>46107.5416666667</v>
      </c>
      <c r="R20" s="35">
        <f ca="1">IFERROR(IF(G20&gt;Aufträge!$L$176,Aufträge!$N$176,VLOOKUP(Q20,Kalender,2,0)),"")</f>
        <v>8</v>
      </c>
      <c r="S20" s="35">
        <f t="shared" si="6"/>
        <v>2.7881455399061</v>
      </c>
      <c r="T20" s="37">
        <f ca="1" t="shared" si="7"/>
        <v>5.2118544600939</v>
      </c>
    </row>
    <row r="21" spans="2:20">
      <c r="B21" s="32" t="s">
        <v>86</v>
      </c>
      <c r="C21" t="s">
        <v>80</v>
      </c>
      <c r="D21">
        <v>520310473</v>
      </c>
      <c r="E21" t="s">
        <v>62</v>
      </c>
      <c r="F21">
        <v>115</v>
      </c>
      <c r="G21" s="33">
        <v>46107.5833333333</v>
      </c>
      <c r="H21">
        <f t="shared" si="0"/>
        <v>0.625</v>
      </c>
      <c r="I21">
        <f t="shared" si="4"/>
        <v>71.875</v>
      </c>
      <c r="J21" s="34">
        <v>2</v>
      </c>
      <c r="K21" s="35" t="str">
        <f t="shared" si="1"/>
        <v>A02</v>
      </c>
      <c r="L21" s="35" t="str">
        <f t="shared" si="2"/>
        <v>Motor Typ 2</v>
      </c>
      <c r="M21" s="35">
        <f t="shared" si="5"/>
        <v>0.71</v>
      </c>
      <c r="N21" s="35">
        <f t="shared" si="9"/>
        <v>0.880281690140845</v>
      </c>
      <c r="O21" s="35">
        <f t="shared" si="8"/>
        <v>101.232394366197</v>
      </c>
      <c r="P21" s="35">
        <f t="shared" si="3"/>
        <v>1.68720657276995</v>
      </c>
      <c r="Q21" s="36">
        <f t="shared" si="10"/>
        <v>46107.5833333333</v>
      </c>
      <c r="R21" s="35">
        <f ca="1">IFERROR(IF(G21&gt;Aufträge!$L$176,Aufträge!$N$176,VLOOKUP(Q21,Kalender,2,0)),"")</f>
        <v>9</v>
      </c>
      <c r="S21" s="35">
        <f t="shared" si="6"/>
        <v>4.47535211267606</v>
      </c>
      <c r="T21" s="37">
        <f ca="1" t="shared" si="7"/>
        <v>4.52464788732394</v>
      </c>
    </row>
    <row r="22" spans="2:20">
      <c r="B22" s="32" t="s">
        <v>87</v>
      </c>
      <c r="C22" t="s">
        <v>80</v>
      </c>
      <c r="D22">
        <v>545263102</v>
      </c>
      <c r="E22" t="s">
        <v>67</v>
      </c>
      <c r="F22">
        <v>100</v>
      </c>
      <c r="G22" s="33">
        <v>46107.625</v>
      </c>
      <c r="H22">
        <f t="shared" si="0"/>
        <v>0.695</v>
      </c>
      <c r="I22">
        <f t="shared" si="4"/>
        <v>69.5</v>
      </c>
      <c r="J22" s="34">
        <v>2</v>
      </c>
      <c r="K22" s="35" t="str">
        <f t="shared" si="1"/>
        <v>A02</v>
      </c>
      <c r="L22" s="35" t="str">
        <f t="shared" si="2"/>
        <v>Motor Typ 2</v>
      </c>
      <c r="M22" s="35">
        <f t="shared" si="5"/>
        <v>0.71</v>
      </c>
      <c r="N22" s="35">
        <f t="shared" si="9"/>
        <v>0.97887323943662</v>
      </c>
      <c r="O22" s="35">
        <f t="shared" si="8"/>
        <v>97.887323943662</v>
      </c>
      <c r="P22" s="35">
        <f t="shared" si="3"/>
        <v>1.63145539906103</v>
      </c>
      <c r="Q22" s="36">
        <f t="shared" si="10"/>
        <v>46107.625</v>
      </c>
      <c r="R22" s="35">
        <f ca="1">IFERROR(IF(G22&gt;Aufträge!$L$176,Aufträge!$N$176,VLOOKUP(Q22,Kalender,2,0)),"")</f>
        <v>10</v>
      </c>
      <c r="S22" s="35">
        <f t="shared" si="6"/>
        <v>6.10680751173709</v>
      </c>
      <c r="T22" s="37">
        <f ca="1" t="shared" si="7"/>
        <v>3.89319248826291</v>
      </c>
    </row>
    <row r="23" spans="2:20">
      <c r="B23" s="32" t="s">
        <v>88</v>
      </c>
      <c r="C23" t="s">
        <v>80</v>
      </c>
      <c r="D23">
        <v>443014920</v>
      </c>
      <c r="E23" t="s">
        <v>58</v>
      </c>
      <c r="F23">
        <v>165</v>
      </c>
      <c r="G23" s="33">
        <v>46107.6666666666</v>
      </c>
      <c r="H23">
        <f t="shared" si="0"/>
        <v>0.62</v>
      </c>
      <c r="I23">
        <f t="shared" si="4"/>
        <v>102.3</v>
      </c>
      <c r="J23" s="34">
        <v>2</v>
      </c>
      <c r="K23" s="35" t="str">
        <f t="shared" si="1"/>
        <v>A02</v>
      </c>
      <c r="L23" s="35" t="str">
        <f t="shared" si="2"/>
        <v>Motor Typ 2</v>
      </c>
      <c r="M23" s="35">
        <f t="shared" si="5"/>
        <v>0.71</v>
      </c>
      <c r="N23" s="35">
        <f t="shared" si="9"/>
        <v>0.873239436619718</v>
      </c>
      <c r="O23" s="35">
        <f t="shared" si="8"/>
        <v>144.084507042254</v>
      </c>
      <c r="P23" s="35">
        <f t="shared" si="3"/>
        <v>2.40140845070423</v>
      </c>
      <c r="Q23" s="36">
        <f t="shared" si="10"/>
        <v>46107.6666666667</v>
      </c>
      <c r="R23" s="35">
        <f ca="1">IFERROR(IF(G23&gt;Aufträge!$L$176,Aufträge!$N$176,VLOOKUP(Q23,Kalender,2,0)),"")</f>
        <v>11</v>
      </c>
      <c r="S23" s="35">
        <f t="shared" si="6"/>
        <v>8.50821596244131</v>
      </c>
      <c r="T23" s="37">
        <f ca="1" t="shared" si="7"/>
        <v>2.49178403755869</v>
      </c>
    </row>
    <row r="24" spans="2:20">
      <c r="B24" s="32" t="s">
        <v>89</v>
      </c>
      <c r="C24" t="s">
        <v>80</v>
      </c>
      <c r="D24">
        <v>675230220</v>
      </c>
      <c r="E24" t="s">
        <v>72</v>
      </c>
      <c r="F24">
        <v>120</v>
      </c>
      <c r="G24" s="33">
        <v>46107.6770833333</v>
      </c>
      <c r="H24">
        <f t="shared" si="0"/>
        <v>0.625</v>
      </c>
      <c r="I24">
        <f t="shared" si="4"/>
        <v>75</v>
      </c>
      <c r="J24" s="34">
        <v>2</v>
      </c>
      <c r="K24" s="35" t="str">
        <f t="shared" si="1"/>
        <v>A02</v>
      </c>
      <c r="L24" s="35" t="str">
        <f t="shared" si="2"/>
        <v>Motor Typ 2</v>
      </c>
      <c r="M24" s="35">
        <f t="shared" si="5"/>
        <v>0.71</v>
      </c>
      <c r="N24" s="35">
        <f t="shared" si="9"/>
        <v>0.880281690140845</v>
      </c>
      <c r="O24" s="35">
        <f t="shared" si="8"/>
        <v>105.633802816901</v>
      </c>
      <c r="P24" s="35">
        <f t="shared" si="3"/>
        <v>1.76056338028169</v>
      </c>
      <c r="Q24" s="36">
        <f t="shared" si="10"/>
        <v>46107.6666666667</v>
      </c>
      <c r="R24" s="35">
        <f ca="1">IFERROR(IF(G24&gt;Aufträge!$L$176,Aufträge!$N$176,VLOOKUP(Q24,Kalender,2,0)),"")</f>
        <v>11</v>
      </c>
      <c r="S24" s="35">
        <f t="shared" si="6"/>
        <v>10.268779342723</v>
      </c>
      <c r="T24" s="37">
        <f ca="1" t="shared" si="7"/>
        <v>0.731220657276996</v>
      </c>
    </row>
    <row r="25" spans="2:20">
      <c r="B25" s="32" t="s">
        <v>90</v>
      </c>
      <c r="C25" t="s">
        <v>80</v>
      </c>
      <c r="D25">
        <v>635241018</v>
      </c>
      <c r="E25" t="s">
        <v>69</v>
      </c>
      <c r="F25">
        <v>290</v>
      </c>
      <c r="G25" s="33">
        <v>46107.7083333333</v>
      </c>
      <c r="H25">
        <f t="shared" si="0"/>
        <v>0.63</v>
      </c>
      <c r="I25">
        <f t="shared" si="4"/>
        <v>182.7</v>
      </c>
      <c r="J25" s="34">
        <v>5</v>
      </c>
      <c r="K25" s="35" t="str">
        <f t="shared" si="1"/>
        <v>A05</v>
      </c>
      <c r="L25" s="35" t="str">
        <f t="shared" si="2"/>
        <v>Motor Typ 5</v>
      </c>
      <c r="M25" s="35">
        <f t="shared" si="5"/>
        <v>0.795</v>
      </c>
      <c r="N25" s="35">
        <f t="shared" si="9"/>
        <v>0.792452830188679</v>
      </c>
      <c r="O25" s="35">
        <f t="shared" si="8"/>
        <v>229.811320754717</v>
      </c>
      <c r="P25" s="35">
        <f t="shared" ref="P9:P72" si="11">+O25/60</f>
        <v>3.83018867924528</v>
      </c>
      <c r="Q25" s="36">
        <f t="shared" si="10"/>
        <v>46107.7083333333</v>
      </c>
      <c r="R25" s="35">
        <f ca="1">IFERROR(IF(G25&gt;Aufträge!$L$176,Aufträge!$N$176,VLOOKUP(Q25,Kalender,2,0)),"")</f>
        <v>12</v>
      </c>
      <c r="S25" s="35">
        <f t="shared" si="6"/>
        <v>7.67610062893082</v>
      </c>
      <c r="T25" s="37">
        <f ca="1" t="shared" si="7"/>
        <v>4.32389937106918</v>
      </c>
    </row>
    <row r="26" spans="2:20">
      <c r="B26" s="32" t="s">
        <v>91</v>
      </c>
      <c r="C26" t="s">
        <v>80</v>
      </c>
      <c r="D26">
        <v>635241018</v>
      </c>
      <c r="E26" t="s">
        <v>69</v>
      </c>
      <c r="F26">
        <v>205</v>
      </c>
      <c r="G26" s="33">
        <v>46107.75</v>
      </c>
      <c r="H26">
        <f t="shared" si="0"/>
        <v>0.63</v>
      </c>
      <c r="I26">
        <f t="shared" si="4"/>
        <v>129.15</v>
      </c>
      <c r="J26" s="34">
        <v>5</v>
      </c>
      <c r="K26" s="35" t="str">
        <f t="shared" si="1"/>
        <v>A05</v>
      </c>
      <c r="L26" s="35" t="str">
        <f t="shared" si="2"/>
        <v>Motor Typ 5</v>
      </c>
      <c r="M26" s="35">
        <f t="shared" si="5"/>
        <v>0.795</v>
      </c>
      <c r="N26" s="35">
        <f t="shared" si="9"/>
        <v>0.792452830188679</v>
      </c>
      <c r="O26" s="35">
        <f t="shared" si="8"/>
        <v>162.452830188679</v>
      </c>
      <c r="P26" s="35">
        <f t="shared" si="11"/>
        <v>2.70754716981132</v>
      </c>
      <c r="Q26" s="36">
        <f t="shared" si="10"/>
        <v>46107.75</v>
      </c>
      <c r="R26" s="35">
        <f ca="1">IFERROR(IF(G26&gt;Aufträge!$L$176,Aufträge!$N$176,VLOOKUP(Q26,Kalender,2,0)),"")</f>
        <v>13</v>
      </c>
      <c r="S26" s="35">
        <f t="shared" si="6"/>
        <v>10.3836477987421</v>
      </c>
      <c r="T26" s="37">
        <f ca="1" t="shared" si="7"/>
        <v>2.61635220125786</v>
      </c>
    </row>
    <row r="27" spans="2:20">
      <c r="B27" s="32" t="s">
        <v>92</v>
      </c>
      <c r="C27" t="s">
        <v>93</v>
      </c>
      <c r="D27">
        <v>715240360</v>
      </c>
      <c r="E27" t="s">
        <v>76</v>
      </c>
      <c r="F27">
        <v>200</v>
      </c>
      <c r="G27" s="33">
        <v>46107.8749999999</v>
      </c>
      <c r="H27">
        <f t="shared" si="0"/>
        <v>0.675</v>
      </c>
      <c r="I27">
        <f t="shared" si="4"/>
        <v>135</v>
      </c>
      <c r="J27" s="34">
        <v>5</v>
      </c>
      <c r="K27" s="35" t="str">
        <f t="shared" si="1"/>
        <v>A05</v>
      </c>
      <c r="L27" s="35" t="str">
        <f t="shared" si="2"/>
        <v>Motor Typ 5</v>
      </c>
      <c r="M27" s="35">
        <f t="shared" si="5"/>
        <v>0.795</v>
      </c>
      <c r="N27" s="35">
        <f t="shared" si="9"/>
        <v>0.849056603773585</v>
      </c>
      <c r="O27" s="35">
        <f t="shared" si="8"/>
        <v>169.811320754717</v>
      </c>
      <c r="P27" s="35">
        <f t="shared" si="11"/>
        <v>2.83018867924528</v>
      </c>
      <c r="Q27" s="36">
        <f t="shared" si="10"/>
        <v>46107.875</v>
      </c>
      <c r="R27" s="35">
        <f ca="1">IFERROR(IF(G27&gt;Aufträge!$L$176,Aufträge!$N$176,VLOOKUP(Q27,Kalender,2,0)),"")</f>
        <v>16</v>
      </c>
      <c r="S27" s="35">
        <f t="shared" si="6"/>
        <v>13.2138364779874</v>
      </c>
      <c r="T27" s="37">
        <f ca="1" t="shared" si="7"/>
        <v>2.78616352201258</v>
      </c>
    </row>
    <row r="28" spans="2:20">
      <c r="B28" s="32" t="s">
        <v>94</v>
      </c>
      <c r="C28" t="s">
        <v>93</v>
      </c>
      <c r="D28">
        <v>536325201</v>
      </c>
      <c r="E28" t="s">
        <v>65</v>
      </c>
      <c r="F28">
        <v>110</v>
      </c>
      <c r="G28" s="33">
        <v>46107.9166666666</v>
      </c>
      <c r="H28">
        <f t="shared" si="0"/>
        <v>0.655</v>
      </c>
      <c r="I28">
        <f t="shared" si="4"/>
        <v>72.05</v>
      </c>
      <c r="J28" s="34">
        <v>5</v>
      </c>
      <c r="K28" s="35" t="str">
        <f t="shared" si="1"/>
        <v>A05</v>
      </c>
      <c r="L28" s="35" t="str">
        <f t="shared" si="2"/>
        <v>Motor Typ 5</v>
      </c>
      <c r="M28" s="35">
        <f t="shared" si="5"/>
        <v>0.795</v>
      </c>
      <c r="N28" s="35">
        <f t="shared" si="9"/>
        <v>0.823899371069183</v>
      </c>
      <c r="O28" s="35">
        <f t="shared" si="8"/>
        <v>90.6289308176101</v>
      </c>
      <c r="P28" s="35">
        <f t="shared" si="11"/>
        <v>1.5104821802935</v>
      </c>
      <c r="Q28" s="36">
        <f t="shared" si="10"/>
        <v>46107.9166666667</v>
      </c>
      <c r="R28" s="35">
        <f ca="1">IFERROR(IF(G28&gt;Aufträge!$L$176,Aufträge!$N$176,VLOOKUP(Q28,Kalender,2,0)),"")</f>
        <v>16</v>
      </c>
      <c r="S28" s="35">
        <f t="shared" si="6"/>
        <v>14.7243186582809</v>
      </c>
      <c r="T28" s="37">
        <f ca="1" t="shared" si="7"/>
        <v>1.27568134171908</v>
      </c>
    </row>
    <row r="29" spans="2:20">
      <c r="B29" s="32" t="s">
        <v>95</v>
      </c>
      <c r="C29" t="s">
        <v>93</v>
      </c>
      <c r="D29">
        <v>536325201</v>
      </c>
      <c r="E29" t="s">
        <v>65</v>
      </c>
      <c r="F29">
        <v>185</v>
      </c>
      <c r="G29" s="33">
        <v>46107.9583333333</v>
      </c>
      <c r="H29">
        <f t="shared" si="0"/>
        <v>0.655</v>
      </c>
      <c r="I29">
        <f t="shared" si="4"/>
        <v>121.175</v>
      </c>
      <c r="J29" s="34">
        <v>4</v>
      </c>
      <c r="K29" s="35" t="str">
        <f t="shared" si="1"/>
        <v>A04</v>
      </c>
      <c r="L29" s="35" t="str">
        <f t="shared" si="2"/>
        <v>Motor Typ 4</v>
      </c>
      <c r="M29" s="35">
        <f t="shared" si="5"/>
        <v>0.735</v>
      </c>
      <c r="N29" s="35">
        <f t="shared" si="9"/>
        <v>0.891156462585034</v>
      </c>
      <c r="O29" s="35">
        <f t="shared" si="8"/>
        <v>164.863945578231</v>
      </c>
      <c r="P29" s="35">
        <f t="shared" si="11"/>
        <v>2.74773242630386</v>
      </c>
      <c r="Q29" s="36">
        <f t="shared" si="10"/>
        <v>46107.9583333333</v>
      </c>
      <c r="R29" s="35">
        <f ca="1">IFERROR(IF(G29&gt;Aufträge!$L$176,Aufträge!$N$176,VLOOKUP(Q29,Kalender,2,0)),"")</f>
        <v>16</v>
      </c>
      <c r="S29" s="35">
        <f t="shared" si="6"/>
        <v>9.17630385487529</v>
      </c>
      <c r="T29" s="37">
        <f ca="1" t="shared" si="7"/>
        <v>6.82369614512471</v>
      </c>
    </row>
    <row r="30" spans="2:20">
      <c r="B30" s="32" t="s">
        <v>96</v>
      </c>
      <c r="C30" t="s">
        <v>93</v>
      </c>
      <c r="D30">
        <v>545263102</v>
      </c>
      <c r="E30" t="s">
        <v>67</v>
      </c>
      <c r="F30">
        <v>200</v>
      </c>
      <c r="G30" s="33">
        <v>46108.0208333333</v>
      </c>
      <c r="H30">
        <f t="shared" si="0"/>
        <v>0.695</v>
      </c>
      <c r="I30">
        <f t="shared" si="4"/>
        <v>139</v>
      </c>
      <c r="J30" s="34">
        <v>4</v>
      </c>
      <c r="K30" s="35" t="str">
        <f t="shared" si="1"/>
        <v>A04</v>
      </c>
      <c r="L30" s="35" t="str">
        <f t="shared" si="2"/>
        <v>Motor Typ 4</v>
      </c>
      <c r="M30" s="35">
        <f t="shared" si="5"/>
        <v>0.735</v>
      </c>
      <c r="N30" s="35">
        <f t="shared" si="9"/>
        <v>0.945578231292517</v>
      </c>
      <c r="O30" s="35">
        <f t="shared" si="8"/>
        <v>189.115646258503</v>
      </c>
      <c r="P30" s="35">
        <f t="shared" si="11"/>
        <v>3.15192743764172</v>
      </c>
      <c r="Q30" s="36">
        <f t="shared" si="10"/>
        <v>46108</v>
      </c>
      <c r="R30" s="35">
        <f ca="1">IFERROR(IF(G30&gt;Aufträge!$L$176,Aufträge!$N$176,VLOOKUP(Q30,Kalender,2,0)),"")</f>
        <v>17</v>
      </c>
      <c r="S30" s="35">
        <f t="shared" si="6"/>
        <v>12.328231292517</v>
      </c>
      <c r="T30" s="37">
        <f ca="1" t="shared" si="7"/>
        <v>4.67176870748299</v>
      </c>
    </row>
    <row r="31" spans="2:20">
      <c r="B31" s="32" t="s">
        <v>97</v>
      </c>
      <c r="C31" t="s">
        <v>93</v>
      </c>
      <c r="D31">
        <v>536325201</v>
      </c>
      <c r="E31" t="s">
        <v>65</v>
      </c>
      <c r="F31">
        <v>180</v>
      </c>
      <c r="G31" s="33">
        <v>46108.09375</v>
      </c>
      <c r="H31">
        <f t="shared" si="0"/>
        <v>0.655</v>
      </c>
      <c r="I31">
        <f t="shared" si="4"/>
        <v>117.9</v>
      </c>
      <c r="J31" s="34">
        <v>4</v>
      </c>
      <c r="K31" s="35" t="str">
        <f t="shared" si="1"/>
        <v>A04</v>
      </c>
      <c r="L31" s="35" t="str">
        <f t="shared" si="2"/>
        <v>Motor Typ 4</v>
      </c>
      <c r="M31" s="35">
        <f t="shared" si="5"/>
        <v>0.735</v>
      </c>
      <c r="N31" s="35">
        <f t="shared" si="9"/>
        <v>0.891156462585034</v>
      </c>
      <c r="O31" s="35">
        <f t="shared" si="8"/>
        <v>160.408163265306</v>
      </c>
      <c r="P31" s="35">
        <f t="shared" si="11"/>
        <v>2.6734693877551</v>
      </c>
      <c r="Q31" s="36">
        <f t="shared" si="10"/>
        <v>46108.0833333333</v>
      </c>
      <c r="R31" s="35">
        <f ca="1">IFERROR(IF(G31&gt;Aufträge!$L$176,Aufträge!$N$176,VLOOKUP(Q31,Kalender,2,0)),"")</f>
        <v>19</v>
      </c>
      <c r="S31" s="35">
        <f t="shared" si="6"/>
        <v>15.0017006802721</v>
      </c>
      <c r="T31" s="37">
        <f ca="1" t="shared" si="7"/>
        <v>3.99829931972789</v>
      </c>
    </row>
    <row r="32" spans="2:20">
      <c r="B32" s="32" t="s">
        <v>98</v>
      </c>
      <c r="C32" t="s">
        <v>99</v>
      </c>
      <c r="D32">
        <v>402570130</v>
      </c>
      <c r="E32" t="s">
        <v>54</v>
      </c>
      <c r="F32">
        <v>200</v>
      </c>
      <c r="G32" s="33">
        <v>46108.1874999999</v>
      </c>
      <c r="H32">
        <f t="shared" si="0"/>
        <v>0.605</v>
      </c>
      <c r="I32">
        <f t="shared" si="4"/>
        <v>121</v>
      </c>
      <c r="J32" s="34">
        <v>1</v>
      </c>
      <c r="K32" s="35" t="str">
        <f t="shared" si="1"/>
        <v>A01</v>
      </c>
      <c r="L32" s="35" t="str">
        <f t="shared" si="2"/>
        <v>Motor Typ 1</v>
      </c>
      <c r="M32" s="35">
        <f t="shared" si="5"/>
        <v>0.72</v>
      </c>
      <c r="N32" s="35">
        <f t="shared" si="9"/>
        <v>0.840277777777778</v>
      </c>
      <c r="O32" s="35">
        <f t="shared" si="8"/>
        <v>168.055555555556</v>
      </c>
      <c r="P32" s="35">
        <f t="shared" si="11"/>
        <v>2.80092592592593</v>
      </c>
      <c r="Q32" s="36">
        <f t="shared" si="10"/>
        <v>46108.1666666667</v>
      </c>
      <c r="R32" s="35">
        <f ca="1">IFERROR(IF(G32&gt;Aufträge!$L$176,Aufträge!$N$176,VLOOKUP(Q32,Kalender,2,0)),"")</f>
        <v>21</v>
      </c>
      <c r="S32" s="35">
        <f t="shared" si="6"/>
        <v>10.328125</v>
      </c>
      <c r="T32" s="37">
        <f ca="1" t="shared" si="7"/>
        <v>10.671875</v>
      </c>
    </row>
    <row r="33" spans="2:20">
      <c r="B33" s="32" t="s">
        <v>100</v>
      </c>
      <c r="C33" t="s">
        <v>101</v>
      </c>
      <c r="D33">
        <v>698251201</v>
      </c>
      <c r="E33" t="s">
        <v>74</v>
      </c>
      <c r="F33">
        <v>290</v>
      </c>
      <c r="G33" s="33">
        <v>46108.2083333333</v>
      </c>
      <c r="H33">
        <f t="shared" si="0"/>
        <v>0.635</v>
      </c>
      <c r="I33">
        <f t="shared" si="4"/>
        <v>184.15</v>
      </c>
      <c r="J33" s="34">
        <v>1</v>
      </c>
      <c r="K33" s="35" t="str">
        <f t="shared" si="1"/>
        <v>A01</v>
      </c>
      <c r="L33" s="35" t="str">
        <f t="shared" si="2"/>
        <v>Motor Typ 1</v>
      </c>
      <c r="M33" s="35">
        <f t="shared" si="5"/>
        <v>0.72</v>
      </c>
      <c r="N33" s="35">
        <f t="shared" si="9"/>
        <v>0.881944444444445</v>
      </c>
      <c r="O33" s="35">
        <f t="shared" si="8"/>
        <v>255.763888888889</v>
      </c>
      <c r="P33" s="35">
        <f t="shared" si="11"/>
        <v>4.26273148148148</v>
      </c>
      <c r="Q33" s="36">
        <f t="shared" si="10"/>
        <v>46108.2083333333</v>
      </c>
      <c r="R33" s="35">
        <f ca="1">IFERROR(IF(G33&gt;Aufträge!$L$176,Aufträge!$N$176,VLOOKUP(Q33,Kalender,2,0)),"")</f>
        <v>22</v>
      </c>
      <c r="S33" s="35">
        <f t="shared" si="6"/>
        <v>14.5908564814815</v>
      </c>
      <c r="T33" s="37">
        <f ca="1" t="shared" si="7"/>
        <v>7.40914351851852</v>
      </c>
    </row>
    <row r="34" spans="2:20">
      <c r="B34" s="32" t="s">
        <v>102</v>
      </c>
      <c r="C34" t="s">
        <v>101</v>
      </c>
      <c r="D34">
        <v>402570130</v>
      </c>
      <c r="E34" t="s">
        <v>54</v>
      </c>
      <c r="F34">
        <v>25</v>
      </c>
      <c r="G34" s="33">
        <v>46108.25</v>
      </c>
      <c r="H34">
        <f t="shared" si="0"/>
        <v>0.605</v>
      </c>
      <c r="I34">
        <f t="shared" si="4"/>
        <v>15.125</v>
      </c>
      <c r="J34" s="34">
        <v>1</v>
      </c>
      <c r="K34" s="35" t="str">
        <f t="shared" si="1"/>
        <v>A01</v>
      </c>
      <c r="L34" s="35" t="str">
        <f t="shared" si="2"/>
        <v>Motor Typ 1</v>
      </c>
      <c r="M34" s="35">
        <f t="shared" si="5"/>
        <v>0.72</v>
      </c>
      <c r="N34" s="35">
        <f t="shared" si="9"/>
        <v>0.840277777777778</v>
      </c>
      <c r="O34" s="35">
        <f t="shared" si="8"/>
        <v>21.0069444444444</v>
      </c>
      <c r="P34" s="35">
        <f t="shared" si="11"/>
        <v>0.350115740740741</v>
      </c>
      <c r="Q34" s="36">
        <f t="shared" si="10"/>
        <v>46108.25</v>
      </c>
      <c r="R34" s="35">
        <f ca="1">IFERROR(IF(G34&gt;Aufträge!$L$176,Aufträge!$N$176,VLOOKUP(Q34,Kalender,2,0)),"")</f>
        <v>23</v>
      </c>
      <c r="S34" s="35">
        <f t="shared" si="6"/>
        <v>14.9409722222222</v>
      </c>
      <c r="T34" s="37">
        <f ca="1" t="shared" si="7"/>
        <v>8.05902777777777</v>
      </c>
    </row>
    <row r="35" spans="2:20">
      <c r="B35" s="32" t="s">
        <v>103</v>
      </c>
      <c r="C35" t="s">
        <v>101</v>
      </c>
      <c r="D35">
        <v>443014920</v>
      </c>
      <c r="E35" t="s">
        <v>58</v>
      </c>
      <c r="F35">
        <v>300</v>
      </c>
      <c r="G35" s="33">
        <v>46108.2916666666</v>
      </c>
      <c r="H35">
        <f t="shared" si="0"/>
        <v>0.62</v>
      </c>
      <c r="I35">
        <f t="shared" si="4"/>
        <v>186</v>
      </c>
      <c r="J35" s="34">
        <v>1</v>
      </c>
      <c r="K35" s="35" t="str">
        <f t="shared" si="1"/>
        <v>A01</v>
      </c>
      <c r="L35" s="35" t="str">
        <f t="shared" si="2"/>
        <v>Motor Typ 1</v>
      </c>
      <c r="M35" s="35">
        <f t="shared" si="5"/>
        <v>0.72</v>
      </c>
      <c r="N35" s="35">
        <f t="shared" si="9"/>
        <v>0.861111111111111</v>
      </c>
      <c r="O35" s="35">
        <f t="shared" si="8"/>
        <v>258.333333333333</v>
      </c>
      <c r="P35" s="35">
        <f t="shared" si="11"/>
        <v>4.30555555555556</v>
      </c>
      <c r="Q35" s="36">
        <f t="shared" si="10"/>
        <v>46108.2916666667</v>
      </c>
      <c r="R35" s="35">
        <f ca="1">IFERROR(IF(G35&gt;Aufträge!$L$176,Aufträge!$N$176,VLOOKUP(Q35,Kalender,2,0)),"")</f>
        <v>24</v>
      </c>
      <c r="S35" s="35">
        <f t="shared" si="6"/>
        <v>19.2465277777778</v>
      </c>
      <c r="T35" s="37">
        <f ca="1" t="shared" si="7"/>
        <v>4.75347222222222</v>
      </c>
    </row>
    <row r="36" spans="2:20">
      <c r="B36" s="32" t="s">
        <v>104</v>
      </c>
      <c r="C36" t="s">
        <v>101</v>
      </c>
      <c r="D36">
        <v>545263102</v>
      </c>
      <c r="E36" t="s">
        <v>67</v>
      </c>
      <c r="F36">
        <v>250</v>
      </c>
      <c r="G36" s="33">
        <v>46108.3125</v>
      </c>
      <c r="H36">
        <f t="shared" si="0"/>
        <v>0.695</v>
      </c>
      <c r="I36">
        <f t="shared" si="4"/>
        <v>173.75</v>
      </c>
      <c r="J36" s="34">
        <v>2</v>
      </c>
      <c r="K36" s="35" t="str">
        <f t="shared" si="1"/>
        <v>A02</v>
      </c>
      <c r="L36" s="35" t="str">
        <f t="shared" si="2"/>
        <v>Motor Typ 2</v>
      </c>
      <c r="M36" s="35">
        <f t="shared" si="5"/>
        <v>0.71</v>
      </c>
      <c r="N36" s="35">
        <f t="shared" si="9"/>
        <v>0.97887323943662</v>
      </c>
      <c r="O36" s="35">
        <f t="shared" si="8"/>
        <v>244.718309859155</v>
      </c>
      <c r="P36" s="35">
        <f t="shared" si="11"/>
        <v>4.07863849765258</v>
      </c>
      <c r="Q36" s="36">
        <f t="shared" si="10"/>
        <v>46108.2916666667</v>
      </c>
      <c r="R36" s="35">
        <f ca="1">IFERROR(IF(G36&gt;Aufträge!$L$176,Aufträge!$N$176,VLOOKUP(Q36,Kalender,2,0)),"")</f>
        <v>24</v>
      </c>
      <c r="S36" s="35">
        <f t="shared" si="6"/>
        <v>15.0340375586854</v>
      </c>
      <c r="T36" s="37">
        <f ca="1" t="shared" si="7"/>
        <v>8.96596244131455</v>
      </c>
    </row>
    <row r="37" spans="2:20">
      <c r="B37" s="32" t="s">
        <v>105</v>
      </c>
      <c r="C37" t="s">
        <v>106</v>
      </c>
      <c r="D37">
        <v>453201483</v>
      </c>
      <c r="E37" t="s">
        <v>60</v>
      </c>
      <c r="F37">
        <v>45</v>
      </c>
      <c r="G37" s="33">
        <v>46108.3125</v>
      </c>
      <c r="H37">
        <f t="shared" si="0"/>
        <v>0.65</v>
      </c>
      <c r="I37">
        <f t="shared" si="4"/>
        <v>29.25</v>
      </c>
      <c r="J37" s="34">
        <v>2</v>
      </c>
      <c r="K37" s="35" t="str">
        <f t="shared" si="1"/>
        <v>A02</v>
      </c>
      <c r="L37" s="35" t="str">
        <f t="shared" si="2"/>
        <v>Motor Typ 2</v>
      </c>
      <c r="M37" s="35">
        <f t="shared" si="5"/>
        <v>0.71</v>
      </c>
      <c r="N37" s="35">
        <f t="shared" si="9"/>
        <v>0.915492957746479</v>
      </c>
      <c r="O37" s="35">
        <f t="shared" si="8"/>
        <v>41.1971830985916</v>
      </c>
      <c r="P37" s="35">
        <f t="shared" si="11"/>
        <v>0.686619718309859</v>
      </c>
      <c r="Q37" s="36">
        <f t="shared" si="10"/>
        <v>46108.2916666667</v>
      </c>
      <c r="R37" s="35">
        <f ca="1">IFERROR(IF(G37&gt;Aufträge!$L$176,Aufträge!$N$176,VLOOKUP(Q37,Kalender,2,0)),"")</f>
        <v>24</v>
      </c>
      <c r="S37" s="35">
        <f t="shared" si="6"/>
        <v>15.0340375586854</v>
      </c>
      <c r="T37" s="37">
        <f ca="1" t="shared" si="7"/>
        <v>8.96596244131455</v>
      </c>
    </row>
    <row r="38" spans="2:20">
      <c r="B38" s="32" t="s">
        <v>107</v>
      </c>
      <c r="C38" t="s">
        <v>106</v>
      </c>
      <c r="D38">
        <v>675230220</v>
      </c>
      <c r="E38" t="s">
        <v>72</v>
      </c>
      <c r="F38">
        <v>75</v>
      </c>
      <c r="G38" s="33">
        <v>46108.3333333333</v>
      </c>
      <c r="H38">
        <f t="shared" si="0"/>
        <v>0.625</v>
      </c>
      <c r="I38">
        <f t="shared" si="4"/>
        <v>46.875</v>
      </c>
      <c r="J38" s="34">
        <v>2</v>
      </c>
      <c r="K38" s="35" t="str">
        <f t="shared" si="1"/>
        <v>A02</v>
      </c>
      <c r="L38" s="35" t="str">
        <f t="shared" si="2"/>
        <v>Motor Typ 2</v>
      </c>
      <c r="M38" s="35">
        <f t="shared" si="5"/>
        <v>0.71</v>
      </c>
      <c r="N38" s="35">
        <f t="shared" si="9"/>
        <v>0.880281690140845</v>
      </c>
      <c r="O38" s="35">
        <f t="shared" si="8"/>
        <v>66.0211267605634</v>
      </c>
      <c r="P38" s="35">
        <f t="shared" si="11"/>
        <v>1.10035211267606</v>
      </c>
      <c r="Q38" s="36">
        <f t="shared" si="10"/>
        <v>46108.3333333333</v>
      </c>
      <c r="R38" s="35">
        <f ca="1">IFERROR(IF(G38&gt;Aufträge!$L$176,Aufträge!$N$176,VLOOKUP(Q38,Kalender,2,0)),"")</f>
        <v>25</v>
      </c>
      <c r="S38" s="35">
        <f t="shared" si="6"/>
        <v>16.1343896713615</v>
      </c>
      <c r="T38" s="37">
        <f ca="1" t="shared" si="7"/>
        <v>8.8656103286385</v>
      </c>
    </row>
    <row r="39" spans="2:20">
      <c r="B39" s="32" t="s">
        <v>108</v>
      </c>
      <c r="C39" t="s">
        <v>109</v>
      </c>
      <c r="D39">
        <v>443014920</v>
      </c>
      <c r="E39" t="s">
        <v>58</v>
      </c>
      <c r="F39">
        <v>50</v>
      </c>
      <c r="G39" s="33">
        <v>46108.375</v>
      </c>
      <c r="H39">
        <f t="shared" si="0"/>
        <v>0.62</v>
      </c>
      <c r="I39">
        <f t="shared" si="4"/>
        <v>31</v>
      </c>
      <c r="J39" s="34">
        <v>2</v>
      </c>
      <c r="K39" s="35" t="str">
        <f t="shared" si="1"/>
        <v>A02</v>
      </c>
      <c r="L39" s="35" t="str">
        <f t="shared" si="2"/>
        <v>Motor Typ 2</v>
      </c>
      <c r="M39" s="35">
        <f t="shared" si="5"/>
        <v>0.71</v>
      </c>
      <c r="N39" s="35">
        <f t="shared" si="9"/>
        <v>0.873239436619718</v>
      </c>
      <c r="O39" s="35">
        <f t="shared" si="8"/>
        <v>43.6619718309859</v>
      </c>
      <c r="P39" s="35">
        <f t="shared" si="11"/>
        <v>0.727699530516432</v>
      </c>
      <c r="Q39" s="36">
        <f t="shared" si="10"/>
        <v>46108.375</v>
      </c>
      <c r="R39" s="35">
        <f ca="1">IFERROR(IF(G39&gt;Aufträge!$L$176,Aufträge!$N$176,VLOOKUP(Q39,Kalender,2,0)),"")</f>
        <v>26</v>
      </c>
      <c r="S39" s="35">
        <f t="shared" si="6"/>
        <v>16.8620892018779</v>
      </c>
      <c r="T39" s="37">
        <f ca="1" t="shared" si="7"/>
        <v>9.13791079812206</v>
      </c>
    </row>
    <row r="40" spans="2:20">
      <c r="B40" s="32" t="s">
        <v>110</v>
      </c>
      <c r="C40" t="s">
        <v>111</v>
      </c>
      <c r="D40">
        <v>536325201</v>
      </c>
      <c r="E40" t="s">
        <v>65</v>
      </c>
      <c r="F40">
        <v>120</v>
      </c>
      <c r="G40" s="33">
        <v>46108.3958333333</v>
      </c>
      <c r="H40">
        <f t="shared" ref="H40:H71" si="12">IFERROR(VLOOKUP(D40,Zeit,3,0),"")</f>
        <v>0.655</v>
      </c>
      <c r="I40">
        <f t="shared" si="4"/>
        <v>78.6</v>
      </c>
      <c r="J40" s="34">
        <v>3</v>
      </c>
      <c r="K40" s="35" t="str">
        <f t="shared" ref="K40:K71" si="13">IFERROR(VLOOKUP(J40,APE,2,0),"")</f>
        <v>A03</v>
      </c>
      <c r="L40" s="35" t="str">
        <f t="shared" ref="L40:L71" si="14">IFERROR(VLOOKUP(J40,APE,3,0),"")</f>
        <v>Motor Typ 3</v>
      </c>
      <c r="M40" s="35">
        <f t="shared" ref="M40:M71" si="15">+IFERROR(VLOOKUP(J40,APE,14,0),"")</f>
        <v>0.85</v>
      </c>
      <c r="N40" s="35">
        <f t="shared" si="9"/>
        <v>0.770588235294118</v>
      </c>
      <c r="O40" s="35">
        <f t="shared" si="8"/>
        <v>92.4705882352941</v>
      </c>
      <c r="P40" s="35">
        <f t="shared" si="11"/>
        <v>1.54117647058824</v>
      </c>
      <c r="Q40" s="36">
        <f t="shared" si="10"/>
        <v>46108.375</v>
      </c>
      <c r="R40" s="35">
        <f ca="1">IFERROR(IF(G40&gt;Aufträge!$L$176,Aufträge!$N$176,VLOOKUP(Q40,Kalender,2,0)),"")</f>
        <v>26</v>
      </c>
      <c r="S40" s="35">
        <f t="shared" si="6"/>
        <v>16.1245098039216</v>
      </c>
      <c r="T40" s="37">
        <f ca="1" t="shared" si="7"/>
        <v>9.87549019607843</v>
      </c>
    </row>
    <row r="41" spans="2:20">
      <c r="B41" s="32" t="s">
        <v>112</v>
      </c>
      <c r="C41" t="s">
        <v>111</v>
      </c>
      <c r="D41">
        <v>536325201</v>
      </c>
      <c r="E41" t="s">
        <v>65</v>
      </c>
      <c r="F41">
        <v>140</v>
      </c>
      <c r="G41" s="33">
        <v>46108.4166666666</v>
      </c>
      <c r="H41">
        <f t="shared" si="12"/>
        <v>0.655</v>
      </c>
      <c r="I41">
        <f t="shared" si="4"/>
        <v>91.7</v>
      </c>
      <c r="J41" s="34">
        <v>3</v>
      </c>
      <c r="K41" s="35" t="str">
        <f t="shared" si="13"/>
        <v>A03</v>
      </c>
      <c r="L41" s="35" t="str">
        <f t="shared" si="14"/>
        <v>Motor Typ 3</v>
      </c>
      <c r="M41" s="35">
        <f t="shared" si="15"/>
        <v>0.85</v>
      </c>
      <c r="N41" s="35">
        <f t="shared" si="9"/>
        <v>0.770588235294118</v>
      </c>
      <c r="O41" s="35">
        <f t="shared" si="8"/>
        <v>107.882352941176</v>
      </c>
      <c r="P41" s="35">
        <f t="shared" si="11"/>
        <v>1.79803921568627</v>
      </c>
      <c r="Q41" s="36">
        <f t="shared" si="10"/>
        <v>46108.4166666667</v>
      </c>
      <c r="R41" s="35">
        <f ca="1">IFERROR(IF(G41&gt;Aufträge!$L$176,Aufträge!$N$176,VLOOKUP(Q41,Kalender,2,0)),"")</f>
        <v>27</v>
      </c>
      <c r="S41" s="35">
        <f t="shared" si="6"/>
        <v>17.9225490196078</v>
      </c>
      <c r="T41" s="37">
        <f ca="1" t="shared" si="7"/>
        <v>9.07745098039216</v>
      </c>
    </row>
    <row r="42" spans="2:20">
      <c r="B42" s="32" t="s">
        <v>113</v>
      </c>
      <c r="C42" t="s">
        <v>114</v>
      </c>
      <c r="D42">
        <v>715240360</v>
      </c>
      <c r="E42" t="s">
        <v>76</v>
      </c>
      <c r="F42">
        <v>60</v>
      </c>
      <c r="G42" s="33">
        <v>46108.4583333333</v>
      </c>
      <c r="H42">
        <f t="shared" si="12"/>
        <v>0.675</v>
      </c>
      <c r="I42">
        <f t="shared" si="4"/>
        <v>40.5</v>
      </c>
      <c r="J42" s="34">
        <v>3</v>
      </c>
      <c r="K42" s="35" t="str">
        <f t="shared" si="13"/>
        <v>A03</v>
      </c>
      <c r="L42" s="35" t="str">
        <f t="shared" si="14"/>
        <v>Motor Typ 3</v>
      </c>
      <c r="M42" s="35">
        <f t="shared" si="15"/>
        <v>0.85</v>
      </c>
      <c r="N42" s="35">
        <f t="shared" si="9"/>
        <v>0.794117647058824</v>
      </c>
      <c r="O42" s="35">
        <f t="shared" si="8"/>
        <v>47.6470588235294</v>
      </c>
      <c r="P42" s="35">
        <f t="shared" si="11"/>
        <v>0.794117647058824</v>
      </c>
      <c r="Q42" s="36">
        <f t="shared" si="10"/>
        <v>46108.4583333333</v>
      </c>
      <c r="R42" s="35">
        <f ca="1">IFERROR(IF(G42&gt;Aufträge!$L$176,Aufträge!$N$176,VLOOKUP(Q42,Kalender,2,0)),"")</f>
        <v>28</v>
      </c>
      <c r="S42" s="35">
        <f t="shared" si="6"/>
        <v>18.7166666666667</v>
      </c>
      <c r="T42" s="37">
        <f ca="1" t="shared" si="7"/>
        <v>9.28333333333333</v>
      </c>
    </row>
    <row r="43" spans="2:20">
      <c r="B43" s="32" t="s">
        <v>115</v>
      </c>
      <c r="C43" t="s">
        <v>116</v>
      </c>
      <c r="D43">
        <v>402570130</v>
      </c>
      <c r="E43" t="s">
        <v>54</v>
      </c>
      <c r="F43">
        <v>20</v>
      </c>
      <c r="G43" s="33">
        <v>46108.5</v>
      </c>
      <c r="H43">
        <f t="shared" si="12"/>
        <v>0.605</v>
      </c>
      <c r="I43">
        <f t="shared" si="4"/>
        <v>12.1</v>
      </c>
      <c r="J43" s="34">
        <v>3</v>
      </c>
      <c r="K43" s="35" t="str">
        <f t="shared" si="13"/>
        <v>A03</v>
      </c>
      <c r="L43" s="35" t="str">
        <f t="shared" si="14"/>
        <v>Motor Typ 3</v>
      </c>
      <c r="M43" s="35">
        <f t="shared" si="15"/>
        <v>0.85</v>
      </c>
      <c r="N43" s="35">
        <f t="shared" si="9"/>
        <v>0.711764705882353</v>
      </c>
      <c r="O43" s="35">
        <f t="shared" si="8"/>
        <v>14.2352941176471</v>
      </c>
      <c r="P43" s="35">
        <f t="shared" si="11"/>
        <v>0.237254901960784</v>
      </c>
      <c r="Q43" s="36">
        <f t="shared" si="10"/>
        <v>46108.5</v>
      </c>
      <c r="R43" s="35">
        <f ca="1">IFERROR(IF(G43&gt;Aufträge!$L$176,Aufträge!$N$176,VLOOKUP(Q43,Kalender,2,0)),"")</f>
        <v>29</v>
      </c>
      <c r="S43" s="35">
        <f t="shared" si="6"/>
        <v>18.9539215686275</v>
      </c>
      <c r="T43" s="37">
        <f ca="1" t="shared" si="7"/>
        <v>10.0460784313725</v>
      </c>
    </row>
    <row r="44" spans="2:20">
      <c r="B44" s="32" t="s">
        <v>117</v>
      </c>
      <c r="C44" t="s">
        <v>116</v>
      </c>
      <c r="D44">
        <v>520310473</v>
      </c>
      <c r="E44" t="s">
        <v>62</v>
      </c>
      <c r="F44">
        <v>55</v>
      </c>
      <c r="G44" s="33">
        <v>46108.5416666666</v>
      </c>
      <c r="H44">
        <f t="shared" si="12"/>
        <v>0.625</v>
      </c>
      <c r="I44">
        <f t="shared" si="4"/>
        <v>34.375</v>
      </c>
      <c r="J44" s="34">
        <v>5</v>
      </c>
      <c r="K44" s="35" t="str">
        <f t="shared" si="13"/>
        <v>A05</v>
      </c>
      <c r="L44" s="35" t="str">
        <f t="shared" si="14"/>
        <v>Motor Typ 5</v>
      </c>
      <c r="M44" s="35">
        <f t="shared" si="15"/>
        <v>0.795</v>
      </c>
      <c r="N44" s="35">
        <f t="shared" si="9"/>
        <v>0.786163522012579</v>
      </c>
      <c r="O44" s="35">
        <f t="shared" si="8"/>
        <v>43.2389937106918</v>
      </c>
      <c r="P44" s="35">
        <f t="shared" si="11"/>
        <v>0.720649895178197</v>
      </c>
      <c r="Q44" s="36">
        <f t="shared" si="10"/>
        <v>46108.5416666667</v>
      </c>
      <c r="R44" s="35">
        <f ca="1">IFERROR(IF(G44&gt;Aufträge!$L$176,Aufträge!$N$176,VLOOKUP(Q44,Kalender,2,0)),"")</f>
        <v>30</v>
      </c>
      <c r="S44" s="35">
        <f t="shared" si="6"/>
        <v>15.4449685534591</v>
      </c>
      <c r="T44" s="37">
        <f ca="1" t="shared" si="7"/>
        <v>14.5550314465409</v>
      </c>
    </row>
    <row r="45" spans="2:20">
      <c r="B45" s="32" t="s">
        <v>118</v>
      </c>
      <c r="C45" t="s">
        <v>116</v>
      </c>
      <c r="D45">
        <v>453201483</v>
      </c>
      <c r="E45" t="s">
        <v>60</v>
      </c>
      <c r="F45">
        <v>75</v>
      </c>
      <c r="G45" s="33">
        <v>46108.5833333333</v>
      </c>
      <c r="H45">
        <f t="shared" si="12"/>
        <v>0.65</v>
      </c>
      <c r="I45">
        <f t="shared" si="4"/>
        <v>48.75</v>
      </c>
      <c r="J45" s="34">
        <v>5</v>
      </c>
      <c r="K45" s="35" t="str">
        <f t="shared" si="13"/>
        <v>A05</v>
      </c>
      <c r="L45" s="35" t="str">
        <f t="shared" si="14"/>
        <v>Motor Typ 5</v>
      </c>
      <c r="M45" s="35">
        <f t="shared" si="15"/>
        <v>0.795</v>
      </c>
      <c r="N45" s="35">
        <f t="shared" si="9"/>
        <v>0.817610062893082</v>
      </c>
      <c r="O45" s="35">
        <f t="shared" si="8"/>
        <v>61.3207547169811</v>
      </c>
      <c r="P45" s="35">
        <f t="shared" si="11"/>
        <v>1.02201257861635</v>
      </c>
      <c r="Q45" s="36">
        <f t="shared" si="10"/>
        <v>46108.5833333333</v>
      </c>
      <c r="R45" s="35">
        <f ca="1">IFERROR(IF(G45&gt;Aufträge!$L$176,Aufträge!$N$176,VLOOKUP(Q45,Kalender,2,0)),"")</f>
        <v>30</v>
      </c>
      <c r="S45" s="35">
        <f t="shared" si="6"/>
        <v>16.4669811320755</v>
      </c>
      <c r="T45" s="37">
        <f ca="1" t="shared" si="7"/>
        <v>13.5330188679245</v>
      </c>
    </row>
    <row r="46" spans="2:20">
      <c r="B46" s="32" t="s">
        <v>119</v>
      </c>
      <c r="C46" t="s">
        <v>116</v>
      </c>
      <c r="D46">
        <v>635241018</v>
      </c>
      <c r="E46" t="s">
        <v>69</v>
      </c>
      <c r="F46">
        <v>100</v>
      </c>
      <c r="G46" s="33">
        <v>46108.625</v>
      </c>
      <c r="H46">
        <f t="shared" si="12"/>
        <v>0.63</v>
      </c>
      <c r="I46">
        <f t="shared" si="4"/>
        <v>63</v>
      </c>
      <c r="J46" s="34">
        <v>5</v>
      </c>
      <c r="K46" s="35" t="str">
        <f t="shared" si="13"/>
        <v>A05</v>
      </c>
      <c r="L46" s="35" t="str">
        <f t="shared" si="14"/>
        <v>Motor Typ 5</v>
      </c>
      <c r="M46" s="35">
        <f t="shared" si="15"/>
        <v>0.795</v>
      </c>
      <c r="N46" s="35">
        <f t="shared" si="9"/>
        <v>0.792452830188679</v>
      </c>
      <c r="O46" s="35">
        <f t="shared" si="8"/>
        <v>79.2452830188679</v>
      </c>
      <c r="P46" s="35">
        <f t="shared" si="11"/>
        <v>1.32075471698113</v>
      </c>
      <c r="Q46" s="36">
        <f t="shared" si="10"/>
        <v>46108.625</v>
      </c>
      <c r="R46" s="35">
        <f ca="1">IFERROR(IF(G46&gt;Aufträge!$L$176,Aufträge!$N$176,VLOOKUP(Q46,Kalender,2,0)),"")</f>
        <v>30</v>
      </c>
      <c r="S46" s="35">
        <f t="shared" si="6"/>
        <v>17.7877358490566</v>
      </c>
      <c r="T46" s="37">
        <f ca="1" t="shared" si="7"/>
        <v>12.2122641509434</v>
      </c>
    </row>
    <row r="47" spans="2:20">
      <c r="B47" s="32" t="s">
        <v>120</v>
      </c>
      <c r="C47" t="s">
        <v>116</v>
      </c>
      <c r="D47">
        <v>675230220</v>
      </c>
      <c r="E47" t="s">
        <v>72</v>
      </c>
      <c r="F47">
        <v>45</v>
      </c>
      <c r="G47" s="33">
        <v>46108.6666666666</v>
      </c>
      <c r="H47">
        <f t="shared" si="12"/>
        <v>0.625</v>
      </c>
      <c r="I47">
        <f t="shared" si="4"/>
        <v>28.125</v>
      </c>
      <c r="J47" s="34">
        <v>5</v>
      </c>
      <c r="K47" s="35" t="str">
        <f t="shared" si="13"/>
        <v>A05</v>
      </c>
      <c r="L47" s="35" t="str">
        <f t="shared" si="14"/>
        <v>Motor Typ 5</v>
      </c>
      <c r="M47" s="35">
        <f t="shared" si="15"/>
        <v>0.795</v>
      </c>
      <c r="N47" s="35">
        <f t="shared" si="9"/>
        <v>0.786163522012579</v>
      </c>
      <c r="O47" s="35">
        <f t="shared" si="8"/>
        <v>35.377358490566</v>
      </c>
      <c r="P47" s="35">
        <f t="shared" si="11"/>
        <v>0.589622641509434</v>
      </c>
      <c r="Q47" s="36">
        <f t="shared" si="10"/>
        <v>46108.6666666667</v>
      </c>
      <c r="R47" s="35">
        <f ca="1">IFERROR(IF(G47&gt;Aufträge!$L$176,Aufträge!$N$176,VLOOKUP(Q47,Kalender,2,0)),"")</f>
        <v>30</v>
      </c>
      <c r="S47" s="35">
        <f t="shared" si="6"/>
        <v>18.377358490566</v>
      </c>
      <c r="T47" s="37">
        <f ca="1" t="shared" si="7"/>
        <v>11.622641509434</v>
      </c>
    </row>
    <row r="48" spans="2:20">
      <c r="B48" s="32" t="s">
        <v>122</v>
      </c>
      <c r="C48" t="s">
        <v>116</v>
      </c>
      <c r="D48">
        <v>443014920</v>
      </c>
      <c r="E48" t="s">
        <v>58</v>
      </c>
      <c r="F48">
        <v>30</v>
      </c>
      <c r="G48" s="33">
        <v>46108.6875</v>
      </c>
      <c r="H48">
        <f t="shared" si="12"/>
        <v>0.62</v>
      </c>
      <c r="I48">
        <f t="shared" si="4"/>
        <v>18.6</v>
      </c>
      <c r="J48" s="34">
        <v>4</v>
      </c>
      <c r="K48" s="35" t="str">
        <f t="shared" si="13"/>
        <v>A04</v>
      </c>
      <c r="L48" s="35" t="str">
        <f t="shared" si="14"/>
        <v>Motor Typ 4</v>
      </c>
      <c r="M48" s="35">
        <f t="shared" si="15"/>
        <v>0.735</v>
      </c>
      <c r="N48" s="35">
        <f t="shared" si="9"/>
        <v>0.843537414965986</v>
      </c>
      <c r="O48" s="35">
        <f t="shared" si="8"/>
        <v>25.3061224489796</v>
      </c>
      <c r="P48" s="35">
        <f t="shared" si="11"/>
        <v>0.421768707482993</v>
      </c>
      <c r="Q48" s="36">
        <f t="shared" si="10"/>
        <v>46108.6666666667</v>
      </c>
      <c r="R48" s="35">
        <f ca="1">IFERROR(IF(G48&gt;Aufträge!$L$176,Aufträge!$N$176,VLOOKUP(Q48,Kalender,2,0)),"")</f>
        <v>30</v>
      </c>
      <c r="S48" s="35">
        <f t="shared" si="6"/>
        <v>15.4234693877551</v>
      </c>
      <c r="T48" s="37">
        <f ca="1" t="shared" si="7"/>
        <v>14.5765306122449</v>
      </c>
    </row>
    <row r="49" spans="2:20">
      <c r="B49" s="32" t="s">
        <v>125</v>
      </c>
      <c r="C49" t="s">
        <v>116</v>
      </c>
      <c r="D49">
        <v>675230220</v>
      </c>
      <c r="E49" t="s">
        <v>72</v>
      </c>
      <c r="F49">
        <v>95</v>
      </c>
      <c r="G49" s="33">
        <v>46108.7083333333</v>
      </c>
      <c r="H49">
        <f t="shared" si="12"/>
        <v>0.625</v>
      </c>
      <c r="I49">
        <f t="shared" si="4"/>
        <v>59.375</v>
      </c>
      <c r="J49" s="34">
        <v>4</v>
      </c>
      <c r="K49" s="35" t="str">
        <f t="shared" si="13"/>
        <v>A04</v>
      </c>
      <c r="L49" s="35" t="str">
        <f t="shared" si="14"/>
        <v>Motor Typ 4</v>
      </c>
      <c r="M49" s="35">
        <f t="shared" si="15"/>
        <v>0.735</v>
      </c>
      <c r="N49" s="35">
        <f t="shared" si="9"/>
        <v>0.850340136054422</v>
      </c>
      <c r="O49" s="35">
        <f t="shared" si="8"/>
        <v>80.7823129251701</v>
      </c>
      <c r="P49" s="35">
        <f t="shared" si="11"/>
        <v>1.34637188208617</v>
      </c>
      <c r="Q49" s="36">
        <f t="shared" si="10"/>
        <v>46108.7083333333</v>
      </c>
      <c r="R49" s="35">
        <f ca="1">IFERROR(IF(G49&gt;Aufträge!$L$176,Aufträge!$N$176,VLOOKUP(Q49,Kalender,2,0)),"")</f>
        <v>30</v>
      </c>
      <c r="S49" s="35">
        <f t="shared" si="6"/>
        <v>16.7698412698413</v>
      </c>
      <c r="T49" s="37">
        <f ca="1" t="shared" si="7"/>
        <v>13.2301587301587</v>
      </c>
    </row>
    <row r="50" spans="2:20">
      <c r="B50" s="32" t="s">
        <v>126</v>
      </c>
      <c r="C50" t="s">
        <v>116</v>
      </c>
      <c r="D50">
        <v>545263102</v>
      </c>
      <c r="E50" t="s">
        <v>67</v>
      </c>
      <c r="F50">
        <v>85</v>
      </c>
      <c r="G50" s="33">
        <v>46108.75</v>
      </c>
      <c r="H50">
        <f t="shared" si="12"/>
        <v>0.695</v>
      </c>
      <c r="I50">
        <f t="shared" si="4"/>
        <v>59.075</v>
      </c>
      <c r="J50" s="34">
        <v>4</v>
      </c>
      <c r="K50" s="35" t="str">
        <f t="shared" si="13"/>
        <v>A04</v>
      </c>
      <c r="L50" s="35" t="str">
        <f t="shared" si="14"/>
        <v>Motor Typ 4</v>
      </c>
      <c r="M50" s="35">
        <f t="shared" si="15"/>
        <v>0.735</v>
      </c>
      <c r="N50" s="35">
        <f t="shared" si="9"/>
        <v>0.945578231292517</v>
      </c>
      <c r="O50" s="35">
        <f t="shared" si="8"/>
        <v>80.3741496598639</v>
      </c>
      <c r="P50" s="35">
        <f t="shared" si="11"/>
        <v>1.33956916099773</v>
      </c>
      <c r="Q50" s="36">
        <f t="shared" si="10"/>
        <v>46108.75</v>
      </c>
      <c r="R50" s="35">
        <f ca="1">IFERROR(IF(G50&gt;Aufträge!$L$176,Aufträge!$N$176,VLOOKUP(Q50,Kalender,2,0)),"")</f>
        <v>30</v>
      </c>
      <c r="S50" s="35">
        <f t="shared" si="6"/>
        <v>18.109410430839</v>
      </c>
      <c r="T50" s="37">
        <f ca="1" t="shared" si="7"/>
        <v>11.890589569161</v>
      </c>
    </row>
    <row r="51" spans="2:20">
      <c r="B51" s="32" t="s">
        <v>127</v>
      </c>
      <c r="C51" t="s">
        <v>116</v>
      </c>
      <c r="D51">
        <v>545263102</v>
      </c>
      <c r="E51" t="s">
        <v>67</v>
      </c>
      <c r="F51">
        <v>130</v>
      </c>
      <c r="G51" s="33">
        <v>46108.7916666666</v>
      </c>
      <c r="H51">
        <f t="shared" si="12"/>
        <v>0.695</v>
      </c>
      <c r="I51">
        <f t="shared" si="4"/>
        <v>90.35</v>
      </c>
      <c r="J51" s="34">
        <v>4</v>
      </c>
      <c r="K51" s="35" t="str">
        <f t="shared" si="13"/>
        <v>A04</v>
      </c>
      <c r="L51" s="35" t="str">
        <f t="shared" si="14"/>
        <v>Motor Typ 4</v>
      </c>
      <c r="M51" s="35">
        <f t="shared" si="15"/>
        <v>0.735</v>
      </c>
      <c r="N51" s="35">
        <f t="shared" si="9"/>
        <v>0.945578231292517</v>
      </c>
      <c r="O51" s="35">
        <f t="shared" si="8"/>
        <v>122.925170068027</v>
      </c>
      <c r="P51" s="35">
        <f t="shared" si="11"/>
        <v>2.04875283446712</v>
      </c>
      <c r="Q51" s="36">
        <f t="shared" si="10"/>
        <v>46108.7916666667</v>
      </c>
      <c r="R51" s="35">
        <f ca="1">IFERROR(IF(G51&gt;Aufträge!$L$176,Aufträge!$N$176,VLOOKUP(Q51,Kalender,2,0)),"")</f>
        <v>30</v>
      </c>
      <c r="S51" s="35">
        <f t="shared" si="6"/>
        <v>20.1581632653061</v>
      </c>
      <c r="T51" s="37">
        <f ca="1" t="shared" si="7"/>
        <v>9.84183673469387</v>
      </c>
    </row>
    <row r="52" spans="2:20">
      <c r="B52" s="32" t="s">
        <v>128</v>
      </c>
      <c r="C52" t="s">
        <v>116</v>
      </c>
      <c r="D52">
        <v>635241018</v>
      </c>
      <c r="E52" t="s">
        <v>69</v>
      </c>
      <c r="F52">
        <v>140</v>
      </c>
      <c r="G52" s="33">
        <v>46108.8333333333</v>
      </c>
      <c r="H52">
        <f t="shared" si="12"/>
        <v>0.63</v>
      </c>
      <c r="I52">
        <f t="shared" si="4"/>
        <v>88.2</v>
      </c>
      <c r="J52" s="34">
        <v>4</v>
      </c>
      <c r="K52" s="35" t="str">
        <f t="shared" si="13"/>
        <v>A04</v>
      </c>
      <c r="L52" s="35" t="str">
        <f t="shared" si="14"/>
        <v>Motor Typ 4</v>
      </c>
      <c r="M52" s="35">
        <f t="shared" si="15"/>
        <v>0.735</v>
      </c>
      <c r="N52" s="35">
        <f t="shared" si="9"/>
        <v>0.857142857142857</v>
      </c>
      <c r="O52" s="35">
        <f t="shared" si="8"/>
        <v>120</v>
      </c>
      <c r="P52" s="35">
        <f t="shared" si="11"/>
        <v>2</v>
      </c>
      <c r="Q52" s="36">
        <f t="shared" si="10"/>
        <v>46108.8333333333</v>
      </c>
      <c r="R52" s="35">
        <f ca="1">IFERROR(IF(G52&gt;Aufträge!$L$176,Aufträge!$N$176,VLOOKUP(Q52,Kalender,2,0)),"")</f>
        <v>30</v>
      </c>
      <c r="S52" s="35">
        <f t="shared" si="6"/>
        <v>22.1581632653061</v>
      </c>
      <c r="T52" s="37">
        <f ca="1" t="shared" si="7"/>
        <v>7.84183673469387</v>
      </c>
    </row>
    <row r="53" spans="2:20">
      <c r="B53" s="32" t="s">
        <v>129</v>
      </c>
      <c r="C53" t="s">
        <v>130</v>
      </c>
      <c r="D53">
        <v>698251201</v>
      </c>
      <c r="E53" t="s">
        <v>74</v>
      </c>
      <c r="F53">
        <v>50</v>
      </c>
      <c r="G53" s="33">
        <v>46108.9166666666</v>
      </c>
      <c r="H53">
        <f t="shared" si="12"/>
        <v>0.635</v>
      </c>
      <c r="I53">
        <f t="shared" si="4"/>
        <v>31.75</v>
      </c>
      <c r="J53" s="34">
        <v>4</v>
      </c>
      <c r="K53" s="35" t="str">
        <f t="shared" si="13"/>
        <v>A04</v>
      </c>
      <c r="L53" s="35" t="str">
        <f t="shared" si="14"/>
        <v>Motor Typ 4</v>
      </c>
      <c r="M53" s="35">
        <f t="shared" si="15"/>
        <v>0.735</v>
      </c>
      <c r="N53" s="35">
        <f t="shared" si="9"/>
        <v>0.863945578231293</v>
      </c>
      <c r="O53" s="35">
        <f t="shared" si="8"/>
        <v>43.1972789115646</v>
      </c>
      <c r="P53" s="35">
        <f t="shared" si="11"/>
        <v>0.719954648526077</v>
      </c>
      <c r="Q53" s="36">
        <f t="shared" si="10"/>
        <v>46108.9166666667</v>
      </c>
      <c r="R53" s="35">
        <f ca="1">IFERROR(IF(G53&gt;Aufträge!$L$176,Aufträge!$N$176,VLOOKUP(Q53,Kalender,2,0)),"")</f>
        <v>31</v>
      </c>
      <c r="S53" s="35">
        <f t="shared" si="6"/>
        <v>22.8781179138322</v>
      </c>
      <c r="T53" s="37">
        <f ca="1" t="shared" si="7"/>
        <v>8.1218820861678</v>
      </c>
    </row>
    <row r="54" spans="2:20">
      <c r="B54" s="32" t="s">
        <v>131</v>
      </c>
      <c r="C54" t="s">
        <v>130</v>
      </c>
      <c r="D54">
        <v>520310473</v>
      </c>
      <c r="E54" t="s">
        <v>62</v>
      </c>
      <c r="F54">
        <v>30</v>
      </c>
      <c r="G54" s="33">
        <v>46108.9583333333</v>
      </c>
      <c r="H54">
        <f t="shared" si="12"/>
        <v>0.625</v>
      </c>
      <c r="I54">
        <f t="shared" si="4"/>
        <v>18.75</v>
      </c>
      <c r="J54" s="34">
        <v>2</v>
      </c>
      <c r="K54" s="35" t="str">
        <f t="shared" si="13"/>
        <v>A02</v>
      </c>
      <c r="L54" s="35" t="str">
        <f t="shared" si="14"/>
        <v>Motor Typ 2</v>
      </c>
      <c r="M54" s="35">
        <f t="shared" si="15"/>
        <v>0.71</v>
      </c>
      <c r="N54" s="35">
        <f t="shared" si="9"/>
        <v>0.880281690140845</v>
      </c>
      <c r="O54" s="35">
        <f t="shared" si="8"/>
        <v>26.4084507042254</v>
      </c>
      <c r="P54" s="35">
        <f t="shared" si="11"/>
        <v>0.440140845070423</v>
      </c>
      <c r="Q54" s="36">
        <f t="shared" si="10"/>
        <v>46108.9583333333</v>
      </c>
      <c r="R54" s="35">
        <f ca="1">IFERROR(IF(G54&gt;Aufträge!$L$176,Aufträge!$N$176,VLOOKUP(Q54,Kalender,2,0)),"")</f>
        <v>32</v>
      </c>
      <c r="S54" s="35">
        <f t="shared" si="6"/>
        <v>17.3022300469484</v>
      </c>
      <c r="T54" s="37">
        <f ca="1" t="shared" si="7"/>
        <v>14.6977699530516</v>
      </c>
    </row>
    <row r="55" spans="2:20">
      <c r="B55" s="32" t="s">
        <v>132</v>
      </c>
      <c r="C55" t="s">
        <v>130</v>
      </c>
      <c r="D55">
        <v>536325201</v>
      </c>
      <c r="E55" t="s">
        <v>65</v>
      </c>
      <c r="F55">
        <v>360</v>
      </c>
      <c r="G55" s="33">
        <v>46108.9791666666</v>
      </c>
      <c r="H55">
        <f t="shared" si="12"/>
        <v>0.655</v>
      </c>
      <c r="I55">
        <f t="shared" si="4"/>
        <v>235.8</v>
      </c>
      <c r="J55" s="34">
        <v>2</v>
      </c>
      <c r="K55" s="35" t="str">
        <f t="shared" si="13"/>
        <v>A02</v>
      </c>
      <c r="L55" s="35" t="str">
        <f t="shared" si="14"/>
        <v>Motor Typ 2</v>
      </c>
      <c r="M55" s="35">
        <f t="shared" si="15"/>
        <v>0.71</v>
      </c>
      <c r="N55" s="35">
        <f t="shared" si="9"/>
        <v>0.922535211267606</v>
      </c>
      <c r="O55" s="35">
        <f t="shared" si="8"/>
        <v>332.112676056338</v>
      </c>
      <c r="P55" s="35">
        <f t="shared" si="11"/>
        <v>5.53521126760563</v>
      </c>
      <c r="Q55" s="36">
        <f t="shared" si="10"/>
        <v>46108.9583333333</v>
      </c>
      <c r="R55" s="35">
        <f ca="1">IFERROR(IF(G55&gt;Aufträge!$L$176,Aufträge!$N$176,VLOOKUP(Q55,Kalender,2,0)),"")</f>
        <v>32</v>
      </c>
      <c r="S55" s="35">
        <f t="shared" si="6"/>
        <v>22.837441314554</v>
      </c>
      <c r="T55" s="37">
        <f ca="1" t="shared" si="7"/>
        <v>9.16255868544601</v>
      </c>
    </row>
    <row r="56" spans="2:20">
      <c r="B56" s="32" t="s">
        <v>133</v>
      </c>
      <c r="C56" t="s">
        <v>130</v>
      </c>
      <c r="D56">
        <v>715240360</v>
      </c>
      <c r="E56" t="s">
        <v>76</v>
      </c>
      <c r="F56">
        <v>55</v>
      </c>
      <c r="G56" s="33">
        <v>46108.9999999999</v>
      </c>
      <c r="H56">
        <f t="shared" si="12"/>
        <v>0.675</v>
      </c>
      <c r="I56">
        <f t="shared" si="4"/>
        <v>37.125</v>
      </c>
      <c r="J56" s="34">
        <v>2</v>
      </c>
      <c r="K56" s="35" t="str">
        <f t="shared" si="13"/>
        <v>A02</v>
      </c>
      <c r="L56" s="35" t="str">
        <f t="shared" si="14"/>
        <v>Motor Typ 2</v>
      </c>
      <c r="M56" s="35">
        <f t="shared" si="15"/>
        <v>0.71</v>
      </c>
      <c r="N56" s="35">
        <f t="shared" si="9"/>
        <v>0.950704225352113</v>
      </c>
      <c r="O56" s="35">
        <f t="shared" si="8"/>
        <v>52.2887323943662</v>
      </c>
      <c r="P56" s="35">
        <f t="shared" si="11"/>
        <v>0.871478873239437</v>
      </c>
      <c r="Q56" s="36">
        <f t="shared" si="10"/>
        <v>46109</v>
      </c>
      <c r="R56" s="35">
        <f ca="1">IFERROR(IF(G56&gt;Aufträge!$L$176,Aufträge!$N$176,VLOOKUP(Q56,Kalender,2,0)),"")</f>
        <v>33</v>
      </c>
      <c r="S56" s="35">
        <f t="shared" si="6"/>
        <v>23.7089201877934</v>
      </c>
      <c r="T56" s="37">
        <f ca="1" t="shared" si="7"/>
        <v>9.29107981220657</v>
      </c>
    </row>
    <row r="57" spans="2:20">
      <c r="B57" s="32" t="s">
        <v>134</v>
      </c>
      <c r="C57" t="s">
        <v>135</v>
      </c>
      <c r="D57">
        <v>715240360</v>
      </c>
      <c r="E57" t="s">
        <v>76</v>
      </c>
      <c r="F57">
        <v>40</v>
      </c>
      <c r="G57" s="33">
        <v>46109.2291666667</v>
      </c>
      <c r="H57">
        <f t="shared" si="12"/>
        <v>0.675</v>
      </c>
      <c r="I57">
        <f t="shared" si="4"/>
        <v>27</v>
      </c>
      <c r="J57" s="34">
        <v>2</v>
      </c>
      <c r="K57" s="35" t="str">
        <f t="shared" si="13"/>
        <v>A02</v>
      </c>
      <c r="L57" s="35" t="str">
        <f t="shared" si="14"/>
        <v>Motor Typ 2</v>
      </c>
      <c r="M57" s="35">
        <f t="shared" si="15"/>
        <v>0.71</v>
      </c>
      <c r="N57" s="35">
        <f t="shared" si="9"/>
        <v>0.950704225352113</v>
      </c>
      <c r="O57" s="35">
        <f t="shared" si="8"/>
        <v>38.0281690140845</v>
      </c>
      <c r="P57" s="35">
        <f t="shared" si="11"/>
        <v>0.633802816901408</v>
      </c>
      <c r="Q57" s="36">
        <f t="shared" si="10"/>
        <v>46109.2083333333</v>
      </c>
      <c r="R57" s="35">
        <f ca="1">IFERROR(IF(G57&gt;Aufträge!$L$176,Aufträge!$N$176,VLOOKUP(Q57,Kalender,2,0)),"")</f>
        <v>38</v>
      </c>
      <c r="S57" s="35">
        <f t="shared" si="6"/>
        <v>24.3427230046948</v>
      </c>
      <c r="T57" s="37">
        <f ca="1" t="shared" si="7"/>
        <v>13.6572769953052</v>
      </c>
    </row>
    <row r="58" spans="2:20">
      <c r="B58" s="32" t="s">
        <v>136</v>
      </c>
      <c r="C58" t="s">
        <v>135</v>
      </c>
      <c r="D58">
        <v>520310473</v>
      </c>
      <c r="E58" t="s">
        <v>62</v>
      </c>
      <c r="F58">
        <v>220</v>
      </c>
      <c r="G58" s="33">
        <v>46109.2916666666</v>
      </c>
      <c r="H58">
        <f t="shared" si="12"/>
        <v>0.625</v>
      </c>
      <c r="I58">
        <f t="shared" si="4"/>
        <v>137.5</v>
      </c>
      <c r="J58" s="34">
        <v>2</v>
      </c>
      <c r="K58" s="35" t="str">
        <f t="shared" si="13"/>
        <v>A02</v>
      </c>
      <c r="L58" s="35" t="str">
        <f t="shared" si="14"/>
        <v>Motor Typ 2</v>
      </c>
      <c r="M58" s="35">
        <f t="shared" si="15"/>
        <v>0.71</v>
      </c>
      <c r="N58" s="35">
        <f t="shared" si="9"/>
        <v>0.880281690140845</v>
      </c>
      <c r="O58" s="35">
        <f t="shared" si="8"/>
        <v>193.661971830986</v>
      </c>
      <c r="P58" s="35">
        <f t="shared" si="11"/>
        <v>3.22769953051643</v>
      </c>
      <c r="Q58" s="36">
        <f t="shared" si="10"/>
        <v>46109.2916666667</v>
      </c>
      <c r="R58" s="35">
        <f ca="1">IFERROR(IF(G58&gt;Aufträge!$L$176,Aufträge!$N$176,VLOOKUP(Q58,Kalender,2,0)),"")</f>
        <v>38</v>
      </c>
      <c r="S58" s="35">
        <f t="shared" si="6"/>
        <v>27.5704225352113</v>
      </c>
      <c r="T58" s="37">
        <f ca="1" t="shared" si="7"/>
        <v>10.4295774647887</v>
      </c>
    </row>
    <row r="59" spans="2:20">
      <c r="B59" s="32" t="s">
        <v>141</v>
      </c>
      <c r="C59" t="s">
        <v>135</v>
      </c>
      <c r="D59">
        <v>453201483</v>
      </c>
      <c r="E59" t="s">
        <v>60</v>
      </c>
      <c r="F59">
        <v>60</v>
      </c>
      <c r="G59" s="33">
        <v>46109.3125</v>
      </c>
      <c r="H59">
        <f t="shared" si="12"/>
        <v>0.65</v>
      </c>
      <c r="I59">
        <f t="shared" si="4"/>
        <v>39</v>
      </c>
      <c r="J59" s="34">
        <v>5</v>
      </c>
      <c r="K59" s="35" t="str">
        <f t="shared" si="13"/>
        <v>A05</v>
      </c>
      <c r="L59" s="35" t="str">
        <f t="shared" si="14"/>
        <v>Motor Typ 5</v>
      </c>
      <c r="M59" s="35">
        <f t="shared" si="15"/>
        <v>0.795</v>
      </c>
      <c r="N59" s="35">
        <f t="shared" si="9"/>
        <v>0.817610062893082</v>
      </c>
      <c r="O59" s="35">
        <f t="shared" si="8"/>
        <v>49.0566037735849</v>
      </c>
      <c r="P59" s="35">
        <f t="shared" si="11"/>
        <v>0.817610062893082</v>
      </c>
      <c r="Q59" s="36">
        <f t="shared" si="10"/>
        <v>46109.2916666667</v>
      </c>
      <c r="R59" s="35">
        <f ca="1">IFERROR(IF(G59&gt;Aufträge!$L$176,Aufträge!$N$176,VLOOKUP(Q59,Kalender,2,0)),"")</f>
        <v>38</v>
      </c>
      <c r="S59" s="35">
        <f t="shared" si="6"/>
        <v>19.1949685534591</v>
      </c>
      <c r="T59" s="37">
        <f ca="1" t="shared" si="7"/>
        <v>18.8050314465409</v>
      </c>
    </row>
    <row r="60" spans="2:20">
      <c r="B60" s="32" t="s">
        <v>142</v>
      </c>
      <c r="C60" t="s">
        <v>143</v>
      </c>
      <c r="D60">
        <v>402570130</v>
      </c>
      <c r="E60" t="s">
        <v>54</v>
      </c>
      <c r="F60">
        <v>40</v>
      </c>
      <c r="G60" s="33">
        <v>46109.3333333333</v>
      </c>
      <c r="H60">
        <f t="shared" si="12"/>
        <v>0.605</v>
      </c>
      <c r="I60">
        <f t="shared" si="4"/>
        <v>24.2</v>
      </c>
      <c r="J60" s="34">
        <v>5</v>
      </c>
      <c r="K60" s="35" t="str">
        <f t="shared" si="13"/>
        <v>A05</v>
      </c>
      <c r="L60" s="35" t="str">
        <f t="shared" si="14"/>
        <v>Motor Typ 5</v>
      </c>
      <c r="M60" s="35">
        <f t="shared" si="15"/>
        <v>0.795</v>
      </c>
      <c r="N60" s="35">
        <f t="shared" si="9"/>
        <v>0.761006289308176</v>
      </c>
      <c r="O60" s="35">
        <f t="shared" si="8"/>
        <v>30.440251572327</v>
      </c>
      <c r="P60" s="35">
        <f t="shared" si="11"/>
        <v>0.507337526205451</v>
      </c>
      <c r="Q60" s="36">
        <f t="shared" si="10"/>
        <v>46109.3333333333</v>
      </c>
      <c r="R60" s="35">
        <f ca="1">IFERROR(IF(G60&gt;Aufträge!$L$176,Aufträge!$N$176,VLOOKUP(Q60,Kalender,2,0)),"")</f>
        <v>38</v>
      </c>
      <c r="S60" s="35">
        <f t="shared" si="6"/>
        <v>21.9606918238994</v>
      </c>
      <c r="T60" s="37">
        <f ca="1" t="shared" si="7"/>
        <v>16.0393081761006</v>
      </c>
    </row>
    <row r="61" spans="2:20">
      <c r="B61" s="32" t="s">
        <v>144</v>
      </c>
      <c r="C61" t="s">
        <v>145</v>
      </c>
      <c r="D61">
        <v>545263102</v>
      </c>
      <c r="E61" t="s">
        <v>67</v>
      </c>
      <c r="F61">
        <v>155</v>
      </c>
      <c r="G61" s="33">
        <v>46109.3333333333</v>
      </c>
      <c r="H61">
        <f t="shared" si="12"/>
        <v>0.695</v>
      </c>
      <c r="I61">
        <f t="shared" si="4"/>
        <v>107.725</v>
      </c>
      <c r="J61" s="34">
        <v>5</v>
      </c>
      <c r="K61" s="35" t="str">
        <f t="shared" si="13"/>
        <v>A05</v>
      </c>
      <c r="L61" s="35" t="str">
        <f t="shared" si="14"/>
        <v>Motor Typ 5</v>
      </c>
      <c r="M61" s="35">
        <f t="shared" si="15"/>
        <v>0.795</v>
      </c>
      <c r="N61" s="35">
        <f t="shared" si="9"/>
        <v>0.874213836477987</v>
      </c>
      <c r="O61" s="35">
        <f t="shared" si="8"/>
        <v>135.503144654088</v>
      </c>
      <c r="P61" s="35">
        <f t="shared" si="11"/>
        <v>2.2583857442348</v>
      </c>
      <c r="Q61" s="36">
        <f t="shared" si="10"/>
        <v>46109.3333333333</v>
      </c>
      <c r="R61" s="35">
        <f ca="1">IFERROR(IF(G61&gt;Aufträge!$L$176,Aufträge!$N$176,VLOOKUP(Q61,Kalender,2,0)),"")</f>
        <v>38</v>
      </c>
      <c r="S61" s="35">
        <f t="shared" si="6"/>
        <v>21.9606918238994</v>
      </c>
      <c r="T61" s="37">
        <f ca="1" t="shared" si="7"/>
        <v>16.0393081761006</v>
      </c>
    </row>
    <row r="62" spans="2:20">
      <c r="B62" s="32" t="s">
        <v>146</v>
      </c>
      <c r="C62" t="s">
        <v>147</v>
      </c>
      <c r="D62">
        <v>698251201</v>
      </c>
      <c r="E62" t="s">
        <v>74</v>
      </c>
      <c r="F62">
        <v>245</v>
      </c>
      <c r="G62" s="33">
        <v>46109.375</v>
      </c>
      <c r="H62">
        <f t="shared" si="12"/>
        <v>0.635</v>
      </c>
      <c r="I62">
        <f t="shared" si="4"/>
        <v>155.575</v>
      </c>
      <c r="J62" s="34">
        <v>5</v>
      </c>
      <c r="K62" s="35" t="str">
        <f t="shared" si="13"/>
        <v>A05</v>
      </c>
      <c r="L62" s="35" t="str">
        <f>IFERROR(VLOOKUP(J62,APE,3,0),"")</f>
        <v>Motor Typ 5</v>
      </c>
      <c r="M62" s="35">
        <f t="shared" si="15"/>
        <v>0.795</v>
      </c>
      <c r="N62" s="35">
        <f t="shared" si="9"/>
        <v>0.79874213836478</v>
      </c>
      <c r="O62" s="35">
        <f t="shared" si="8"/>
        <v>195.691823899371</v>
      </c>
      <c r="P62" s="35">
        <f t="shared" si="11"/>
        <v>3.26153039832285</v>
      </c>
      <c r="Q62" s="36">
        <f t="shared" si="10"/>
        <v>46109.375</v>
      </c>
      <c r="R62" s="35">
        <f ca="1">IFERROR(IF(G62&gt;Aufträge!$L$176,Aufträge!$N$176,VLOOKUP(Q62,Kalender,2,0)),"")</f>
        <v>38</v>
      </c>
      <c r="S62" s="35">
        <f t="shared" si="6"/>
        <v>25.2222222222222</v>
      </c>
      <c r="T62" s="37">
        <f ca="1" t="shared" si="7"/>
        <v>12.7777777777778</v>
      </c>
    </row>
    <row r="63" spans="2:20">
      <c r="B63" s="32" t="s">
        <v>148</v>
      </c>
      <c r="C63" t="s">
        <v>147</v>
      </c>
      <c r="D63">
        <v>545263102</v>
      </c>
      <c r="E63" t="s">
        <v>67</v>
      </c>
      <c r="F63">
        <v>145</v>
      </c>
      <c r="G63" s="33">
        <v>46109.3958333333</v>
      </c>
      <c r="H63">
        <f t="shared" si="12"/>
        <v>0.695</v>
      </c>
      <c r="I63">
        <f t="shared" si="4"/>
        <v>100.775</v>
      </c>
      <c r="J63" s="34">
        <v>3</v>
      </c>
      <c r="K63" s="35" t="str">
        <f t="shared" si="13"/>
        <v>A03</v>
      </c>
      <c r="L63" s="35" t="str">
        <f t="shared" si="14"/>
        <v>Motor Typ 3</v>
      </c>
      <c r="M63" s="35">
        <f t="shared" si="15"/>
        <v>0.85</v>
      </c>
      <c r="N63" s="35">
        <f t="shared" si="9"/>
        <v>0.817647058823529</v>
      </c>
      <c r="O63" s="35">
        <f t="shared" si="8"/>
        <v>118.558823529412</v>
      </c>
      <c r="P63" s="35">
        <f t="shared" si="11"/>
        <v>1.97598039215686</v>
      </c>
      <c r="Q63" s="36">
        <f t="shared" si="10"/>
        <v>46109.375</v>
      </c>
      <c r="R63" s="35">
        <f ca="1">IFERROR(IF(G63&gt;Aufträge!$L$176,Aufträge!$N$176,VLOOKUP(Q63,Kalender,2,0)),"")</f>
        <v>38</v>
      </c>
      <c r="S63" s="35">
        <f t="shared" si="6"/>
        <v>22.268137254902</v>
      </c>
      <c r="T63" s="37">
        <f ca="1" t="shared" si="7"/>
        <v>15.731862745098</v>
      </c>
    </row>
    <row r="64" spans="2:20">
      <c r="B64" s="32" t="s">
        <v>149</v>
      </c>
      <c r="C64" t="s">
        <v>147</v>
      </c>
      <c r="D64">
        <v>453201483</v>
      </c>
      <c r="E64" t="s">
        <v>60</v>
      </c>
      <c r="F64">
        <v>105</v>
      </c>
      <c r="G64" s="33">
        <v>46109.3958333333</v>
      </c>
      <c r="H64">
        <f t="shared" si="12"/>
        <v>0.65</v>
      </c>
      <c r="I64">
        <f t="shared" si="4"/>
        <v>68.25</v>
      </c>
      <c r="J64" s="34">
        <v>3</v>
      </c>
      <c r="K64" s="35" t="str">
        <f t="shared" si="13"/>
        <v>A03</v>
      </c>
      <c r="L64" s="35" t="str">
        <f t="shared" si="14"/>
        <v>Motor Typ 3</v>
      </c>
      <c r="M64" s="35">
        <f t="shared" si="15"/>
        <v>0.85</v>
      </c>
      <c r="N64" s="35">
        <f t="shared" si="9"/>
        <v>0.764705882352941</v>
      </c>
      <c r="O64" s="35">
        <f t="shared" si="8"/>
        <v>80.2941176470588</v>
      </c>
      <c r="P64" s="35">
        <f t="shared" si="11"/>
        <v>1.33823529411765</v>
      </c>
      <c r="Q64" s="36">
        <f t="shared" si="10"/>
        <v>46109.375</v>
      </c>
      <c r="R64" s="35">
        <f ca="1">IFERROR(IF(G64&gt;Aufträge!$L$176,Aufträge!$N$176,VLOOKUP(Q64,Kalender,2,0)),"")</f>
        <v>38</v>
      </c>
      <c r="S64" s="35">
        <f t="shared" si="6"/>
        <v>22.268137254902</v>
      </c>
      <c r="T64" s="37">
        <f ca="1" t="shared" si="7"/>
        <v>15.731862745098</v>
      </c>
    </row>
    <row r="65" spans="2:20">
      <c r="B65" s="32" t="s">
        <v>150</v>
      </c>
      <c r="C65" t="s">
        <v>147</v>
      </c>
      <c r="D65">
        <v>443014920</v>
      </c>
      <c r="E65" t="s">
        <v>58</v>
      </c>
      <c r="F65">
        <v>200</v>
      </c>
      <c r="G65" s="33">
        <v>46109.4166666666</v>
      </c>
      <c r="H65">
        <f t="shared" si="12"/>
        <v>0.62</v>
      </c>
      <c r="I65">
        <f t="shared" si="4"/>
        <v>124</v>
      </c>
      <c r="J65" s="34">
        <v>3</v>
      </c>
      <c r="K65" s="35" t="str">
        <f t="shared" si="13"/>
        <v>A03</v>
      </c>
      <c r="L65" s="35" t="str">
        <f t="shared" si="14"/>
        <v>Motor Typ 3</v>
      </c>
      <c r="M65" s="35">
        <f t="shared" si="15"/>
        <v>0.85</v>
      </c>
      <c r="N65" s="35">
        <f t="shared" si="9"/>
        <v>0.729411764705882</v>
      </c>
      <c r="O65" s="35">
        <f t="shared" si="8"/>
        <v>145.882352941176</v>
      </c>
      <c r="P65" s="35">
        <f t="shared" si="11"/>
        <v>2.43137254901961</v>
      </c>
      <c r="Q65" s="36">
        <f t="shared" si="10"/>
        <v>46109.4166666667</v>
      </c>
      <c r="R65" s="35">
        <f ca="1">IFERROR(IF(G65&gt;Aufträge!$L$176,Aufträge!$N$176,VLOOKUP(Q65,Kalender,2,0)),"")</f>
        <v>38</v>
      </c>
      <c r="S65" s="35">
        <f t="shared" si="6"/>
        <v>24.6995098039216</v>
      </c>
      <c r="T65" s="37">
        <f ca="1" t="shared" si="7"/>
        <v>13.3004901960784</v>
      </c>
    </row>
    <row r="66" spans="2:20">
      <c r="B66" s="32" t="s">
        <v>151</v>
      </c>
      <c r="C66" t="s">
        <v>147</v>
      </c>
      <c r="D66">
        <v>536325201</v>
      </c>
      <c r="E66" t="s">
        <v>65</v>
      </c>
      <c r="F66">
        <v>50</v>
      </c>
      <c r="G66" s="33">
        <v>46109.4583333333</v>
      </c>
      <c r="H66">
        <f t="shared" si="12"/>
        <v>0.655</v>
      </c>
      <c r="I66">
        <f t="shared" si="4"/>
        <v>32.75</v>
      </c>
      <c r="J66" s="34">
        <v>3</v>
      </c>
      <c r="K66" s="35" t="str">
        <f t="shared" si="13"/>
        <v>A03</v>
      </c>
      <c r="L66" s="35" t="str">
        <f t="shared" si="14"/>
        <v>Motor Typ 3</v>
      </c>
      <c r="M66" s="35">
        <f t="shared" si="15"/>
        <v>0.85</v>
      </c>
      <c r="N66" s="35">
        <f t="shared" si="9"/>
        <v>0.770588235294118</v>
      </c>
      <c r="O66" s="35">
        <f t="shared" si="8"/>
        <v>38.5294117647059</v>
      </c>
      <c r="P66" s="35">
        <f t="shared" si="11"/>
        <v>0.642156862745098</v>
      </c>
      <c r="Q66" s="36">
        <f t="shared" si="10"/>
        <v>46109.4583333333</v>
      </c>
      <c r="R66" s="35">
        <f ca="1">IFERROR(IF(G66&gt;Aufträge!$L$176,Aufträge!$N$176,VLOOKUP(Q66,Kalender,2,0)),"")</f>
        <v>38</v>
      </c>
      <c r="S66" s="35">
        <f t="shared" si="6"/>
        <v>25.3416666666667</v>
      </c>
      <c r="T66" s="37">
        <f ca="1" t="shared" si="7"/>
        <v>12.6583333333333</v>
      </c>
    </row>
    <row r="67" spans="2:20">
      <c r="B67" s="32" t="s">
        <v>152</v>
      </c>
      <c r="C67" t="s">
        <v>147</v>
      </c>
      <c r="D67">
        <v>675230220</v>
      </c>
      <c r="E67" t="s">
        <v>72</v>
      </c>
      <c r="F67">
        <v>20</v>
      </c>
      <c r="G67" s="33">
        <v>46109.5</v>
      </c>
      <c r="H67">
        <f t="shared" si="12"/>
        <v>0.625</v>
      </c>
      <c r="I67">
        <f t="shared" si="4"/>
        <v>12.5</v>
      </c>
      <c r="J67" s="34">
        <v>1</v>
      </c>
      <c r="K67" s="35" t="str">
        <f t="shared" si="13"/>
        <v>A01</v>
      </c>
      <c r="L67" s="35" t="str">
        <f t="shared" si="14"/>
        <v>Motor Typ 1</v>
      </c>
      <c r="M67" s="35">
        <f t="shared" si="15"/>
        <v>0.72</v>
      </c>
      <c r="N67" s="35">
        <f t="shared" si="9"/>
        <v>0.868055555555556</v>
      </c>
      <c r="O67" s="35">
        <f t="shared" si="8"/>
        <v>17.3611111111111</v>
      </c>
      <c r="P67" s="35">
        <f t="shared" si="11"/>
        <v>0.289351851851852</v>
      </c>
      <c r="Q67" s="36">
        <f t="shared" si="10"/>
        <v>46109.5</v>
      </c>
      <c r="R67" s="35">
        <f ca="1">IFERROR(IF(G67&gt;Aufträge!$L$176,Aufträge!$N$176,VLOOKUP(Q67,Kalender,2,0)),"")</f>
        <v>38</v>
      </c>
      <c r="S67" s="35">
        <f t="shared" si="6"/>
        <v>19.5358796296296</v>
      </c>
      <c r="T67" s="37">
        <f ca="1" t="shared" si="7"/>
        <v>18.4641203703704</v>
      </c>
    </row>
    <row r="68" spans="2:20">
      <c r="B68" s="32" t="s">
        <v>153</v>
      </c>
      <c r="C68" t="s">
        <v>154</v>
      </c>
      <c r="D68">
        <v>715240360</v>
      </c>
      <c r="E68" t="s">
        <v>76</v>
      </c>
      <c r="F68">
        <v>40</v>
      </c>
      <c r="G68" s="33">
        <v>46109.5833333333</v>
      </c>
      <c r="H68">
        <f t="shared" si="12"/>
        <v>0.675</v>
      </c>
      <c r="I68">
        <f t="shared" si="4"/>
        <v>27</v>
      </c>
      <c r="J68" s="34">
        <v>1</v>
      </c>
      <c r="K68" s="35" t="str">
        <f t="shared" si="13"/>
        <v>A01</v>
      </c>
      <c r="L68" s="35" t="str">
        <f t="shared" si="14"/>
        <v>Motor Typ 1</v>
      </c>
      <c r="M68" s="35">
        <f t="shared" si="15"/>
        <v>0.72</v>
      </c>
      <c r="N68" s="35">
        <f t="shared" si="9"/>
        <v>0.9375</v>
      </c>
      <c r="O68" s="35">
        <f t="shared" si="8"/>
        <v>37.5</v>
      </c>
      <c r="P68" s="35">
        <f t="shared" si="11"/>
        <v>0.625</v>
      </c>
      <c r="Q68" s="36">
        <f t="shared" si="10"/>
        <v>46109.5833333333</v>
      </c>
      <c r="R68" s="35">
        <f ca="1">IFERROR(IF(G68&gt;Aufträge!$L$176,Aufträge!$N$176,VLOOKUP(Q68,Kalender,2,0)),"")</f>
        <v>39</v>
      </c>
      <c r="S68" s="35">
        <f t="shared" si="6"/>
        <v>20.1608796296296</v>
      </c>
      <c r="T68" s="37">
        <f ca="1" t="shared" si="7"/>
        <v>18.8391203703704</v>
      </c>
    </row>
    <row r="69" spans="2:20">
      <c r="B69" s="32" t="s">
        <v>155</v>
      </c>
      <c r="C69" t="s">
        <v>154</v>
      </c>
      <c r="D69">
        <v>715240360</v>
      </c>
      <c r="E69" t="s">
        <v>76</v>
      </c>
      <c r="F69">
        <v>100</v>
      </c>
      <c r="G69" s="33">
        <v>46109.625</v>
      </c>
      <c r="H69">
        <f t="shared" si="12"/>
        <v>0.675</v>
      </c>
      <c r="I69">
        <f t="shared" si="4"/>
        <v>67.5</v>
      </c>
      <c r="J69" s="34">
        <v>1</v>
      </c>
      <c r="K69" s="35" t="str">
        <f t="shared" si="13"/>
        <v>A01</v>
      </c>
      <c r="L69" s="35" t="str">
        <f t="shared" si="14"/>
        <v>Motor Typ 1</v>
      </c>
      <c r="M69" s="35">
        <f t="shared" si="15"/>
        <v>0.72</v>
      </c>
      <c r="N69" s="35">
        <f t="shared" si="9"/>
        <v>0.9375</v>
      </c>
      <c r="O69" s="35">
        <f t="shared" si="8"/>
        <v>93.75</v>
      </c>
      <c r="P69" s="35">
        <f t="shared" si="11"/>
        <v>1.5625</v>
      </c>
      <c r="Q69" s="36">
        <f t="shared" si="10"/>
        <v>46109.625</v>
      </c>
      <c r="R69" s="35">
        <f ca="1">IFERROR(IF(G69&gt;Aufträge!$L$176,Aufträge!$N$176,VLOOKUP(Q69,Kalender,2,0)),"")</f>
        <v>40</v>
      </c>
      <c r="S69" s="35">
        <f t="shared" si="6"/>
        <v>21.7233796296296</v>
      </c>
      <c r="T69" s="37">
        <f ca="1" t="shared" si="7"/>
        <v>18.2766203703704</v>
      </c>
    </row>
    <row r="70" spans="2:20">
      <c r="B70" s="32" t="s">
        <v>156</v>
      </c>
      <c r="C70" t="s">
        <v>154</v>
      </c>
      <c r="D70">
        <v>536325201</v>
      </c>
      <c r="E70" t="s">
        <v>65</v>
      </c>
      <c r="F70">
        <v>35</v>
      </c>
      <c r="G70" s="33">
        <v>46109.7083333333</v>
      </c>
      <c r="H70">
        <f t="shared" si="12"/>
        <v>0.655</v>
      </c>
      <c r="I70">
        <f t="shared" si="4"/>
        <v>22.925</v>
      </c>
      <c r="J70" s="34">
        <v>1</v>
      </c>
      <c r="K70" s="35" t="str">
        <f t="shared" si="13"/>
        <v>A01</v>
      </c>
      <c r="L70" s="35" t="str">
        <f t="shared" si="14"/>
        <v>Motor Typ 1</v>
      </c>
      <c r="M70" s="35">
        <f t="shared" si="15"/>
        <v>0.72</v>
      </c>
      <c r="N70" s="35">
        <f t="shared" si="9"/>
        <v>0.909722222222222</v>
      </c>
      <c r="O70" s="35">
        <f t="shared" si="8"/>
        <v>31.8402777777778</v>
      </c>
      <c r="P70" s="35">
        <f t="shared" si="11"/>
        <v>0.530671296296296</v>
      </c>
      <c r="Q70" s="36">
        <f t="shared" si="10"/>
        <v>46109.7083333333</v>
      </c>
      <c r="R70" s="35">
        <f ca="1">IFERROR(IF(G70&gt;Aufträge!$L$176,Aufträge!$N$176,VLOOKUP(Q70,Kalender,2,0)),"")</f>
        <v>42</v>
      </c>
      <c r="S70" s="35">
        <f t="shared" si="6"/>
        <v>22.7054398148148</v>
      </c>
      <c r="T70" s="37">
        <f ca="1" t="shared" si="7"/>
        <v>19.2945601851852</v>
      </c>
    </row>
    <row r="71" spans="2:20">
      <c r="B71" s="32" t="s">
        <v>157</v>
      </c>
      <c r="C71" t="s">
        <v>154</v>
      </c>
      <c r="D71">
        <v>453201483</v>
      </c>
      <c r="E71" t="s">
        <v>60</v>
      </c>
      <c r="F71">
        <v>30</v>
      </c>
      <c r="G71" s="33">
        <v>46109.7083333333</v>
      </c>
      <c r="H71">
        <f t="shared" si="12"/>
        <v>0.65</v>
      </c>
      <c r="I71">
        <f t="shared" si="4"/>
        <v>19.5</v>
      </c>
      <c r="J71" s="34">
        <v>1</v>
      </c>
      <c r="K71" s="35" t="str">
        <f t="shared" si="13"/>
        <v>A01</v>
      </c>
      <c r="L71" s="35" t="str">
        <f t="shared" si="14"/>
        <v>Motor Typ 1</v>
      </c>
      <c r="M71" s="35">
        <f t="shared" si="15"/>
        <v>0.72</v>
      </c>
      <c r="N71" s="35">
        <f t="shared" si="9"/>
        <v>0.902777777777778</v>
      </c>
      <c r="O71" s="35">
        <f t="shared" si="8"/>
        <v>27.0833333333333</v>
      </c>
      <c r="P71" s="35">
        <f t="shared" si="11"/>
        <v>0.451388888888889</v>
      </c>
      <c r="Q71" s="36">
        <f t="shared" si="10"/>
        <v>46109.7083333333</v>
      </c>
      <c r="R71" s="35">
        <f ca="1">IFERROR(IF(G71&gt;Aufträge!$L$176,Aufträge!$N$176,VLOOKUP(Q71,Kalender,2,0)),"")</f>
        <v>42</v>
      </c>
      <c r="S71" s="35">
        <f t="shared" si="6"/>
        <v>22.7054398148148</v>
      </c>
      <c r="T71" s="37">
        <f ca="1" t="shared" si="7"/>
        <v>19.2945601851852</v>
      </c>
    </row>
    <row r="72" spans="2:20">
      <c r="B72" s="32" t="s">
        <v>158</v>
      </c>
      <c r="C72" t="s">
        <v>154</v>
      </c>
      <c r="D72">
        <v>635241018</v>
      </c>
      <c r="E72" t="s">
        <v>69</v>
      </c>
      <c r="F72">
        <v>10</v>
      </c>
      <c r="G72" s="33">
        <v>46109.75</v>
      </c>
      <c r="H72">
        <f t="shared" ref="H72:H107" si="16">IFERROR(VLOOKUP(D72,Zeit,3,0),"")</f>
        <v>0.63</v>
      </c>
      <c r="I72">
        <f t="shared" si="4"/>
        <v>6.3</v>
      </c>
      <c r="J72" s="34">
        <v>1</v>
      </c>
      <c r="K72" s="35" t="str">
        <f t="shared" ref="K72:K103" si="17">IFERROR(VLOOKUP(J72,APE,2,0),"")</f>
        <v>A01</v>
      </c>
      <c r="L72" s="35" t="str">
        <f t="shared" ref="L72:L107" si="18">IFERROR(VLOOKUP(J72,APE,3,0),"")</f>
        <v>Motor Typ 1</v>
      </c>
      <c r="M72" s="35">
        <f t="shared" ref="M72:M107" si="19">+IFERROR(VLOOKUP(J72,APE,14,0),"")</f>
        <v>0.72</v>
      </c>
      <c r="N72" s="35">
        <f t="shared" si="9"/>
        <v>0.875</v>
      </c>
      <c r="O72" s="35">
        <f t="shared" si="8"/>
        <v>8.75</v>
      </c>
      <c r="P72" s="35">
        <f t="shared" si="11"/>
        <v>0.145833333333333</v>
      </c>
      <c r="Q72" s="36">
        <f t="shared" si="10"/>
        <v>46109.75</v>
      </c>
      <c r="R72" s="35">
        <f ca="1">IFERROR(IF(G72&gt;Aufträge!$L$176,Aufträge!$N$176,VLOOKUP(Q72,Kalender,2,0)),"")</f>
        <v>43</v>
      </c>
      <c r="S72" s="35">
        <f t="shared" si="6"/>
        <v>22.8512731481482</v>
      </c>
      <c r="T72" s="37">
        <f ca="1" t="shared" si="7"/>
        <v>20.1487268518518</v>
      </c>
    </row>
    <row r="73" spans="2:20">
      <c r="B73" s="32" t="s">
        <v>159</v>
      </c>
      <c r="C73" t="s">
        <v>160</v>
      </c>
      <c r="D73">
        <v>698251201</v>
      </c>
      <c r="E73" t="s">
        <v>74</v>
      </c>
      <c r="F73">
        <v>520</v>
      </c>
      <c r="G73" s="33">
        <v>46109.7916666666</v>
      </c>
      <c r="H73">
        <f t="shared" si="16"/>
        <v>0.635</v>
      </c>
      <c r="I73">
        <f t="shared" ref="I73:I107" si="20">IFERROR(H73*F73,"")</f>
        <v>330.2</v>
      </c>
      <c r="J73" s="34">
        <v>1</v>
      </c>
      <c r="K73" s="35" t="str">
        <f t="shared" si="17"/>
        <v>A01</v>
      </c>
      <c r="L73" s="35" t="str">
        <f t="shared" si="18"/>
        <v>Motor Typ 1</v>
      </c>
      <c r="M73" s="35">
        <f t="shared" si="19"/>
        <v>0.72</v>
      </c>
      <c r="N73" s="35">
        <f t="shared" ref="N73:N107" si="21">IFERROR(H73/M73,"")</f>
        <v>0.881944444444445</v>
      </c>
      <c r="O73" s="35">
        <f t="shared" ref="O73:O107" si="22">IFERROR(I73/M73,0)</f>
        <v>458.611111111111</v>
      </c>
      <c r="P73" s="35">
        <f t="shared" ref="P73:P107" si="23">+O73/60</f>
        <v>7.64351851851852</v>
      </c>
      <c r="Q73" s="36">
        <f t="shared" ref="Q73:Q107" si="24">+ROUNDDOWN(G73*24,0)/24</f>
        <v>46109.7916666667</v>
      </c>
      <c r="R73" s="35">
        <f ca="1">IFERROR(IF(G73&gt;Aufträge!$L$176,Aufträge!$N$176,VLOOKUP(Q73,Kalender,2,0)),"")</f>
        <v>44</v>
      </c>
      <c r="S73" s="35">
        <f t="shared" ref="S73:S107" si="25">+SUMIFS($P$8:$P$107,$K$8:$K$107,K73,$G$8:$G$107,"&lt;="&amp;G73)</f>
        <v>34.4068287037037</v>
      </c>
      <c r="T73" s="37">
        <f ca="1" t="shared" ref="T73:T107" si="26">IFERROR(R73-S73,"")</f>
        <v>9.59317129629629</v>
      </c>
    </row>
    <row r="74" spans="2:20">
      <c r="B74" s="32" t="s">
        <v>161</v>
      </c>
      <c r="C74" t="s">
        <v>162</v>
      </c>
      <c r="D74">
        <v>453201483</v>
      </c>
      <c r="E74" t="s">
        <v>60</v>
      </c>
      <c r="F74">
        <v>260</v>
      </c>
      <c r="G74" s="33">
        <v>46109.7916666666</v>
      </c>
      <c r="H74">
        <f t="shared" si="16"/>
        <v>0.65</v>
      </c>
      <c r="I74">
        <f t="shared" si="20"/>
        <v>169</v>
      </c>
      <c r="J74" s="34">
        <v>1</v>
      </c>
      <c r="K74" s="35" t="str">
        <f t="shared" si="17"/>
        <v>A01</v>
      </c>
      <c r="L74" s="35" t="str">
        <f t="shared" si="18"/>
        <v>Motor Typ 1</v>
      </c>
      <c r="M74" s="35">
        <f t="shared" si="19"/>
        <v>0.72</v>
      </c>
      <c r="N74" s="35">
        <f t="shared" si="21"/>
        <v>0.902777777777778</v>
      </c>
      <c r="O74" s="35">
        <f t="shared" si="22"/>
        <v>234.722222222222</v>
      </c>
      <c r="P74" s="35">
        <f t="shared" si="23"/>
        <v>3.91203703703704</v>
      </c>
      <c r="Q74" s="36">
        <f t="shared" si="24"/>
        <v>46109.7916666667</v>
      </c>
      <c r="R74" s="35">
        <f ca="1">IFERROR(IF(G74&gt;Aufträge!$L$176,Aufträge!$N$176,VLOOKUP(Q74,Kalender,2,0)),"")</f>
        <v>44</v>
      </c>
      <c r="S74" s="35">
        <f t="shared" si="25"/>
        <v>34.4068287037037</v>
      </c>
      <c r="T74" s="37">
        <f ca="1" t="shared" si="26"/>
        <v>9.59317129629629</v>
      </c>
    </row>
    <row r="75" spans="2:20">
      <c r="B75" s="32" t="s">
        <v>163</v>
      </c>
      <c r="C75" t="s">
        <v>162</v>
      </c>
      <c r="D75">
        <v>698251201</v>
      </c>
      <c r="E75" t="s">
        <v>74</v>
      </c>
      <c r="F75">
        <v>80</v>
      </c>
      <c r="G75" s="33">
        <v>46109.8333333333</v>
      </c>
      <c r="H75">
        <f t="shared" si="16"/>
        <v>0.635</v>
      </c>
      <c r="I75">
        <f t="shared" si="20"/>
        <v>50.8</v>
      </c>
      <c r="J75" s="34">
        <v>1</v>
      </c>
      <c r="K75" s="35" t="str">
        <f t="shared" si="17"/>
        <v>A01</v>
      </c>
      <c r="L75" s="35" t="str">
        <f t="shared" si="18"/>
        <v>Motor Typ 1</v>
      </c>
      <c r="M75" s="35">
        <f t="shared" si="19"/>
        <v>0.72</v>
      </c>
      <c r="N75" s="35">
        <f t="shared" si="21"/>
        <v>0.881944444444445</v>
      </c>
      <c r="O75" s="35">
        <f t="shared" si="22"/>
        <v>70.5555555555556</v>
      </c>
      <c r="P75" s="35">
        <f t="shared" si="23"/>
        <v>1.17592592592593</v>
      </c>
      <c r="Q75" s="36">
        <f t="shared" si="24"/>
        <v>46109.8333333333</v>
      </c>
      <c r="R75" s="35">
        <f ca="1">IFERROR(IF(G75&gt;Aufträge!$L$176,Aufträge!$N$176,VLOOKUP(Q75,Kalender,2,0)),"")</f>
        <v>45</v>
      </c>
      <c r="S75" s="35">
        <f t="shared" si="25"/>
        <v>35.5827546296296</v>
      </c>
      <c r="T75" s="37">
        <f ca="1" t="shared" si="26"/>
        <v>9.41724537037037</v>
      </c>
    </row>
    <row r="76" spans="2:20">
      <c r="B76" s="32" t="s">
        <v>164</v>
      </c>
      <c r="C76" t="s">
        <v>162</v>
      </c>
      <c r="D76">
        <v>545263102</v>
      </c>
      <c r="E76" t="s">
        <v>67</v>
      </c>
      <c r="F76">
        <v>75</v>
      </c>
      <c r="G76" s="33">
        <v>46109.8541666666</v>
      </c>
      <c r="H76">
        <f t="shared" si="16"/>
        <v>0.695</v>
      </c>
      <c r="I76">
        <f t="shared" si="20"/>
        <v>52.125</v>
      </c>
      <c r="J76" s="34">
        <v>1</v>
      </c>
      <c r="K76" s="35" t="str">
        <f t="shared" si="17"/>
        <v>A01</v>
      </c>
      <c r="L76" s="35" t="str">
        <f t="shared" si="18"/>
        <v>Motor Typ 1</v>
      </c>
      <c r="M76" s="35">
        <f t="shared" si="19"/>
        <v>0.72</v>
      </c>
      <c r="N76" s="35">
        <f t="shared" si="21"/>
        <v>0.965277777777778</v>
      </c>
      <c r="O76" s="35">
        <f t="shared" si="22"/>
        <v>72.3958333333333</v>
      </c>
      <c r="P76" s="35">
        <f t="shared" si="23"/>
        <v>1.20659722222222</v>
      </c>
      <c r="Q76" s="36">
        <f t="shared" si="24"/>
        <v>46109.8333333333</v>
      </c>
      <c r="R76" s="35">
        <f ca="1">IFERROR(IF(G76&gt;Aufträge!$L$176,Aufträge!$N$176,VLOOKUP(Q76,Kalender,2,0)),"")</f>
        <v>45</v>
      </c>
      <c r="S76" s="35">
        <f t="shared" si="25"/>
        <v>36.7893518518519</v>
      </c>
      <c r="T76" s="37">
        <f ca="1" t="shared" si="26"/>
        <v>8.21064814814815</v>
      </c>
    </row>
    <row r="77" spans="2:20">
      <c r="B77" s="32" t="s">
        <v>165</v>
      </c>
      <c r="C77" t="s">
        <v>162</v>
      </c>
      <c r="D77">
        <v>443014920</v>
      </c>
      <c r="E77" t="s">
        <v>58</v>
      </c>
      <c r="F77">
        <v>40</v>
      </c>
      <c r="G77" s="33">
        <v>46109.8749999999</v>
      </c>
      <c r="H77">
        <f t="shared" si="16"/>
        <v>0.62</v>
      </c>
      <c r="I77">
        <f t="shared" si="20"/>
        <v>24.8</v>
      </c>
      <c r="J77" s="34">
        <v>4</v>
      </c>
      <c r="K77" s="35" t="str">
        <f t="shared" si="17"/>
        <v>A04</v>
      </c>
      <c r="L77" s="35" t="str">
        <f t="shared" si="18"/>
        <v>Motor Typ 4</v>
      </c>
      <c r="M77" s="35">
        <f t="shared" si="19"/>
        <v>0.735</v>
      </c>
      <c r="N77" s="35">
        <f t="shared" si="21"/>
        <v>0.843537414965986</v>
      </c>
      <c r="O77" s="35">
        <f t="shared" si="22"/>
        <v>33.7414965986395</v>
      </c>
      <c r="P77" s="35">
        <f t="shared" si="23"/>
        <v>0.562358276643991</v>
      </c>
      <c r="Q77" s="36">
        <f t="shared" si="24"/>
        <v>46109.875</v>
      </c>
      <c r="R77" s="35">
        <f ca="1">IFERROR(IF(G77&gt;Aufträge!$L$176,Aufträge!$N$176,VLOOKUP(Q77,Kalender,2,0)),"")</f>
        <v>46</v>
      </c>
      <c r="S77" s="35">
        <f t="shared" si="25"/>
        <v>23.4404761904762</v>
      </c>
      <c r="T77" s="37">
        <f ca="1" t="shared" si="26"/>
        <v>22.5595238095238</v>
      </c>
    </row>
    <row r="78" spans="2:20">
      <c r="B78" s="32" t="s">
        <v>166</v>
      </c>
      <c r="C78" t="s">
        <v>162</v>
      </c>
      <c r="D78">
        <v>675230220</v>
      </c>
      <c r="E78" t="s">
        <v>72</v>
      </c>
      <c r="F78">
        <v>65</v>
      </c>
      <c r="G78" s="33">
        <v>46109.9166666666</v>
      </c>
      <c r="H78">
        <f t="shared" si="16"/>
        <v>0.625</v>
      </c>
      <c r="I78">
        <f t="shared" si="20"/>
        <v>40.625</v>
      </c>
      <c r="J78" s="34">
        <v>4</v>
      </c>
      <c r="K78" s="35" t="str">
        <f t="shared" si="17"/>
        <v>A04</v>
      </c>
      <c r="L78" s="35" t="str">
        <f t="shared" si="18"/>
        <v>Motor Typ 4</v>
      </c>
      <c r="M78" s="35">
        <f t="shared" si="19"/>
        <v>0.735</v>
      </c>
      <c r="N78" s="35">
        <f t="shared" si="21"/>
        <v>0.850340136054422</v>
      </c>
      <c r="O78" s="35">
        <f t="shared" si="22"/>
        <v>55.2721088435374</v>
      </c>
      <c r="P78" s="35">
        <f t="shared" si="23"/>
        <v>0.921201814058957</v>
      </c>
      <c r="Q78" s="36">
        <f t="shared" si="24"/>
        <v>46109.9166666667</v>
      </c>
      <c r="R78" s="35">
        <f ca="1">IFERROR(IF(G78&gt;Aufträge!$L$176,Aufträge!$N$176,VLOOKUP(Q78,Kalender,2,0)),"")</f>
        <v>47</v>
      </c>
      <c r="S78" s="35">
        <f t="shared" si="25"/>
        <v>24.3616780045352</v>
      </c>
      <c r="T78" s="37">
        <f ca="1" t="shared" si="26"/>
        <v>22.6383219954648</v>
      </c>
    </row>
    <row r="79" spans="2:20">
      <c r="B79" s="32" t="s">
        <v>167</v>
      </c>
      <c r="C79" t="s">
        <v>162</v>
      </c>
      <c r="D79">
        <v>443014920</v>
      </c>
      <c r="E79" t="s">
        <v>58</v>
      </c>
      <c r="F79">
        <v>105</v>
      </c>
      <c r="G79" s="33">
        <v>46109.9583333333</v>
      </c>
      <c r="H79">
        <f t="shared" si="16"/>
        <v>0.62</v>
      </c>
      <c r="I79">
        <f t="shared" si="20"/>
        <v>65.1</v>
      </c>
      <c r="J79" s="34">
        <v>4</v>
      </c>
      <c r="K79" s="35" t="str">
        <f t="shared" si="17"/>
        <v>A04</v>
      </c>
      <c r="L79" s="35" t="str">
        <f t="shared" si="18"/>
        <v>Motor Typ 4</v>
      </c>
      <c r="M79" s="35">
        <f t="shared" si="19"/>
        <v>0.735</v>
      </c>
      <c r="N79" s="35">
        <f t="shared" si="21"/>
        <v>0.843537414965986</v>
      </c>
      <c r="O79" s="35">
        <f t="shared" si="22"/>
        <v>88.5714285714286</v>
      </c>
      <c r="P79" s="35">
        <f t="shared" si="23"/>
        <v>1.47619047619048</v>
      </c>
      <c r="Q79" s="36">
        <f t="shared" si="24"/>
        <v>46109.9583333333</v>
      </c>
      <c r="R79" s="35">
        <f ca="1">IFERROR(IF(G79&gt;Aufträge!$L$176,Aufträge!$N$176,VLOOKUP(Q79,Kalender,2,0)),"")</f>
        <v>48</v>
      </c>
      <c r="S79" s="35">
        <f t="shared" si="25"/>
        <v>25.8378684807256</v>
      </c>
      <c r="T79" s="37">
        <f ca="1" t="shared" si="26"/>
        <v>22.1621315192744</v>
      </c>
    </row>
    <row r="80" spans="2:20">
      <c r="B80" s="32" t="s">
        <v>168</v>
      </c>
      <c r="C80" t="s">
        <v>169</v>
      </c>
      <c r="D80">
        <v>545263102</v>
      </c>
      <c r="E80" t="s">
        <v>67</v>
      </c>
      <c r="F80">
        <v>230</v>
      </c>
      <c r="G80" s="33">
        <v>46110.0416666667</v>
      </c>
      <c r="H80">
        <f t="shared" si="16"/>
        <v>0.695</v>
      </c>
      <c r="I80">
        <f t="shared" si="20"/>
        <v>159.85</v>
      </c>
      <c r="J80" s="34">
        <v>4</v>
      </c>
      <c r="K80" s="35" t="str">
        <f t="shared" si="17"/>
        <v>A04</v>
      </c>
      <c r="L80" s="35" t="str">
        <f t="shared" si="18"/>
        <v>Motor Typ 4</v>
      </c>
      <c r="M80" s="35">
        <f t="shared" si="19"/>
        <v>0.735</v>
      </c>
      <c r="N80" s="35">
        <f t="shared" si="21"/>
        <v>0.945578231292517</v>
      </c>
      <c r="O80" s="35">
        <f t="shared" si="22"/>
        <v>217.482993197279</v>
      </c>
      <c r="P80" s="35">
        <f t="shared" si="23"/>
        <v>3.62471655328798</v>
      </c>
      <c r="Q80" s="36">
        <f t="shared" si="24"/>
        <v>46110.0416666667</v>
      </c>
      <c r="R80" s="35">
        <f ca="1">IFERROR(IF(G80&gt;Aufträge!$L$176,Aufträge!$N$176,VLOOKUP(Q80,Kalender,2,0)),"")</f>
        <v>48</v>
      </c>
      <c r="S80" s="35">
        <f t="shared" si="25"/>
        <v>29.4625850340136</v>
      </c>
      <c r="T80" s="37">
        <f ca="1" t="shared" si="26"/>
        <v>18.5374149659864</v>
      </c>
    </row>
    <row r="81" spans="2:20">
      <c r="B81" s="32" t="s">
        <v>170</v>
      </c>
      <c r="C81" t="s">
        <v>169</v>
      </c>
      <c r="D81">
        <v>545263102</v>
      </c>
      <c r="E81" t="s">
        <v>67</v>
      </c>
      <c r="F81">
        <v>40</v>
      </c>
      <c r="G81" s="33">
        <v>46110.0833333333</v>
      </c>
      <c r="H81">
        <f t="shared" si="16"/>
        <v>0.695</v>
      </c>
      <c r="I81">
        <f t="shared" si="20"/>
        <v>27.8</v>
      </c>
      <c r="J81" s="34">
        <v>4</v>
      </c>
      <c r="K81" s="35" t="str">
        <f t="shared" si="17"/>
        <v>A04</v>
      </c>
      <c r="L81" s="35" t="str">
        <f t="shared" si="18"/>
        <v>Motor Typ 4</v>
      </c>
      <c r="M81" s="35">
        <f t="shared" si="19"/>
        <v>0.735</v>
      </c>
      <c r="N81" s="35">
        <f t="shared" si="21"/>
        <v>0.945578231292517</v>
      </c>
      <c r="O81" s="35">
        <f t="shared" si="22"/>
        <v>37.8231292517007</v>
      </c>
      <c r="P81" s="35">
        <f t="shared" si="23"/>
        <v>0.630385487528345</v>
      </c>
      <c r="Q81" s="36">
        <f t="shared" si="24"/>
        <v>46110.0833333333</v>
      </c>
      <c r="R81" s="35">
        <f ca="1">IFERROR(IF(G81&gt;Aufträge!$L$176,Aufträge!$N$176,VLOOKUP(Q81,Kalender,2,0)),"")</f>
        <v>48</v>
      </c>
      <c r="S81" s="35">
        <f t="shared" si="25"/>
        <v>30.092970521542</v>
      </c>
      <c r="T81" s="37">
        <f ca="1" t="shared" si="26"/>
        <v>17.907029478458</v>
      </c>
    </row>
    <row r="82" spans="2:20">
      <c r="B82" s="32" t="s">
        <v>171</v>
      </c>
      <c r="C82" t="s">
        <v>169</v>
      </c>
      <c r="D82">
        <v>545263102</v>
      </c>
      <c r="E82" t="s">
        <v>67</v>
      </c>
      <c r="F82">
        <v>50</v>
      </c>
      <c r="G82" s="33">
        <v>46110.125</v>
      </c>
      <c r="H82">
        <f t="shared" si="16"/>
        <v>0.695</v>
      </c>
      <c r="I82">
        <f t="shared" si="20"/>
        <v>34.75</v>
      </c>
      <c r="J82" s="34">
        <v>4</v>
      </c>
      <c r="K82" s="35" t="str">
        <f t="shared" si="17"/>
        <v>A04</v>
      </c>
      <c r="L82" s="35" t="str">
        <f t="shared" si="18"/>
        <v>Motor Typ 4</v>
      </c>
      <c r="M82" s="35">
        <f t="shared" si="19"/>
        <v>0.735</v>
      </c>
      <c r="N82" s="35">
        <f t="shared" si="21"/>
        <v>0.945578231292517</v>
      </c>
      <c r="O82" s="35">
        <f t="shared" si="22"/>
        <v>47.2789115646259</v>
      </c>
      <c r="P82" s="35">
        <f t="shared" si="23"/>
        <v>0.787981859410431</v>
      </c>
      <c r="Q82" s="36">
        <f t="shared" si="24"/>
        <v>46110.125</v>
      </c>
      <c r="R82" s="35">
        <f ca="1">IFERROR(IF(G82&gt;Aufträge!$L$176,Aufträge!$N$176,VLOOKUP(Q82,Kalender,2,0)),"")</f>
        <v>48</v>
      </c>
      <c r="S82" s="35">
        <f t="shared" si="25"/>
        <v>30.8809523809524</v>
      </c>
      <c r="T82" s="37">
        <f ca="1" t="shared" si="26"/>
        <v>17.1190476190476</v>
      </c>
    </row>
    <row r="83" spans="2:20">
      <c r="B83" s="32" t="s">
        <v>172</v>
      </c>
      <c r="C83" t="s">
        <v>169</v>
      </c>
      <c r="D83">
        <v>545263102</v>
      </c>
      <c r="E83" t="s">
        <v>67</v>
      </c>
      <c r="F83">
        <v>55</v>
      </c>
      <c r="G83" s="33">
        <v>46110.1666666667</v>
      </c>
      <c r="H83">
        <f t="shared" si="16"/>
        <v>0.695</v>
      </c>
      <c r="I83">
        <f t="shared" si="20"/>
        <v>38.225</v>
      </c>
      <c r="J83" s="34">
        <v>5</v>
      </c>
      <c r="K83" s="35" t="str">
        <f t="shared" si="17"/>
        <v>A05</v>
      </c>
      <c r="L83" s="35" t="str">
        <f t="shared" si="18"/>
        <v>Motor Typ 5</v>
      </c>
      <c r="M83" s="35">
        <f t="shared" si="19"/>
        <v>0.795</v>
      </c>
      <c r="N83" s="35">
        <f t="shared" si="21"/>
        <v>0.874213836477987</v>
      </c>
      <c r="O83" s="35">
        <f t="shared" si="22"/>
        <v>48.0817610062893</v>
      </c>
      <c r="P83" s="35">
        <f t="shared" si="23"/>
        <v>0.801362683438155</v>
      </c>
      <c r="Q83" s="36">
        <f t="shared" si="24"/>
        <v>46110.1666666667</v>
      </c>
      <c r="R83" s="35">
        <f ca="1">IFERROR(IF(G83&gt;Aufträge!$L$176,Aufträge!$N$176,VLOOKUP(Q83,Kalender,2,0)),"")</f>
        <v>48</v>
      </c>
      <c r="S83" s="35">
        <f t="shared" si="25"/>
        <v>26.0235849056604</v>
      </c>
      <c r="T83" s="37">
        <f ca="1" t="shared" si="26"/>
        <v>21.9764150943396</v>
      </c>
    </row>
    <row r="84" spans="2:20">
      <c r="B84" s="32" t="s">
        <v>173</v>
      </c>
      <c r="C84" t="s">
        <v>169</v>
      </c>
      <c r="D84">
        <v>545263102</v>
      </c>
      <c r="E84" t="s">
        <v>67</v>
      </c>
      <c r="F84">
        <v>60</v>
      </c>
      <c r="G84" s="33">
        <v>46110.2083333333</v>
      </c>
      <c r="H84">
        <f t="shared" si="16"/>
        <v>0.695</v>
      </c>
      <c r="I84">
        <f t="shared" si="20"/>
        <v>41.7</v>
      </c>
      <c r="J84" s="34">
        <v>5</v>
      </c>
      <c r="K84" s="35" t="str">
        <f t="shared" si="17"/>
        <v>A05</v>
      </c>
      <c r="L84" s="35" t="str">
        <f t="shared" si="18"/>
        <v>Motor Typ 5</v>
      </c>
      <c r="M84" s="35">
        <f t="shared" si="19"/>
        <v>0.795</v>
      </c>
      <c r="N84" s="35">
        <f t="shared" si="21"/>
        <v>0.874213836477987</v>
      </c>
      <c r="O84" s="35">
        <f t="shared" si="22"/>
        <v>52.4528301886792</v>
      </c>
      <c r="P84" s="35">
        <f t="shared" si="23"/>
        <v>0.874213836477987</v>
      </c>
      <c r="Q84" s="36">
        <f t="shared" si="24"/>
        <v>46110.2083333333</v>
      </c>
      <c r="R84" s="35">
        <f ca="1">IFERROR(IF(G84&gt;Aufträge!$L$176,Aufträge!$N$176,VLOOKUP(Q84,Kalender,2,0)),"")</f>
        <v>48</v>
      </c>
      <c r="S84" s="35">
        <f t="shared" si="25"/>
        <v>26.8977987421384</v>
      </c>
      <c r="T84" s="37">
        <f ca="1" t="shared" si="26"/>
        <v>21.1022012578616</v>
      </c>
    </row>
    <row r="85" spans="2:20">
      <c r="B85" s="32" t="s">
        <v>174</v>
      </c>
      <c r="C85" t="s">
        <v>169</v>
      </c>
      <c r="D85">
        <v>545263102</v>
      </c>
      <c r="E85" t="s">
        <v>67</v>
      </c>
      <c r="F85">
        <v>65</v>
      </c>
      <c r="G85" s="33">
        <v>46110.25</v>
      </c>
      <c r="H85">
        <f t="shared" si="16"/>
        <v>0.695</v>
      </c>
      <c r="I85">
        <f t="shared" si="20"/>
        <v>45.175</v>
      </c>
      <c r="J85" s="34">
        <v>5</v>
      </c>
      <c r="K85" s="35" t="str">
        <f t="shared" si="17"/>
        <v>A05</v>
      </c>
      <c r="L85" s="35" t="str">
        <f t="shared" si="18"/>
        <v>Motor Typ 5</v>
      </c>
      <c r="M85" s="35">
        <f t="shared" si="19"/>
        <v>0.795</v>
      </c>
      <c r="N85" s="35">
        <f t="shared" si="21"/>
        <v>0.874213836477987</v>
      </c>
      <c r="O85" s="35">
        <f t="shared" si="22"/>
        <v>56.8238993710692</v>
      </c>
      <c r="P85" s="35">
        <f t="shared" si="23"/>
        <v>0.94706498951782</v>
      </c>
      <c r="Q85" s="36">
        <f t="shared" si="24"/>
        <v>46110.25</v>
      </c>
      <c r="R85" s="35">
        <f ca="1">IFERROR(IF(G85&gt;Aufträge!$L$176,Aufträge!$N$176,VLOOKUP(Q85,Kalender,2,0)),"")</f>
        <v>49</v>
      </c>
      <c r="S85" s="35">
        <f t="shared" si="25"/>
        <v>27.8448637316562</v>
      </c>
      <c r="T85" s="37">
        <f ca="1" t="shared" si="26"/>
        <v>21.1551362683438</v>
      </c>
    </row>
    <row r="86" spans="2:20">
      <c r="B86" s="32" t="s">
        <v>175</v>
      </c>
      <c r="C86" t="s">
        <v>169</v>
      </c>
      <c r="D86">
        <v>545263102</v>
      </c>
      <c r="E86" t="s">
        <v>67</v>
      </c>
      <c r="F86">
        <v>95</v>
      </c>
      <c r="G86" s="33">
        <v>46110.2916666666</v>
      </c>
      <c r="H86">
        <f t="shared" si="16"/>
        <v>0.695</v>
      </c>
      <c r="I86">
        <f t="shared" si="20"/>
        <v>66.025</v>
      </c>
      <c r="J86" s="34">
        <v>5</v>
      </c>
      <c r="K86" s="35" t="str">
        <f>IFERROR(VLOOKUP(J86,APE,2,0),"")</f>
        <v>A05</v>
      </c>
      <c r="L86" s="35" t="str">
        <f t="shared" si="18"/>
        <v>Motor Typ 5</v>
      </c>
      <c r="M86" s="35">
        <f t="shared" si="19"/>
        <v>0.795</v>
      </c>
      <c r="N86" s="35">
        <f t="shared" si="21"/>
        <v>0.874213836477987</v>
      </c>
      <c r="O86" s="35">
        <f t="shared" si="22"/>
        <v>83.0503144654088</v>
      </c>
      <c r="P86" s="35">
        <f t="shared" si="23"/>
        <v>1.38417190775681</v>
      </c>
      <c r="Q86" s="36">
        <f t="shared" si="24"/>
        <v>46110.2916666667</v>
      </c>
      <c r="R86" s="35">
        <f ca="1">IFERROR(IF(G86&gt;Aufträge!$L$176,Aufträge!$N$176,VLOOKUP(Q86,Kalender,2,0)),"")</f>
        <v>50</v>
      </c>
      <c r="S86" s="35">
        <f t="shared" si="25"/>
        <v>29.229035639413</v>
      </c>
      <c r="T86" s="37">
        <f ca="1" t="shared" si="26"/>
        <v>20.770964360587</v>
      </c>
    </row>
    <row r="87" spans="2:20">
      <c r="B87" s="32" t="s">
        <v>176</v>
      </c>
      <c r="C87" t="s">
        <v>177</v>
      </c>
      <c r="D87">
        <v>545263102</v>
      </c>
      <c r="E87" t="s">
        <v>67</v>
      </c>
      <c r="F87">
        <v>15</v>
      </c>
      <c r="G87" s="33">
        <v>46110.3124999999</v>
      </c>
      <c r="H87">
        <f t="shared" si="16"/>
        <v>0.695</v>
      </c>
      <c r="I87">
        <f t="shared" si="20"/>
        <v>10.425</v>
      </c>
      <c r="J87" s="34">
        <v>3</v>
      </c>
      <c r="K87" s="35" t="str">
        <f t="shared" si="17"/>
        <v>A03</v>
      </c>
      <c r="L87" s="35" t="str">
        <f t="shared" si="18"/>
        <v>Motor Typ 3</v>
      </c>
      <c r="M87" s="35">
        <f t="shared" si="19"/>
        <v>0.85</v>
      </c>
      <c r="N87" s="35">
        <f t="shared" si="21"/>
        <v>0.817647058823529</v>
      </c>
      <c r="O87" s="35">
        <f t="shared" si="22"/>
        <v>12.2647058823529</v>
      </c>
      <c r="P87" s="35">
        <f t="shared" si="23"/>
        <v>0.204411764705882</v>
      </c>
      <c r="Q87" s="36">
        <f t="shared" si="24"/>
        <v>46110.2916666667</v>
      </c>
      <c r="R87" s="35">
        <f ca="1">IFERROR(IF(G87&gt;Aufträge!$L$176,Aufträge!$N$176,VLOOKUP(Q87,Kalender,2,0)),"")</f>
        <v>50</v>
      </c>
      <c r="S87" s="35">
        <f t="shared" si="25"/>
        <v>25.5460784313725</v>
      </c>
      <c r="T87" s="37">
        <f ca="1" t="shared" si="26"/>
        <v>24.4539215686275</v>
      </c>
    </row>
    <row r="88" spans="2:20">
      <c r="B88" s="32" t="s">
        <v>178</v>
      </c>
      <c r="C88" t="s">
        <v>179</v>
      </c>
      <c r="D88">
        <v>402570130</v>
      </c>
      <c r="E88" t="s">
        <v>54</v>
      </c>
      <c r="F88">
        <v>280</v>
      </c>
      <c r="G88" s="33">
        <v>46110.375</v>
      </c>
      <c r="H88">
        <f t="shared" si="16"/>
        <v>0.605</v>
      </c>
      <c r="I88">
        <f t="shared" si="20"/>
        <v>169.4</v>
      </c>
      <c r="J88" s="34">
        <v>3</v>
      </c>
      <c r="K88" s="35" t="str">
        <f t="shared" si="17"/>
        <v>A03</v>
      </c>
      <c r="L88" s="35" t="str">
        <f t="shared" si="18"/>
        <v>Motor Typ 3</v>
      </c>
      <c r="M88" s="35">
        <f t="shared" si="19"/>
        <v>0.85</v>
      </c>
      <c r="N88" s="35">
        <f t="shared" si="21"/>
        <v>0.711764705882353</v>
      </c>
      <c r="O88" s="35">
        <f t="shared" si="22"/>
        <v>199.294117647059</v>
      </c>
      <c r="P88" s="35">
        <f t="shared" si="23"/>
        <v>3.32156862745098</v>
      </c>
      <c r="Q88" s="36">
        <f t="shared" si="24"/>
        <v>46110.375</v>
      </c>
      <c r="R88" s="35">
        <f ca="1">IFERROR(IF(G88&gt;Aufträge!$L$176,Aufträge!$N$176,VLOOKUP(Q88,Kalender,2,0)),"")</f>
        <v>52</v>
      </c>
      <c r="S88" s="35">
        <f t="shared" si="25"/>
        <v>28.8676470588235</v>
      </c>
      <c r="T88" s="37">
        <f ca="1" t="shared" si="26"/>
        <v>23.1323529411765</v>
      </c>
    </row>
    <row r="89" spans="2:20">
      <c r="B89" s="32" t="s">
        <v>180</v>
      </c>
      <c r="C89" t="s">
        <v>179</v>
      </c>
      <c r="D89">
        <v>520310473</v>
      </c>
      <c r="E89" t="s">
        <v>62</v>
      </c>
      <c r="F89">
        <v>160</v>
      </c>
      <c r="G89" s="33">
        <v>46110.4166666666</v>
      </c>
      <c r="H89">
        <f t="shared" si="16"/>
        <v>0.625</v>
      </c>
      <c r="I89">
        <f t="shared" si="20"/>
        <v>100</v>
      </c>
      <c r="J89" s="34">
        <v>1</v>
      </c>
      <c r="K89" s="35" t="str">
        <f t="shared" si="17"/>
        <v>A01</v>
      </c>
      <c r="L89" s="35" t="str">
        <f t="shared" si="18"/>
        <v>Motor Typ 1</v>
      </c>
      <c r="M89" s="35">
        <f t="shared" si="19"/>
        <v>0.72</v>
      </c>
      <c r="N89" s="35">
        <f t="shared" si="21"/>
        <v>0.868055555555556</v>
      </c>
      <c r="O89" s="35">
        <f t="shared" si="22"/>
        <v>138.888888888889</v>
      </c>
      <c r="P89" s="35">
        <f t="shared" si="23"/>
        <v>2.31481481481481</v>
      </c>
      <c r="Q89" s="36">
        <f t="shared" si="24"/>
        <v>46110.4166666667</v>
      </c>
      <c r="R89" s="35">
        <f ca="1">IFERROR(IF(G89&gt;Aufträge!$L$176,Aufträge!$N$176,VLOOKUP(Q89,Kalender,2,0)),"")</f>
        <v>53</v>
      </c>
      <c r="S89" s="35">
        <f t="shared" si="25"/>
        <v>39.1041666666667</v>
      </c>
      <c r="T89" s="37">
        <f ca="1" t="shared" si="26"/>
        <v>13.8958333333333</v>
      </c>
    </row>
    <row r="90" spans="2:20">
      <c r="B90" s="32" t="s">
        <v>181</v>
      </c>
      <c r="C90" t="s">
        <v>179</v>
      </c>
      <c r="D90">
        <v>453201483</v>
      </c>
      <c r="E90" t="s">
        <v>60</v>
      </c>
      <c r="F90">
        <v>155</v>
      </c>
      <c r="G90" s="33">
        <v>46110.4583333333</v>
      </c>
      <c r="H90">
        <f t="shared" si="16"/>
        <v>0.65</v>
      </c>
      <c r="I90">
        <f t="shared" si="20"/>
        <v>100.75</v>
      </c>
      <c r="J90" s="34">
        <v>3</v>
      </c>
      <c r="K90" s="35" t="str">
        <f t="shared" si="17"/>
        <v>A03</v>
      </c>
      <c r="L90" s="35" t="str">
        <f t="shared" si="18"/>
        <v>Motor Typ 3</v>
      </c>
      <c r="M90" s="35">
        <f t="shared" si="19"/>
        <v>0.85</v>
      </c>
      <c r="N90" s="35">
        <f t="shared" si="21"/>
        <v>0.764705882352941</v>
      </c>
      <c r="O90" s="35">
        <f t="shared" si="22"/>
        <v>118.529411764706</v>
      </c>
      <c r="P90" s="35">
        <f t="shared" si="23"/>
        <v>1.97549019607843</v>
      </c>
      <c r="Q90" s="36">
        <f t="shared" si="24"/>
        <v>46110.4583333333</v>
      </c>
      <c r="R90" s="35">
        <f ca="1">IFERROR(IF(G90&gt;Aufträge!$L$176,Aufträge!$N$176,VLOOKUP(Q90,Kalender,2,0)),"")</f>
        <v>54</v>
      </c>
      <c r="S90" s="35">
        <f t="shared" si="25"/>
        <v>30.843137254902</v>
      </c>
      <c r="T90" s="37">
        <f ca="1" t="shared" si="26"/>
        <v>23.156862745098</v>
      </c>
    </row>
    <row r="91" spans="2:20">
      <c r="B91" s="32" t="s">
        <v>182</v>
      </c>
      <c r="C91" t="s">
        <v>179</v>
      </c>
      <c r="D91">
        <v>520310473</v>
      </c>
      <c r="E91" t="s">
        <v>62</v>
      </c>
      <c r="F91">
        <v>115</v>
      </c>
      <c r="G91" s="33">
        <v>46110.5</v>
      </c>
      <c r="H91">
        <f t="shared" si="16"/>
        <v>0.625</v>
      </c>
      <c r="I91">
        <f t="shared" si="20"/>
        <v>71.875</v>
      </c>
      <c r="J91" s="34">
        <v>3</v>
      </c>
      <c r="K91" s="35" t="str">
        <f t="shared" si="17"/>
        <v>A03</v>
      </c>
      <c r="L91" s="35" t="str">
        <f t="shared" si="18"/>
        <v>Motor Typ 3</v>
      </c>
      <c r="M91" s="35">
        <f t="shared" si="19"/>
        <v>0.85</v>
      </c>
      <c r="N91" s="35">
        <f t="shared" si="21"/>
        <v>0.735294117647059</v>
      </c>
      <c r="O91" s="35">
        <f t="shared" si="22"/>
        <v>84.5588235294118</v>
      </c>
      <c r="P91" s="35">
        <f t="shared" si="23"/>
        <v>1.4093137254902</v>
      </c>
      <c r="Q91" s="36">
        <f t="shared" si="24"/>
        <v>46110.5</v>
      </c>
      <c r="R91" s="35">
        <f ca="1">IFERROR(IF(G91&gt;Aufträge!$L$176,Aufträge!$N$176,VLOOKUP(Q91,Kalender,2,0)),"")</f>
        <v>55</v>
      </c>
      <c r="S91" s="35">
        <f t="shared" si="25"/>
        <v>32.2524509803922</v>
      </c>
      <c r="T91" s="37">
        <f ca="1" t="shared" si="26"/>
        <v>22.7475490196078</v>
      </c>
    </row>
    <row r="92" spans="2:20">
      <c r="B92" s="32" t="s">
        <v>183</v>
      </c>
      <c r="C92" t="s">
        <v>179</v>
      </c>
      <c r="D92">
        <v>453201483</v>
      </c>
      <c r="E92" t="s">
        <v>60</v>
      </c>
      <c r="F92">
        <v>170</v>
      </c>
      <c r="G92" s="33">
        <v>46110.5416666666</v>
      </c>
      <c r="H92">
        <f t="shared" si="16"/>
        <v>0.65</v>
      </c>
      <c r="I92">
        <f t="shared" si="20"/>
        <v>110.5</v>
      </c>
      <c r="J92" s="34">
        <v>2</v>
      </c>
      <c r="K92" s="35" t="str">
        <f t="shared" si="17"/>
        <v>A02</v>
      </c>
      <c r="L92" s="35" t="str">
        <f t="shared" si="18"/>
        <v>Motor Typ 2</v>
      </c>
      <c r="M92" s="35">
        <f t="shared" si="19"/>
        <v>0.71</v>
      </c>
      <c r="N92" s="35">
        <f t="shared" si="21"/>
        <v>0.915492957746479</v>
      </c>
      <c r="O92" s="35">
        <f t="shared" si="22"/>
        <v>155.633802816901</v>
      </c>
      <c r="P92" s="35">
        <f t="shared" si="23"/>
        <v>2.59389671361502</v>
      </c>
      <c r="Q92" s="36">
        <f t="shared" si="24"/>
        <v>46110.5416666667</v>
      </c>
      <c r="R92" s="35">
        <f ca="1">IFERROR(IF(G92&gt;Aufträge!$L$176,Aufträge!$N$176,VLOOKUP(Q92,Kalender,2,0)),"")</f>
        <v>56</v>
      </c>
      <c r="S92" s="35">
        <f t="shared" si="25"/>
        <v>30.1643192488263</v>
      </c>
      <c r="T92" s="37">
        <f ca="1" t="shared" si="26"/>
        <v>25.8356807511737</v>
      </c>
    </row>
    <row r="93" spans="2:20">
      <c r="B93" s="32" t="s">
        <v>184</v>
      </c>
      <c r="C93" t="s">
        <v>179</v>
      </c>
      <c r="D93">
        <v>443014920</v>
      </c>
      <c r="E93" t="s">
        <v>58</v>
      </c>
      <c r="F93">
        <v>180</v>
      </c>
      <c r="G93" s="33">
        <v>46110.5833333333</v>
      </c>
      <c r="H93">
        <f t="shared" si="16"/>
        <v>0.62</v>
      </c>
      <c r="I93">
        <f t="shared" si="20"/>
        <v>111.6</v>
      </c>
      <c r="J93" s="34">
        <v>2</v>
      </c>
      <c r="K93" s="35" t="str">
        <f t="shared" si="17"/>
        <v>A02</v>
      </c>
      <c r="L93" s="35" t="str">
        <f t="shared" si="18"/>
        <v>Motor Typ 2</v>
      </c>
      <c r="M93" s="35">
        <f t="shared" si="19"/>
        <v>0.71</v>
      </c>
      <c r="N93" s="35">
        <f t="shared" si="21"/>
        <v>0.873239436619718</v>
      </c>
      <c r="O93" s="35">
        <f t="shared" si="22"/>
        <v>157.183098591549</v>
      </c>
      <c r="P93" s="35">
        <f t="shared" si="23"/>
        <v>2.61971830985915</v>
      </c>
      <c r="Q93" s="36">
        <f t="shared" si="24"/>
        <v>46110.5833333333</v>
      </c>
      <c r="R93" s="35">
        <f ca="1">IFERROR(IF(G93&gt;Aufträge!$L$176,Aufträge!$N$176,VLOOKUP(Q93,Kalender,2,0)),"")</f>
        <v>57</v>
      </c>
      <c r="S93" s="35">
        <f t="shared" si="25"/>
        <v>32.7840375586854</v>
      </c>
      <c r="T93" s="37">
        <f ca="1" t="shared" si="26"/>
        <v>24.2159624413146</v>
      </c>
    </row>
    <row r="94" spans="2:20">
      <c r="B94" s="32" t="s">
        <v>185</v>
      </c>
      <c r="C94" t="s">
        <v>179</v>
      </c>
      <c r="D94">
        <v>545263102</v>
      </c>
      <c r="E94" t="s">
        <v>67</v>
      </c>
      <c r="F94">
        <v>155</v>
      </c>
      <c r="G94" s="33">
        <v>46110.6666666666</v>
      </c>
      <c r="H94">
        <f t="shared" si="16"/>
        <v>0.695</v>
      </c>
      <c r="I94">
        <f t="shared" si="20"/>
        <v>107.725</v>
      </c>
      <c r="J94" s="34">
        <v>2</v>
      </c>
      <c r="K94" s="35" t="str">
        <f t="shared" si="17"/>
        <v>A02</v>
      </c>
      <c r="L94" s="35" t="str">
        <f t="shared" si="18"/>
        <v>Motor Typ 2</v>
      </c>
      <c r="M94" s="35">
        <f t="shared" si="19"/>
        <v>0.71</v>
      </c>
      <c r="N94" s="35">
        <f t="shared" si="21"/>
        <v>0.97887323943662</v>
      </c>
      <c r="O94" s="35">
        <f t="shared" si="22"/>
        <v>151.725352112676</v>
      </c>
      <c r="P94" s="35">
        <f t="shared" si="23"/>
        <v>2.5287558685446</v>
      </c>
      <c r="Q94" s="36">
        <f t="shared" si="24"/>
        <v>46110.6666666667</v>
      </c>
      <c r="R94" s="35">
        <f ca="1">IFERROR(IF(G94&gt;Aufträge!$L$176,Aufträge!$N$176,VLOOKUP(Q94,Kalender,2,0)),"")</f>
        <v>59</v>
      </c>
      <c r="S94" s="35">
        <f t="shared" si="25"/>
        <v>35.31279342723</v>
      </c>
      <c r="T94" s="37">
        <f ca="1" t="shared" si="26"/>
        <v>23.68720657277</v>
      </c>
    </row>
    <row r="95" spans="2:20">
      <c r="B95" s="32" t="s">
        <v>186</v>
      </c>
      <c r="C95" t="s">
        <v>187</v>
      </c>
      <c r="D95">
        <v>715240360</v>
      </c>
      <c r="E95" t="s">
        <v>76</v>
      </c>
      <c r="F95">
        <v>150</v>
      </c>
      <c r="G95" s="33">
        <v>46110.7083333333</v>
      </c>
      <c r="H95">
        <f t="shared" si="16"/>
        <v>0.675</v>
      </c>
      <c r="I95">
        <f t="shared" si="20"/>
        <v>101.25</v>
      </c>
      <c r="J95" s="34">
        <v>2</v>
      </c>
      <c r="K95" s="35" t="str">
        <f t="shared" si="17"/>
        <v>A02</v>
      </c>
      <c r="L95" s="35" t="str">
        <f t="shared" si="18"/>
        <v>Motor Typ 2</v>
      </c>
      <c r="M95" s="35">
        <f t="shared" si="19"/>
        <v>0.71</v>
      </c>
      <c r="N95" s="35">
        <f t="shared" si="21"/>
        <v>0.950704225352113</v>
      </c>
      <c r="O95" s="35">
        <f t="shared" si="22"/>
        <v>142.605633802817</v>
      </c>
      <c r="P95" s="35">
        <f t="shared" si="23"/>
        <v>2.37676056338028</v>
      </c>
      <c r="Q95" s="36">
        <f t="shared" si="24"/>
        <v>46110.7083333333</v>
      </c>
      <c r="R95" s="35">
        <f ca="1">IFERROR(IF(G95&gt;Aufträge!$L$176,Aufträge!$N$176,VLOOKUP(Q95,Kalender,2,0)),"")</f>
        <v>60</v>
      </c>
      <c r="S95" s="35">
        <f t="shared" si="25"/>
        <v>37.6895539906103</v>
      </c>
      <c r="T95" s="37">
        <f ca="1" t="shared" si="26"/>
        <v>22.3104460093897</v>
      </c>
    </row>
    <row r="96" spans="2:20">
      <c r="B96" s="32" t="s">
        <v>188</v>
      </c>
      <c r="C96" t="s">
        <v>187</v>
      </c>
      <c r="D96">
        <v>402570130</v>
      </c>
      <c r="E96" t="s">
        <v>54</v>
      </c>
      <c r="F96">
        <v>180</v>
      </c>
      <c r="G96" s="33">
        <v>46110.7145833333</v>
      </c>
      <c r="H96">
        <f t="shared" si="16"/>
        <v>0.605</v>
      </c>
      <c r="I96">
        <f t="shared" si="20"/>
        <v>108.9</v>
      </c>
      <c r="J96" s="34">
        <v>5</v>
      </c>
      <c r="K96" s="35" t="str">
        <f t="shared" si="17"/>
        <v>A05</v>
      </c>
      <c r="L96" s="35" t="str">
        <f t="shared" si="18"/>
        <v>Motor Typ 5</v>
      </c>
      <c r="M96" s="35">
        <f t="shared" si="19"/>
        <v>0.795</v>
      </c>
      <c r="N96" s="35">
        <f t="shared" si="21"/>
        <v>0.761006289308176</v>
      </c>
      <c r="O96" s="35">
        <f t="shared" si="22"/>
        <v>136.981132075472</v>
      </c>
      <c r="P96" s="35">
        <f t="shared" si="23"/>
        <v>2.28301886792453</v>
      </c>
      <c r="Q96" s="36">
        <f t="shared" si="24"/>
        <v>46110.7083333333</v>
      </c>
      <c r="R96" s="35">
        <f ca="1">IFERROR(IF(G96&gt;Aufträge!$L$176,Aufträge!$N$176,VLOOKUP(Q96,Kalender,2,0)),"")</f>
        <v>60</v>
      </c>
      <c r="S96" s="35">
        <f t="shared" si="25"/>
        <v>31.5120545073375</v>
      </c>
      <c r="T96" s="37">
        <f ca="1" t="shared" si="26"/>
        <v>28.4879454926625</v>
      </c>
    </row>
    <row r="97" spans="2:20">
      <c r="B97" s="32" t="s">
        <v>189</v>
      </c>
      <c r="C97" t="s">
        <v>187</v>
      </c>
      <c r="D97">
        <v>520310473</v>
      </c>
      <c r="E97" t="s">
        <v>62</v>
      </c>
      <c r="F97">
        <v>140</v>
      </c>
      <c r="G97" s="33">
        <v>46110.75</v>
      </c>
      <c r="H97">
        <f t="shared" si="16"/>
        <v>0.625</v>
      </c>
      <c r="I97">
        <f t="shared" si="20"/>
        <v>87.5</v>
      </c>
      <c r="J97" s="34">
        <v>5</v>
      </c>
      <c r="K97" s="35" t="str">
        <f t="shared" si="17"/>
        <v>A05</v>
      </c>
      <c r="L97" s="35" t="str">
        <f t="shared" si="18"/>
        <v>Motor Typ 5</v>
      </c>
      <c r="M97" s="35">
        <f t="shared" si="19"/>
        <v>0.795</v>
      </c>
      <c r="N97" s="35">
        <f t="shared" si="21"/>
        <v>0.786163522012579</v>
      </c>
      <c r="O97" s="35">
        <f t="shared" si="22"/>
        <v>110.062893081761</v>
      </c>
      <c r="P97" s="35">
        <f t="shared" si="23"/>
        <v>1.83438155136268</v>
      </c>
      <c r="Q97" s="36">
        <f t="shared" si="24"/>
        <v>46110.75</v>
      </c>
      <c r="R97" s="35">
        <f ca="1">IFERROR(IF(G97&gt;Aufträge!$L$176,Aufträge!$N$176,VLOOKUP(Q97,Kalender,2,0)),"")</f>
        <v>61</v>
      </c>
      <c r="S97" s="35">
        <f t="shared" si="25"/>
        <v>33.3464360587002</v>
      </c>
      <c r="T97" s="37">
        <f ca="1" t="shared" si="26"/>
        <v>27.6535639412998</v>
      </c>
    </row>
    <row r="98" spans="2:20">
      <c r="B98" s="32" t="s">
        <v>190</v>
      </c>
      <c r="C98" t="s">
        <v>187</v>
      </c>
      <c r="D98">
        <v>715240360</v>
      </c>
      <c r="E98" t="s">
        <v>76</v>
      </c>
      <c r="F98">
        <v>160</v>
      </c>
      <c r="G98" s="33">
        <v>46110.7916666666</v>
      </c>
      <c r="H98">
        <f t="shared" si="16"/>
        <v>0.675</v>
      </c>
      <c r="I98">
        <f t="shared" si="20"/>
        <v>108</v>
      </c>
      <c r="J98" s="34">
        <v>5</v>
      </c>
      <c r="K98" s="35" t="str">
        <f t="shared" si="17"/>
        <v>A05</v>
      </c>
      <c r="L98" s="35" t="str">
        <f t="shared" si="18"/>
        <v>Motor Typ 5</v>
      </c>
      <c r="M98" s="35">
        <f t="shared" si="19"/>
        <v>0.795</v>
      </c>
      <c r="N98" s="35">
        <f t="shared" si="21"/>
        <v>0.849056603773585</v>
      </c>
      <c r="O98" s="35">
        <f t="shared" si="22"/>
        <v>135.849056603774</v>
      </c>
      <c r="P98" s="35">
        <f t="shared" si="23"/>
        <v>2.26415094339623</v>
      </c>
      <c r="Q98" s="36">
        <f t="shared" si="24"/>
        <v>46110.7916666667</v>
      </c>
      <c r="R98" s="35">
        <f ca="1">IFERROR(IF(G98&gt;Aufträge!$L$176,Aufträge!$N$176,VLOOKUP(Q98,Kalender,2,0)),"")</f>
        <v>62</v>
      </c>
      <c r="S98" s="35">
        <f t="shared" si="25"/>
        <v>35.6105870020964</v>
      </c>
      <c r="T98" s="37">
        <f ca="1" t="shared" si="26"/>
        <v>26.3894129979036</v>
      </c>
    </row>
    <row r="99" spans="2:20">
      <c r="B99" s="32" t="s">
        <v>191</v>
      </c>
      <c r="C99" t="s">
        <v>187</v>
      </c>
      <c r="D99">
        <v>675230220</v>
      </c>
      <c r="E99" t="s">
        <v>72</v>
      </c>
      <c r="F99">
        <v>190</v>
      </c>
      <c r="G99" s="33">
        <v>46110.8749999999</v>
      </c>
      <c r="H99">
        <f t="shared" si="16"/>
        <v>0.625</v>
      </c>
      <c r="I99">
        <f t="shared" si="20"/>
        <v>118.75</v>
      </c>
      <c r="J99" s="34">
        <v>5</v>
      </c>
      <c r="K99" s="35" t="str">
        <f t="shared" si="17"/>
        <v>A05</v>
      </c>
      <c r="L99" s="35" t="str">
        <f t="shared" si="18"/>
        <v>Motor Typ 5</v>
      </c>
      <c r="M99" s="35">
        <f t="shared" si="19"/>
        <v>0.795</v>
      </c>
      <c r="N99" s="35">
        <f t="shared" si="21"/>
        <v>0.786163522012579</v>
      </c>
      <c r="O99" s="35">
        <f t="shared" si="22"/>
        <v>149.37106918239</v>
      </c>
      <c r="P99" s="35">
        <f t="shared" si="23"/>
        <v>2.4895178197065</v>
      </c>
      <c r="Q99" s="36">
        <f t="shared" si="24"/>
        <v>46110.875</v>
      </c>
      <c r="R99" s="35">
        <f ca="1">IFERROR(IF(G99&gt;Aufträge!$L$176,Aufträge!$N$176,VLOOKUP(Q99,Kalender,2,0)),"")</f>
        <v>64</v>
      </c>
      <c r="S99" s="35">
        <f t="shared" si="25"/>
        <v>38.1001048218029</v>
      </c>
      <c r="T99" s="37">
        <f ca="1" t="shared" si="26"/>
        <v>25.8998951781971</v>
      </c>
    </row>
    <row r="100" spans="2:20">
      <c r="B100" s="32" t="s">
        <v>192</v>
      </c>
      <c r="C100" t="s">
        <v>187</v>
      </c>
      <c r="D100">
        <v>635241018</v>
      </c>
      <c r="E100" t="s">
        <v>69</v>
      </c>
      <c r="F100">
        <v>140</v>
      </c>
      <c r="G100" s="33">
        <v>46110.9166666666</v>
      </c>
      <c r="H100">
        <f t="shared" si="16"/>
        <v>0.63</v>
      </c>
      <c r="I100">
        <f t="shared" si="20"/>
        <v>88.2</v>
      </c>
      <c r="J100" s="34">
        <v>4</v>
      </c>
      <c r="K100" s="35" t="str">
        <f t="shared" si="17"/>
        <v>A04</v>
      </c>
      <c r="L100" s="35" t="str">
        <f t="shared" si="18"/>
        <v>Motor Typ 4</v>
      </c>
      <c r="M100" s="35">
        <f t="shared" si="19"/>
        <v>0.735</v>
      </c>
      <c r="N100" s="35">
        <f t="shared" si="21"/>
        <v>0.857142857142857</v>
      </c>
      <c r="O100" s="35">
        <f t="shared" si="22"/>
        <v>120</v>
      </c>
      <c r="P100" s="35">
        <f t="shared" si="23"/>
        <v>2</v>
      </c>
      <c r="Q100" s="36">
        <f t="shared" si="24"/>
        <v>46110.9166666667</v>
      </c>
      <c r="R100" s="35">
        <f ca="1">IFERROR(IF(G100&gt;Aufträge!$L$176,Aufträge!$N$176,VLOOKUP(Q100,Kalender,2,0)),"")</f>
        <v>64</v>
      </c>
      <c r="S100" s="35">
        <f t="shared" si="25"/>
        <v>32.8809523809524</v>
      </c>
      <c r="T100" s="37">
        <f ca="1" t="shared" si="26"/>
        <v>31.1190476190476</v>
      </c>
    </row>
    <row r="101" spans="2:20">
      <c r="B101" s="32" t="s">
        <v>193</v>
      </c>
      <c r="C101" t="s">
        <v>187</v>
      </c>
      <c r="D101">
        <v>443014920</v>
      </c>
      <c r="E101" t="s">
        <v>58</v>
      </c>
      <c r="F101">
        <v>185</v>
      </c>
      <c r="G101" s="33">
        <v>46110.9583333333</v>
      </c>
      <c r="H101">
        <f t="shared" si="16"/>
        <v>0.62</v>
      </c>
      <c r="I101">
        <f t="shared" si="20"/>
        <v>114.7</v>
      </c>
      <c r="J101" s="34">
        <v>4</v>
      </c>
      <c r="K101" s="35" t="str">
        <f t="shared" si="17"/>
        <v>A04</v>
      </c>
      <c r="L101" s="35" t="str">
        <f t="shared" si="18"/>
        <v>Motor Typ 4</v>
      </c>
      <c r="M101" s="35">
        <f t="shared" si="19"/>
        <v>0.735</v>
      </c>
      <c r="N101" s="35">
        <f t="shared" si="21"/>
        <v>0.843537414965986</v>
      </c>
      <c r="O101" s="35">
        <f t="shared" si="22"/>
        <v>156.054421768707</v>
      </c>
      <c r="P101" s="35">
        <f t="shared" si="23"/>
        <v>2.60090702947846</v>
      </c>
      <c r="Q101" s="36">
        <f t="shared" si="24"/>
        <v>46110.9583333333</v>
      </c>
      <c r="R101" s="35">
        <f ca="1">IFERROR(IF(G101&gt;Aufträge!$L$176,Aufträge!$N$176,VLOOKUP(Q101,Kalender,2,0)),"")</f>
        <v>64</v>
      </c>
      <c r="S101" s="35">
        <f t="shared" si="25"/>
        <v>35.4818594104308</v>
      </c>
      <c r="T101" s="37">
        <f ca="1" t="shared" si="26"/>
        <v>28.5181405895692</v>
      </c>
    </row>
    <row r="102" spans="2:20">
      <c r="B102" s="32" t="s">
        <v>194</v>
      </c>
      <c r="C102" t="s">
        <v>187</v>
      </c>
      <c r="D102">
        <v>675230220</v>
      </c>
      <c r="E102" t="s">
        <v>72</v>
      </c>
      <c r="F102">
        <v>145</v>
      </c>
      <c r="G102" s="33">
        <v>46111</v>
      </c>
      <c r="H102">
        <f t="shared" si="16"/>
        <v>0.625</v>
      </c>
      <c r="I102">
        <f t="shared" si="20"/>
        <v>90.625</v>
      </c>
      <c r="J102" s="34">
        <v>4</v>
      </c>
      <c r="K102" s="35" t="str">
        <f t="shared" si="17"/>
        <v>A04</v>
      </c>
      <c r="L102" s="35" t="str">
        <f t="shared" si="18"/>
        <v>Motor Typ 4</v>
      </c>
      <c r="M102" s="35">
        <f t="shared" si="19"/>
        <v>0.735</v>
      </c>
      <c r="N102" s="35">
        <f t="shared" si="21"/>
        <v>0.850340136054422</v>
      </c>
      <c r="O102" s="35">
        <f t="shared" si="22"/>
        <v>123.299319727891</v>
      </c>
      <c r="P102" s="35">
        <f t="shared" si="23"/>
        <v>2.05498866213152</v>
      </c>
      <c r="Q102" s="36">
        <f t="shared" si="24"/>
        <v>46111</v>
      </c>
      <c r="R102" s="35">
        <f ca="1">IFERROR(IF(G102&gt;Aufträge!$L$176,Aufträge!$N$176,VLOOKUP(Q102,Kalender,2,0)),"")</f>
        <v>65</v>
      </c>
      <c r="S102" s="35">
        <f t="shared" si="25"/>
        <v>37.5368480725624</v>
      </c>
      <c r="T102" s="37">
        <f ca="1" t="shared" si="26"/>
        <v>27.4631519274376</v>
      </c>
    </row>
    <row r="103" spans="2:20">
      <c r="B103" s="32" t="s">
        <v>195</v>
      </c>
      <c r="C103" t="s">
        <v>187</v>
      </c>
      <c r="D103">
        <v>675230220</v>
      </c>
      <c r="E103" t="s">
        <v>72</v>
      </c>
      <c r="F103">
        <v>65</v>
      </c>
      <c r="G103" s="33">
        <v>46111.0208333333</v>
      </c>
      <c r="H103">
        <f t="shared" si="16"/>
        <v>0.625</v>
      </c>
      <c r="I103">
        <f t="shared" si="20"/>
        <v>40.625</v>
      </c>
      <c r="J103" s="34">
        <v>4</v>
      </c>
      <c r="K103" s="35" t="str">
        <f t="shared" si="17"/>
        <v>A04</v>
      </c>
      <c r="L103" s="35" t="str">
        <f t="shared" si="18"/>
        <v>Motor Typ 4</v>
      </c>
      <c r="M103" s="35">
        <f t="shared" si="19"/>
        <v>0.735</v>
      </c>
      <c r="N103" s="35">
        <f t="shared" si="21"/>
        <v>0.850340136054422</v>
      </c>
      <c r="O103" s="35">
        <f t="shared" si="22"/>
        <v>55.2721088435374</v>
      </c>
      <c r="P103" s="35">
        <f t="shared" si="23"/>
        <v>0.921201814058957</v>
      </c>
      <c r="Q103" s="36">
        <f t="shared" si="24"/>
        <v>46111</v>
      </c>
      <c r="R103" s="35">
        <f ca="1">IFERROR(IF(G103&gt;Aufträge!$L$176,Aufträge!$N$176,VLOOKUP(Q103,Kalender,2,0)),"")</f>
        <v>65</v>
      </c>
      <c r="S103" s="35">
        <f t="shared" si="25"/>
        <v>38.4580498866213</v>
      </c>
      <c r="T103" s="37">
        <f ca="1" t="shared" si="26"/>
        <v>26.5419501133787</v>
      </c>
    </row>
    <row r="104" spans="2:20">
      <c r="B104" s="32" t="s">
        <v>196</v>
      </c>
      <c r="C104" t="s">
        <v>197</v>
      </c>
      <c r="D104">
        <v>402570130</v>
      </c>
      <c r="E104" t="s">
        <v>54</v>
      </c>
      <c r="F104">
        <v>180</v>
      </c>
      <c r="G104" s="33">
        <v>46111.3958333333</v>
      </c>
      <c r="H104">
        <f t="shared" si="16"/>
        <v>0.605</v>
      </c>
      <c r="I104">
        <f t="shared" si="20"/>
        <v>108.9</v>
      </c>
      <c r="J104" s="34">
        <v>3</v>
      </c>
      <c r="K104" s="35" t="str">
        <f t="shared" ref="K104:K107" si="27">IFERROR(VLOOKUP(J104,APE,2,0),"")</f>
        <v>A03</v>
      </c>
      <c r="L104" s="35" t="str">
        <f t="shared" si="18"/>
        <v>Motor Typ 3</v>
      </c>
      <c r="M104" s="35">
        <f t="shared" si="19"/>
        <v>0.85</v>
      </c>
      <c r="N104" s="35">
        <f t="shared" si="21"/>
        <v>0.711764705882353</v>
      </c>
      <c r="O104" s="35">
        <f t="shared" si="22"/>
        <v>128.117647058824</v>
      </c>
      <c r="P104" s="35">
        <f t="shared" si="23"/>
        <v>2.13529411764706</v>
      </c>
      <c r="Q104" s="36">
        <f t="shared" si="24"/>
        <v>46111.375</v>
      </c>
      <c r="R104" s="35">
        <f ca="1">IFERROR(IF(G104&gt;Aufträge!$L$176,Aufträge!$N$176,VLOOKUP(Q104,Kalender,2,0)),"")</f>
        <v>70</v>
      </c>
      <c r="S104" s="35">
        <f t="shared" si="25"/>
        <v>34.3877450980392</v>
      </c>
      <c r="T104" s="37">
        <f ca="1" t="shared" si="26"/>
        <v>35.6122549019608</v>
      </c>
    </row>
    <row r="105" spans="2:20">
      <c r="B105" s="32" t="s">
        <v>198</v>
      </c>
      <c r="C105" t="s">
        <v>197</v>
      </c>
      <c r="D105">
        <v>536325201</v>
      </c>
      <c r="E105" t="s">
        <v>65</v>
      </c>
      <c r="F105">
        <v>302</v>
      </c>
      <c r="G105" s="33">
        <v>46111.4166666666</v>
      </c>
      <c r="H105">
        <f t="shared" si="16"/>
        <v>0.655</v>
      </c>
      <c r="I105">
        <f t="shared" si="20"/>
        <v>197.81</v>
      </c>
      <c r="J105" s="34">
        <v>3</v>
      </c>
      <c r="K105" s="35" t="str">
        <f t="shared" si="27"/>
        <v>A03</v>
      </c>
      <c r="L105" s="35" t="str">
        <f t="shared" si="18"/>
        <v>Motor Typ 3</v>
      </c>
      <c r="M105" s="35">
        <f t="shared" si="19"/>
        <v>0.85</v>
      </c>
      <c r="N105" s="35">
        <f t="shared" si="21"/>
        <v>0.770588235294118</v>
      </c>
      <c r="O105" s="35">
        <f t="shared" si="22"/>
        <v>232.717647058824</v>
      </c>
      <c r="P105" s="35">
        <f t="shared" si="23"/>
        <v>3.87862745098039</v>
      </c>
      <c r="Q105" s="36">
        <f t="shared" si="24"/>
        <v>46111.4166666667</v>
      </c>
      <c r="R105" s="35">
        <f ca="1">IFERROR(IF(G105&gt;Aufträge!$L$176,Aufträge!$N$176,VLOOKUP(Q105,Kalender,2,0)),"")</f>
        <v>70</v>
      </c>
      <c r="S105" s="35">
        <f t="shared" si="25"/>
        <v>38.2663725490196</v>
      </c>
      <c r="T105" s="37">
        <f ca="1" t="shared" si="26"/>
        <v>31.7336274509804</v>
      </c>
    </row>
    <row r="106" spans="2:20">
      <c r="B106" s="32" t="s">
        <v>199</v>
      </c>
      <c r="C106" t="s">
        <v>197</v>
      </c>
      <c r="D106">
        <v>536325201</v>
      </c>
      <c r="E106" t="s">
        <v>65</v>
      </c>
      <c r="F106">
        <v>120</v>
      </c>
      <c r="G106" s="33">
        <v>46111.4999999999</v>
      </c>
      <c r="H106">
        <f t="shared" si="16"/>
        <v>0.655</v>
      </c>
      <c r="I106">
        <f t="shared" si="20"/>
        <v>78.6</v>
      </c>
      <c r="J106" s="34">
        <v>3</v>
      </c>
      <c r="K106" s="35" t="str">
        <f t="shared" si="27"/>
        <v>A03</v>
      </c>
      <c r="L106" s="35" t="str">
        <f t="shared" si="18"/>
        <v>Motor Typ 3</v>
      </c>
      <c r="M106" s="35">
        <f t="shared" si="19"/>
        <v>0.85</v>
      </c>
      <c r="N106" s="35">
        <f t="shared" si="21"/>
        <v>0.770588235294118</v>
      </c>
      <c r="O106" s="35">
        <f t="shared" si="22"/>
        <v>92.4705882352941</v>
      </c>
      <c r="P106" s="35">
        <f t="shared" si="23"/>
        <v>1.54117647058824</v>
      </c>
      <c r="Q106" s="36">
        <f t="shared" si="24"/>
        <v>46111.5</v>
      </c>
      <c r="R106" s="35">
        <f ca="1">IFERROR(IF(G106&gt;Aufträge!$L$176,Aufträge!$N$176,VLOOKUP(Q106,Kalender,2,0)),"")</f>
        <v>70</v>
      </c>
      <c r="S106" s="35">
        <f t="shared" si="25"/>
        <v>39.8075490196078</v>
      </c>
      <c r="T106" s="37">
        <f ca="1" t="shared" si="26"/>
        <v>30.1924509803922</v>
      </c>
    </row>
    <row r="107" spans="2:20">
      <c r="B107" s="38" t="s">
        <v>200</v>
      </c>
      <c r="C107" s="39" t="s">
        <v>197</v>
      </c>
      <c r="D107" s="39">
        <v>698251201</v>
      </c>
      <c r="E107" s="39" t="s">
        <v>74</v>
      </c>
      <c r="F107" s="39">
        <v>130</v>
      </c>
      <c r="G107" s="40">
        <v>46111.6666666666</v>
      </c>
      <c r="H107" s="39">
        <f t="shared" si="16"/>
        <v>0.635</v>
      </c>
      <c r="I107" s="39">
        <f t="shared" si="20"/>
        <v>82.55</v>
      </c>
      <c r="J107" s="41">
        <v>3</v>
      </c>
      <c r="K107" s="39" t="str">
        <f t="shared" si="27"/>
        <v>A03</v>
      </c>
      <c r="L107" s="39" t="str">
        <f t="shared" si="18"/>
        <v>Motor Typ 3</v>
      </c>
      <c r="M107" s="39">
        <f t="shared" si="19"/>
        <v>0.85</v>
      </c>
      <c r="N107" s="39">
        <f t="shared" si="21"/>
        <v>0.747058823529412</v>
      </c>
      <c r="O107" s="39">
        <f t="shared" si="22"/>
        <v>97.1176470588235</v>
      </c>
      <c r="P107" s="39">
        <f t="shared" si="23"/>
        <v>1.61862745098039</v>
      </c>
      <c r="Q107" s="40">
        <f t="shared" si="24"/>
        <v>46111.6666666667</v>
      </c>
      <c r="R107" s="39">
        <f ca="1">IFERROR(IF(G107&gt;Aufträge!$L$176,Aufträge!$N$176,VLOOKUP(Q107,Kalender,2,0)),"")</f>
        <v>73</v>
      </c>
      <c r="S107" s="39">
        <f t="shared" si="25"/>
        <v>41.4261764705882</v>
      </c>
      <c r="T107" s="42">
        <f ca="1" t="shared" si="26"/>
        <v>31.5738235294118</v>
      </c>
    </row>
    <row r="108" spans="2:20">
      <c r="Q108" s="33"/>
    </row>
    <row r="110" ht="15.75" spans="2:20">
      <c r="B110" s="43" t="s">
        <v>263</v>
      </c>
      <c r="C110" s="44"/>
      <c r="D110" s="45"/>
    </row>
    <row r="111" spans="2:20">
      <c r="B111" s="46"/>
      <c r="C111" s="47" t="s">
        <v>264</v>
      </c>
      <c r="D111" s="48" t="s">
        <v>265</v>
      </c>
      <c r="E111" t="s">
        <v>266</v>
      </c>
      <c r="F111" t="s">
        <v>267</v>
      </c>
      <c r="G111" t="s">
        <v>268</v>
      </c>
    </row>
    <row r="112" spans="2:20">
      <c r="B112" s="46"/>
      <c r="C112" s="49">
        <f>IF(J8=1,S8,"")</f>
        <v>0.700231481481482</v>
      </c>
      <c r="D112" s="50" t="str">
        <f>IF(J8=2,S8,"")</f>
        <v/>
      </c>
      <c r="E112" t="str">
        <f>IF(J8=3,S8,"")</f>
        <v/>
      </c>
      <c r="F112" t="str">
        <f>IF(J8=4,S8,"")</f>
        <v/>
      </c>
      <c r="G112" t="str">
        <f>IF(J8=5,S8,"")</f>
        <v/>
      </c>
    </row>
    <row r="113" ht="15.75" spans="2:7">
      <c r="B113" s="46"/>
      <c r="C113" s="51" t="str">
        <f>IF(J9=1,S9,"")</f>
        <v/>
      </c>
      <c r="D113" s="50">
        <f>IF(J9=2,S9,"")</f>
        <v>0.734154929577465</v>
      </c>
      <c r="E113" t="str">
        <f>IF(J9=3,S9,"")</f>
        <v/>
      </c>
      <c r="F113" t="str">
        <f>IF(J9=4,S9,"")</f>
        <v/>
      </c>
      <c r="G113" t="str">
        <f>IF(J9=5,S9,"")</f>
        <v/>
      </c>
    </row>
    <row r="114" ht="15.75" spans="2:7">
      <c r="B114" s="52" t="s">
        <v>269</v>
      </c>
      <c r="C114" s="53">
        <f>MAX(C112:C113)</f>
        <v>0.700231481481482</v>
      </c>
      <c r="D114" s="54">
        <f>MAX(D112:D113)</f>
        <v>0.734154929577465</v>
      </c>
      <c r="E114" s="54">
        <f>MAX(E112:E113)</f>
        <v>0</v>
      </c>
      <c r="F114" s="54">
        <f>MAX(F112:F113)</f>
        <v>0</v>
      </c>
      <c r="G114" s="54">
        <f>MAX(G112:G113)</f>
        <v>0</v>
      </c>
    </row>
    <row r="115" ht="15.75" spans="2:7">
      <c r="B115" s="55" t="s">
        <v>270</v>
      </c>
      <c r="C115" s="56">
        <v>1</v>
      </c>
      <c r="D115" s="57">
        <v>2</v>
      </c>
      <c r="E115">
        <v>3</v>
      </c>
      <c r="F115">
        <v>4</v>
      </c>
      <c r="G115">
        <v>5</v>
      </c>
    </row>
    <row r="116" spans="2:7">
      <c r="B116" s="46" t="s">
        <v>271</v>
      </c>
      <c r="C116" s="58">
        <f>HLOOKUP(MIN(C114:G114),C114:G115,2,FALSE)</f>
        <v>3</v>
      </c>
      <c r="D116" s="46"/>
    </row>
    <row r="118" ht="15.75" spans="2:7">
      <c r="B118" s="43" t="s">
        <v>272</v>
      </c>
      <c r="C118" s="44"/>
      <c r="D118" s="45"/>
    </row>
    <row r="119" spans="2:7">
      <c r="B119" s="46"/>
      <c r="C119" s="59" t="s">
        <v>264</v>
      </c>
      <c r="D119" s="60" t="s">
        <v>265</v>
      </c>
      <c r="E119" t="s">
        <v>266</v>
      </c>
      <c r="F119" t="s">
        <v>267</v>
      </c>
      <c r="G119" t="s">
        <v>268</v>
      </c>
    </row>
    <row r="120" spans="2:7">
      <c r="B120" s="46"/>
      <c r="C120" s="49">
        <f>IF(J8=1,S8,"")</f>
        <v>0.700231481481482</v>
      </c>
      <c r="D120" s="50" t="str">
        <f>IF(J8=2,S8,"")</f>
        <v/>
      </c>
      <c r="E120" t="str">
        <f>IF(J8=3,S8,"")</f>
        <v/>
      </c>
      <c r="F120" t="str">
        <f>IF(J8=4,S8,"")</f>
        <v/>
      </c>
      <c r="G120" t="str">
        <f>IF(J8=5,S8,"")</f>
        <v/>
      </c>
    </row>
    <row r="121" spans="2:7">
      <c r="B121" s="46"/>
      <c r="C121" s="49" t="str">
        <f>IF(J9=1,S9,"")</f>
        <v/>
      </c>
      <c r="D121" s="50">
        <f>IF(J9=2,S9,"")</f>
        <v>0.734154929577465</v>
      </c>
      <c r="E121" t="str">
        <f>IF(J9=3,S9,"")</f>
        <v/>
      </c>
      <c r="F121" t="str">
        <f t="shared" ref="F121:F122" si="28">IF(J9=4,S9,"")</f>
        <v/>
      </c>
      <c r="G121" t="str">
        <f t="shared" ref="G121:G122" si="29">IF(J9=5,S9,"")</f>
        <v/>
      </c>
    </row>
    <row r="122" ht="15.75" spans="2:7">
      <c r="B122" s="46"/>
      <c r="C122" s="49" t="str">
        <f>IF(J10=1,S10,"")</f>
        <v/>
      </c>
      <c r="D122" s="50" t="str">
        <f t="shared" ref="D122" si="30">IF(J10=2,S10,"")</f>
        <v/>
      </c>
      <c r="E122">
        <f>IF(J10=3,S10,"")</f>
        <v>1.83823529411765</v>
      </c>
      <c r="F122" t="str">
        <f t="shared" si="28"/>
        <v/>
      </c>
      <c r="G122" t="str">
        <f t="shared" si="29"/>
        <v/>
      </c>
    </row>
    <row r="123" ht="15.75" spans="2:7">
      <c r="B123" s="52" t="s">
        <v>269</v>
      </c>
      <c r="C123" s="53">
        <f>MAX(C120:C122)</f>
        <v>0.700231481481482</v>
      </c>
      <c r="D123" s="54">
        <f>MAX(D120:D122)</f>
        <v>0.734154929577465</v>
      </c>
      <c r="E123" s="54">
        <f>MAX(E120:E122)</f>
        <v>1.83823529411765</v>
      </c>
      <c r="F123" s="54">
        <f t="shared" ref="F123:G123" si="31">MAX(F120:F122)</f>
        <v>0</v>
      </c>
      <c r="G123" s="54">
        <f t="shared" si="31"/>
        <v>0</v>
      </c>
    </row>
    <row r="124" ht="15.75" spans="2:7">
      <c r="B124" s="55" t="s">
        <v>270</v>
      </c>
      <c r="C124" s="56">
        <v>1</v>
      </c>
      <c r="D124" s="57">
        <v>2</v>
      </c>
      <c r="E124">
        <v>3</v>
      </c>
      <c r="F124">
        <v>4</v>
      </c>
      <c r="G124">
        <v>5</v>
      </c>
    </row>
    <row r="125" spans="2:7">
      <c r="B125" s="46" t="s">
        <v>271</v>
      </c>
      <c r="C125" s="58">
        <f>HLOOKUP(MIN(C123:G123),C123:G124,2,FALSE)</f>
        <v>4</v>
      </c>
      <c r="D125" s="46"/>
    </row>
    <row r="126" spans="2:7">
      <c r="B126" s="46"/>
      <c r="C126" s="46"/>
      <c r="D126" s="46"/>
    </row>
    <row r="127" spans="2:7">
      <c r="B127" s="46"/>
      <c r="C127" s="46"/>
      <c r="D127" s="46"/>
    </row>
    <row r="128" ht="15.75" spans="2:7">
      <c r="B128" s="43" t="s">
        <v>273</v>
      </c>
      <c r="C128" s="44"/>
      <c r="D128" s="45"/>
    </row>
    <row r="129" spans="2:7">
      <c r="B129" s="46"/>
      <c r="C129" s="59" t="s">
        <v>264</v>
      </c>
      <c r="D129" s="60" t="s">
        <v>265</v>
      </c>
      <c r="E129" t="s">
        <v>266</v>
      </c>
      <c r="F129" t="s">
        <v>267</v>
      </c>
      <c r="G129" t="s">
        <v>268</v>
      </c>
    </row>
    <row r="130" spans="2:7">
      <c r="B130" s="46"/>
      <c r="C130" s="49">
        <f>IF(J8=1,S8,"")</f>
        <v>0.700231481481482</v>
      </c>
      <c r="D130" s="50" t="str">
        <f>IF(J8=2,S8,"")</f>
        <v/>
      </c>
      <c r="E130" t="str">
        <f>IF(J8=3,S8,"")</f>
        <v/>
      </c>
      <c r="F130" t="str">
        <f>IF(J8=4,S8,"")</f>
        <v/>
      </c>
      <c r="G130" t="str">
        <f>IF(J8=5,S8,"")</f>
        <v/>
      </c>
    </row>
    <row r="131" spans="2:7">
      <c r="B131" s="46"/>
      <c r="C131" s="49" t="str">
        <f t="shared" ref="C131:C133" si="32">IF(J9=1,S9,"")</f>
        <v/>
      </c>
      <c r="D131" s="50">
        <f t="shared" ref="D131:D133" si="33">IF(J9=2,S9,"")</f>
        <v>0.734154929577465</v>
      </c>
      <c r="E131" t="str">
        <f t="shared" ref="E131:E133" si="34">IF(J9=3,S9,"")</f>
        <v/>
      </c>
      <c r="F131" t="str">
        <f t="shared" ref="F131:F133" si="35">IF(J9=4,S9,"")</f>
        <v/>
      </c>
      <c r="G131" t="str">
        <f t="shared" ref="G131:G133" si="36">IF(J9=5,S9,"")</f>
        <v/>
      </c>
    </row>
    <row r="132" spans="2:7">
      <c r="B132" s="46"/>
      <c r="C132" s="49" t="str">
        <f t="shared" si="32"/>
        <v/>
      </c>
      <c r="D132" s="50" t="str">
        <f t="shared" si="33"/>
        <v/>
      </c>
      <c r="E132">
        <f t="shared" si="34"/>
        <v>1.83823529411765</v>
      </c>
      <c r="F132" t="str">
        <f t="shared" si="35"/>
        <v/>
      </c>
      <c r="G132" t="str">
        <f t="shared" si="36"/>
        <v/>
      </c>
    </row>
    <row r="133" ht="15.75" spans="2:7">
      <c r="B133" s="46"/>
      <c r="C133" s="49" t="str">
        <f t="shared" si="32"/>
        <v/>
      </c>
      <c r="D133" s="50" t="str">
        <f t="shared" si="33"/>
        <v/>
      </c>
      <c r="E133" t="str">
        <f t="shared" si="34"/>
        <v/>
      </c>
      <c r="F133">
        <f t="shared" si="35"/>
        <v>4.28571428571429</v>
      </c>
      <c r="G133" t="str">
        <f t="shared" si="36"/>
        <v/>
      </c>
    </row>
    <row r="134" ht="15.75" spans="2:7">
      <c r="B134" s="52" t="s">
        <v>269</v>
      </c>
      <c r="C134" s="53">
        <f>MAX(C130:C133)</f>
        <v>0.700231481481482</v>
      </c>
      <c r="D134" s="54">
        <f>MAX(D130:D133)</f>
        <v>0.734154929577465</v>
      </c>
      <c r="E134" s="54">
        <f>MAX(E130:E133)</f>
        <v>1.83823529411765</v>
      </c>
      <c r="F134" s="54">
        <f>MAX(F130:F133)</f>
        <v>4.28571428571429</v>
      </c>
      <c r="G134" s="54">
        <f>MAX(G130:G133)</f>
        <v>0</v>
      </c>
    </row>
    <row r="135" ht="15.75" spans="2:7">
      <c r="B135" s="55" t="s">
        <v>270</v>
      </c>
      <c r="C135" s="56">
        <v>1</v>
      </c>
      <c r="D135" s="57">
        <v>2</v>
      </c>
      <c r="E135">
        <v>3</v>
      </c>
      <c r="F135">
        <v>4</v>
      </c>
      <c r="G135">
        <v>5</v>
      </c>
    </row>
    <row r="136" spans="2:7">
      <c r="B136" s="46" t="s">
        <v>271</v>
      </c>
      <c r="C136" s="58">
        <f>HLOOKUP(MIN(C134:G134),C134:G135,2,FALSE)</f>
        <v>5</v>
      </c>
      <c r="D136" s="46"/>
    </row>
    <row r="137" spans="2:7">
      <c r="B137" s="46"/>
      <c r="C137" s="46"/>
      <c r="D137" s="46"/>
    </row>
    <row r="138" spans="2:7">
      <c r="B138" s="46"/>
      <c r="C138" s="46"/>
      <c r="D138" s="46"/>
    </row>
    <row r="139" ht="15.75" spans="2:7">
      <c r="B139" s="43" t="s">
        <v>274</v>
      </c>
      <c r="C139" s="44"/>
      <c r="D139" s="45"/>
    </row>
    <row r="140" spans="2:7">
      <c r="B140" s="46"/>
      <c r="C140" s="59" t="s">
        <v>264</v>
      </c>
      <c r="D140" s="60" t="s">
        <v>265</v>
      </c>
      <c r="E140" t="s">
        <v>266</v>
      </c>
      <c r="F140" t="s">
        <v>267</v>
      </c>
      <c r="G140" t="s">
        <v>268</v>
      </c>
    </row>
    <row r="141" spans="2:7">
      <c r="B141" s="46"/>
      <c r="C141" s="49">
        <f>IF(J8=1,S8,"")</f>
        <v>0.700231481481482</v>
      </c>
      <c r="D141" s="50" t="str">
        <f>IF(J8=2,S8,"")</f>
        <v/>
      </c>
      <c r="E141" t="str">
        <f>IF(J8=3,S8,"")</f>
        <v/>
      </c>
      <c r="F141" t="str">
        <f>IF(J8=4,S8,"")</f>
        <v/>
      </c>
      <c r="G141" t="str">
        <f>IF(J8=5,S8,"")</f>
        <v/>
      </c>
    </row>
    <row r="142" spans="2:7">
      <c r="B142" s="46"/>
      <c r="C142" s="49" t="str">
        <f>IF(J9=1,S9,"")</f>
        <v/>
      </c>
      <c r="D142" s="50">
        <f>IF(J9=2,S9,"")</f>
        <v>0.734154929577465</v>
      </c>
      <c r="E142" t="str">
        <f>IF(J9=3,S9,"")</f>
        <v/>
      </c>
      <c r="F142" t="str">
        <f>IF(J9=4,S9,"")</f>
        <v/>
      </c>
      <c r="G142" t="str">
        <f>IF(J9=5,S9,"")</f>
        <v/>
      </c>
    </row>
    <row r="143" spans="2:7">
      <c r="B143" s="46"/>
      <c r="C143" s="49" t="str">
        <f>IF(J10=1,S10,"")</f>
        <v/>
      </c>
      <c r="D143" s="50" t="str">
        <f>IF(J10=2,S10,"")</f>
        <v/>
      </c>
      <c r="E143">
        <f>IF(J10=3,S10,"")</f>
        <v>1.83823529411765</v>
      </c>
      <c r="F143" t="str">
        <f>IF(J10=4,S10,"")</f>
        <v/>
      </c>
      <c r="G143" t="str">
        <f>IF(J10=5,S10,"")</f>
        <v/>
      </c>
    </row>
    <row r="144" spans="2:7">
      <c r="B144" s="46"/>
      <c r="C144" s="49" t="str">
        <f>IF(J11=1,S11,"")</f>
        <v/>
      </c>
      <c r="D144" s="50" t="str">
        <f>IF(J11=2,S11,"")</f>
        <v/>
      </c>
      <c r="E144" t="str">
        <f>IF(J11=3,S11,"")</f>
        <v/>
      </c>
      <c r="F144">
        <f>IF(J11=4,S11,"")</f>
        <v>4.28571428571429</v>
      </c>
      <c r="G144" t="str">
        <f>IF(J11=5,S11,"")</f>
        <v/>
      </c>
    </row>
    <row r="145" ht="15.75" spans="2:7">
      <c r="B145" s="46"/>
      <c r="C145" s="49" t="str">
        <f>IF(J12=1,S12,"")</f>
        <v/>
      </c>
      <c r="D145" s="50" t="str">
        <f>IF(J12=2,S12,"")</f>
        <v/>
      </c>
      <c r="E145" t="str">
        <f>IF(J12=3,S12,"")</f>
        <v/>
      </c>
      <c r="F145" t="str">
        <f>IF(J12=4,S12,"")</f>
        <v/>
      </c>
      <c r="G145">
        <f>IF(J12=5,S12,"")</f>
        <v>3.43396226415094</v>
      </c>
    </row>
    <row r="146" ht="15.75" spans="2:7">
      <c r="B146" s="52" t="s">
        <v>269</v>
      </c>
      <c r="C146" s="53">
        <f>MAX(C141:C145)</f>
        <v>0.700231481481482</v>
      </c>
      <c r="D146" s="54">
        <f>MAX(D141:D145)</f>
        <v>0.734154929577465</v>
      </c>
      <c r="E146" s="54">
        <f>MAX(E141:E145)</f>
        <v>1.83823529411765</v>
      </c>
      <c r="F146" s="54">
        <f>MAX(F141:F145)</f>
        <v>4.28571428571429</v>
      </c>
      <c r="G146" s="54">
        <f>MAX(G141:G145)</f>
        <v>3.43396226415094</v>
      </c>
    </row>
    <row r="147" ht="15.75" spans="2:7">
      <c r="B147" s="55" t="s">
        <v>270</v>
      </c>
      <c r="C147" s="56">
        <v>1</v>
      </c>
      <c r="D147" s="57">
        <v>2</v>
      </c>
      <c r="E147">
        <v>3</v>
      </c>
      <c r="F147">
        <v>4</v>
      </c>
      <c r="G147">
        <v>5</v>
      </c>
    </row>
    <row r="148" spans="2:7">
      <c r="B148" s="46" t="s">
        <v>271</v>
      </c>
      <c r="C148" s="58">
        <f>HLOOKUP(MIN(C146:G146),C146:G147,2,FALSE)</f>
        <v>1</v>
      </c>
      <c r="D148" s="46"/>
    </row>
    <row r="149" spans="2:7">
      <c r="B149" s="46"/>
      <c r="C149" s="58"/>
      <c r="D149" s="46"/>
    </row>
    <row r="150" spans="2:7">
      <c r="B150" s="46"/>
      <c r="C150" s="46"/>
      <c r="D150" s="46"/>
    </row>
    <row r="151" spans="2:7">
      <c r="B151" s="46"/>
      <c r="C151" s="46"/>
      <c r="D151" s="46"/>
    </row>
    <row r="152" ht="15.75" spans="2:7">
      <c r="B152" s="43" t="s">
        <v>275</v>
      </c>
      <c r="C152" s="44"/>
      <c r="D152" s="45"/>
    </row>
    <row r="153" spans="2:7">
      <c r="B153" s="46"/>
      <c r="C153" s="59" t="s">
        <v>264</v>
      </c>
      <c r="D153" s="60" t="s">
        <v>265</v>
      </c>
      <c r="E153" t="s">
        <v>266</v>
      </c>
      <c r="F153" t="s">
        <v>267</v>
      </c>
      <c r="G153" t="s">
        <v>268</v>
      </c>
    </row>
    <row r="154" spans="2:7">
      <c r="B154" s="46"/>
      <c r="C154" s="49">
        <f>IF($J$8=1,$S$8,"")</f>
        <v>0.700231481481482</v>
      </c>
      <c r="D154" s="50" t="str">
        <f>IF($J$8=2,$S$8,"")</f>
        <v/>
      </c>
      <c r="E154" t="str">
        <f>IF($J$8=3,$S$8,"")</f>
        <v/>
      </c>
      <c r="F154" t="str">
        <f>IF($J$8=4,$S$8,"")</f>
        <v/>
      </c>
      <c r="G154" t="str">
        <f>IF($J$8=5,$S$8,"")</f>
        <v/>
      </c>
    </row>
    <row r="155" spans="2:7">
      <c r="B155" s="46"/>
      <c r="C155" s="49" t="str">
        <f>IF(J9=1,S9,"")</f>
        <v/>
      </c>
      <c r="D155" s="50">
        <f>IF(J9=2,S9,"")</f>
        <v>0.734154929577465</v>
      </c>
      <c r="E155" t="str">
        <f>IF(J9=3,S9,"")</f>
        <v/>
      </c>
      <c r="F155" t="str">
        <f>IF(J9=4,S9,"")</f>
        <v/>
      </c>
      <c r="G155" t="str">
        <f>IF(J9=5,S9,"")</f>
        <v/>
      </c>
    </row>
    <row r="156" spans="2:7">
      <c r="B156" s="46"/>
      <c r="C156" s="49" t="str">
        <f>IF(J10=1,S10,"")</f>
        <v/>
      </c>
      <c r="D156" s="50" t="str">
        <f>IF(J10=2,S10,"")</f>
        <v/>
      </c>
      <c r="E156">
        <f>IF(J10=3,S10,"")</f>
        <v>1.83823529411765</v>
      </c>
      <c r="F156" t="str">
        <f>IF(J10=4,S10,"")</f>
        <v/>
      </c>
      <c r="G156" t="str">
        <f>IF(J10=5,S10,"")</f>
        <v/>
      </c>
    </row>
    <row r="157" spans="2:7">
      <c r="B157" s="46"/>
      <c r="C157" s="49" t="str">
        <f>IF(J11=1,S11,"")</f>
        <v/>
      </c>
      <c r="D157" s="50" t="str">
        <f>IF(J11=2,S11,"")</f>
        <v/>
      </c>
      <c r="E157" t="str">
        <f>IF(J11=3,S11,"")</f>
        <v/>
      </c>
      <c r="F157">
        <f>IF(J11=4,S11,"")</f>
        <v>4.28571428571429</v>
      </c>
      <c r="G157" t="str">
        <f>IF(J11=5,S11,"")</f>
        <v/>
      </c>
    </row>
    <row r="158" spans="2:7">
      <c r="B158" s="46"/>
      <c r="C158" s="49" t="str">
        <f>IF(J12=1,S12,"")</f>
        <v/>
      </c>
      <c r="D158" s="50" t="str">
        <f>IF(J12=2,S12,"")</f>
        <v/>
      </c>
      <c r="E158" t="str">
        <f>IF(J12=3,S12,"")</f>
        <v/>
      </c>
      <c r="F158" t="str">
        <f>IF(J12=4,S12,"")</f>
        <v/>
      </c>
      <c r="G158">
        <f>IF(J12=5,S12,"")</f>
        <v>3.43396226415094</v>
      </c>
    </row>
    <row r="159" ht="15.75" spans="2:7">
      <c r="B159" s="46"/>
      <c r="C159" s="49" t="str">
        <f>IF(J13=1,S13,"")</f>
        <v/>
      </c>
      <c r="D159" s="50" t="str">
        <f>IF(J13=2,S13,"")</f>
        <v/>
      </c>
      <c r="E159">
        <f>IF(J13=3,S13,"")</f>
        <v>14.5833333333333</v>
      </c>
      <c r="F159" t="str">
        <f>IF(J13=4,S13,"")</f>
        <v/>
      </c>
      <c r="G159" t="str">
        <f>IF(J13=5,S13,"")</f>
        <v/>
      </c>
    </row>
    <row r="160" ht="15.75" spans="2:7">
      <c r="B160" s="52" t="s">
        <v>269</v>
      </c>
      <c r="C160" s="53">
        <f>MAX(C154:C159)</f>
        <v>0.700231481481482</v>
      </c>
      <c r="D160" s="54">
        <f>MAX(D154:D159)</f>
        <v>0.734154929577465</v>
      </c>
      <c r="E160" s="54">
        <f>MAX(E154:E159)</f>
        <v>14.5833333333333</v>
      </c>
      <c r="F160" s="54">
        <f>MAX(F154:F159)</f>
        <v>4.28571428571429</v>
      </c>
      <c r="G160" s="54">
        <f>MAX(G154:G159)</f>
        <v>3.43396226415094</v>
      </c>
    </row>
    <row r="161" ht="15.75" spans="2:7">
      <c r="B161" s="55" t="s">
        <v>270</v>
      </c>
      <c r="C161" s="56">
        <v>1</v>
      </c>
      <c r="D161" s="57">
        <v>2</v>
      </c>
      <c r="E161">
        <v>3</v>
      </c>
      <c r="F161">
        <v>4</v>
      </c>
      <c r="G161">
        <v>5</v>
      </c>
    </row>
    <row r="162" spans="2:7">
      <c r="B162" s="46" t="s">
        <v>271</v>
      </c>
      <c r="C162" s="58">
        <f>HLOOKUP(MIN(C160:G160),C160:G161,2,FALSE)</f>
        <v>1</v>
      </c>
      <c r="D162" s="46"/>
    </row>
    <row r="163" spans="2:7">
      <c r="B163" s="46"/>
      <c r="C163" s="58"/>
      <c r="D163" s="46"/>
    </row>
    <row r="164" spans="2:7">
      <c r="B164" s="46"/>
      <c r="C164" s="46"/>
      <c r="D164" s="46"/>
    </row>
    <row r="165" spans="2:7">
      <c r="B165" s="46"/>
      <c r="C165" s="46"/>
      <c r="D165" s="46"/>
    </row>
    <row r="166" ht="15.75" spans="2:7">
      <c r="B166" s="43" t="s">
        <v>276</v>
      </c>
      <c r="C166" s="44"/>
      <c r="D166" s="45"/>
    </row>
    <row r="167" spans="2:7">
      <c r="B167" s="46"/>
      <c r="C167" s="59" t="s">
        <v>264</v>
      </c>
      <c r="D167" s="60" t="s">
        <v>265</v>
      </c>
      <c r="E167" t="s">
        <v>266</v>
      </c>
      <c r="F167" t="s">
        <v>267</v>
      </c>
      <c r="G167" t="s">
        <v>268</v>
      </c>
    </row>
    <row r="168" spans="2:7">
      <c r="B168" s="46"/>
      <c r="C168" s="49">
        <f t="shared" ref="C168:C174" si="37">IF(J8=1,S8,"")</f>
        <v>0.700231481481482</v>
      </c>
      <c r="D168" s="50" t="str">
        <f t="shared" ref="D168:D174" si="38">IF(J8=2,S8,"")</f>
        <v/>
      </c>
      <c r="E168" t="str">
        <f t="shared" ref="E168:E174" si="39">IF(J8=3,S8,"")</f>
        <v/>
      </c>
      <c r="F168" t="str">
        <f t="shared" ref="F168:F174" si="40">IF(J8=4,S8,"")</f>
        <v/>
      </c>
      <c r="G168" t="str">
        <f t="shared" ref="G168:G174" si="41">IF(J8=5,S8,"")</f>
        <v/>
      </c>
    </row>
    <row r="169" spans="2:7">
      <c r="B169" s="46"/>
      <c r="C169" s="49" t="str">
        <f t="shared" si="37"/>
        <v/>
      </c>
      <c r="D169" s="50">
        <f t="shared" si="38"/>
        <v>0.734154929577465</v>
      </c>
      <c r="E169" t="str">
        <f t="shared" si="39"/>
        <v/>
      </c>
      <c r="F169" t="str">
        <f t="shared" si="40"/>
        <v/>
      </c>
      <c r="G169" t="str">
        <f t="shared" si="41"/>
        <v/>
      </c>
    </row>
    <row r="170" spans="2:7">
      <c r="B170" s="46"/>
      <c r="C170" s="49" t="str">
        <f t="shared" si="37"/>
        <v/>
      </c>
      <c r="D170" s="50" t="str">
        <f t="shared" si="38"/>
        <v/>
      </c>
      <c r="E170">
        <f t="shared" si="39"/>
        <v>1.83823529411765</v>
      </c>
      <c r="F170" t="str">
        <f t="shared" si="40"/>
        <v/>
      </c>
      <c r="G170" t="str">
        <f t="shared" si="41"/>
        <v/>
      </c>
    </row>
    <row r="171" spans="2:7">
      <c r="B171" s="46"/>
      <c r="C171" s="49" t="str">
        <f t="shared" si="37"/>
        <v/>
      </c>
      <c r="D171" s="50" t="str">
        <f t="shared" si="38"/>
        <v/>
      </c>
      <c r="E171" t="str">
        <f t="shared" si="39"/>
        <v/>
      </c>
      <c r="F171">
        <f t="shared" si="40"/>
        <v>4.28571428571429</v>
      </c>
      <c r="G171" t="str">
        <f t="shared" si="41"/>
        <v/>
      </c>
    </row>
    <row r="172" spans="2:7">
      <c r="B172" s="46"/>
      <c r="C172" s="49" t="str">
        <f t="shared" si="37"/>
        <v/>
      </c>
      <c r="D172" s="50" t="str">
        <f t="shared" si="38"/>
        <v/>
      </c>
      <c r="E172" t="str">
        <f t="shared" si="39"/>
        <v/>
      </c>
      <c r="F172" t="str">
        <f t="shared" si="40"/>
        <v/>
      </c>
      <c r="G172">
        <f t="shared" si="41"/>
        <v>3.43396226415094</v>
      </c>
    </row>
    <row r="173" spans="2:7">
      <c r="B173" s="46"/>
      <c r="C173" s="49" t="str">
        <f t="shared" si="37"/>
        <v/>
      </c>
      <c r="D173" s="50" t="str">
        <f t="shared" si="38"/>
        <v/>
      </c>
      <c r="E173">
        <f t="shared" si="39"/>
        <v>14.5833333333333</v>
      </c>
      <c r="F173" t="str">
        <f t="shared" si="40"/>
        <v/>
      </c>
      <c r="G173" t="str">
        <f t="shared" si="41"/>
        <v/>
      </c>
    </row>
    <row r="174" ht="15.75" spans="2:7">
      <c r="B174" s="46"/>
      <c r="C174" s="49" t="str">
        <f t="shared" si="37"/>
        <v/>
      </c>
      <c r="D174" s="50" t="str">
        <f t="shared" si="38"/>
        <v/>
      </c>
      <c r="E174" t="str">
        <f t="shared" si="39"/>
        <v/>
      </c>
      <c r="F174">
        <f t="shared" si="40"/>
        <v>6.42857142857143</v>
      </c>
      <c r="G174" t="str">
        <f t="shared" si="41"/>
        <v/>
      </c>
    </row>
    <row r="175" ht="15.75" spans="2:7">
      <c r="B175" s="52" t="s">
        <v>269</v>
      </c>
      <c r="C175" s="53">
        <f>MAX(C168:C174)</f>
        <v>0.700231481481482</v>
      </c>
      <c r="D175" s="54">
        <f>MAX(D168:D174)</f>
        <v>0.734154929577465</v>
      </c>
      <c r="E175" s="54">
        <f>MAX(E168:E174)</f>
        <v>14.5833333333333</v>
      </c>
      <c r="F175" s="54">
        <f>MAX(F168:F174)</f>
        <v>6.42857142857143</v>
      </c>
      <c r="G175" s="54">
        <f>MAX(G168:G174)</f>
        <v>3.43396226415094</v>
      </c>
    </row>
    <row r="176" ht="15.75" spans="2:7">
      <c r="B176" s="55" t="s">
        <v>270</v>
      </c>
      <c r="C176" s="56">
        <v>1</v>
      </c>
      <c r="D176" s="57">
        <v>2</v>
      </c>
      <c r="E176">
        <v>3</v>
      </c>
      <c r="F176">
        <v>4</v>
      </c>
      <c r="G176">
        <v>5</v>
      </c>
    </row>
    <row r="177" spans="2:7">
      <c r="B177" s="46" t="s">
        <v>271</v>
      </c>
      <c r="C177" s="58">
        <f>HLOOKUP(MIN(C175:G175),C175:G176,2,FALSE)</f>
        <v>1</v>
      </c>
      <c r="D177" s="46"/>
    </row>
    <row r="178" spans="2:7">
      <c r="B178" s="46"/>
      <c r="C178" s="58"/>
      <c r="D178" s="46"/>
    </row>
    <row r="179" spans="2:7">
      <c r="B179" s="46"/>
      <c r="C179" s="46"/>
      <c r="D179" s="46"/>
    </row>
    <row r="180" spans="2:7">
      <c r="B180" s="46"/>
      <c r="C180" s="46"/>
      <c r="D180" s="46"/>
    </row>
    <row r="181" ht="15.75" spans="2:7">
      <c r="B181" s="43" t="s">
        <v>277</v>
      </c>
      <c r="C181" s="44"/>
      <c r="D181" s="45"/>
    </row>
    <row r="182" spans="2:7">
      <c r="B182" s="46"/>
      <c r="C182" s="59" t="s">
        <v>264</v>
      </c>
      <c r="D182" s="60" t="s">
        <v>265</v>
      </c>
      <c r="E182" t="s">
        <v>266</v>
      </c>
      <c r="F182" t="s">
        <v>267</v>
      </c>
      <c r="G182" t="s">
        <v>268</v>
      </c>
    </row>
    <row r="183" spans="2:7">
      <c r="B183" s="46"/>
      <c r="C183" s="49">
        <f t="shared" ref="C183:C190" si="42">IF(J8=1,S8,"")</f>
        <v>0.700231481481482</v>
      </c>
      <c r="D183" s="50" t="str">
        <f t="shared" ref="D183:D190" si="43">IF(J8=2,S8,"")</f>
        <v/>
      </c>
      <c r="E183" t="str">
        <f t="shared" ref="E183:E190" si="44">IF(J8=3,S8,"")</f>
        <v/>
      </c>
      <c r="F183" t="str">
        <f t="shared" ref="F183:F190" si="45">IF(J8=4,S8,"")</f>
        <v/>
      </c>
      <c r="G183" t="str">
        <f t="shared" ref="G183:G190" si="46">IF(J8=5,S8,"")</f>
        <v/>
      </c>
    </row>
    <row r="184" spans="2:7">
      <c r="B184" s="46"/>
      <c r="C184" s="49" t="str">
        <f t="shared" si="42"/>
        <v/>
      </c>
      <c r="D184" s="50">
        <f t="shared" si="43"/>
        <v>0.734154929577465</v>
      </c>
      <c r="E184" t="str">
        <f t="shared" si="44"/>
        <v/>
      </c>
      <c r="F184" t="str">
        <f t="shared" si="45"/>
        <v/>
      </c>
      <c r="G184" t="str">
        <f t="shared" si="46"/>
        <v/>
      </c>
    </row>
    <row r="185" spans="2:7">
      <c r="B185" s="46"/>
      <c r="C185" s="49" t="str">
        <f t="shared" si="42"/>
        <v/>
      </c>
      <c r="D185" s="50" t="str">
        <f t="shared" si="43"/>
        <v/>
      </c>
      <c r="E185">
        <f t="shared" si="44"/>
        <v>1.83823529411765</v>
      </c>
      <c r="F185" t="str">
        <f t="shared" si="45"/>
        <v/>
      </c>
      <c r="G185" t="str">
        <f t="shared" si="46"/>
        <v/>
      </c>
    </row>
    <row r="186" spans="2:7">
      <c r="B186" s="46"/>
      <c r="C186" s="49" t="str">
        <f t="shared" si="42"/>
        <v/>
      </c>
      <c r="D186" s="50" t="str">
        <f t="shared" si="43"/>
        <v/>
      </c>
      <c r="E186" t="str">
        <f t="shared" si="44"/>
        <v/>
      </c>
      <c r="F186">
        <f t="shared" si="45"/>
        <v>4.28571428571429</v>
      </c>
      <c r="G186" t="str">
        <f t="shared" si="46"/>
        <v/>
      </c>
    </row>
    <row r="187" spans="2:7">
      <c r="B187" s="46"/>
      <c r="C187" s="49" t="str">
        <f t="shared" si="42"/>
        <v/>
      </c>
      <c r="D187" s="50" t="str">
        <f t="shared" si="43"/>
        <v/>
      </c>
      <c r="E187" t="str">
        <f t="shared" si="44"/>
        <v/>
      </c>
      <c r="F187" t="str">
        <f t="shared" si="45"/>
        <v/>
      </c>
      <c r="G187">
        <f t="shared" si="46"/>
        <v>3.43396226415094</v>
      </c>
    </row>
    <row r="188" spans="2:7">
      <c r="B188" s="46"/>
      <c r="C188" s="49" t="str">
        <f t="shared" si="42"/>
        <v/>
      </c>
      <c r="D188" s="50" t="str">
        <f t="shared" si="43"/>
        <v/>
      </c>
      <c r="E188">
        <f t="shared" si="44"/>
        <v>14.5833333333333</v>
      </c>
      <c r="F188" t="str">
        <f t="shared" si="45"/>
        <v/>
      </c>
      <c r="G188" t="str">
        <f t="shared" si="46"/>
        <v/>
      </c>
    </row>
    <row r="189" spans="2:7">
      <c r="B189" s="46"/>
      <c r="C189" s="49" t="str">
        <f t="shared" si="42"/>
        <v/>
      </c>
      <c r="D189" s="50" t="str">
        <f t="shared" si="43"/>
        <v/>
      </c>
      <c r="E189" t="str">
        <f t="shared" si="44"/>
        <v/>
      </c>
      <c r="F189">
        <f t="shared" si="45"/>
        <v>6.42857142857143</v>
      </c>
      <c r="G189" t="str">
        <f t="shared" si="46"/>
        <v/>
      </c>
    </row>
    <row r="190" ht="15.75" spans="2:7">
      <c r="B190" s="46"/>
      <c r="C190" s="49" t="str">
        <f t="shared" si="42"/>
        <v/>
      </c>
      <c r="D190" s="50" t="str">
        <f t="shared" si="43"/>
        <v/>
      </c>
      <c r="E190" t="str">
        <f t="shared" si="44"/>
        <v/>
      </c>
      <c r="F190" t="str">
        <f t="shared" si="45"/>
        <v/>
      </c>
      <c r="G190">
        <f t="shared" si="46"/>
        <v>3.84591194968553</v>
      </c>
    </row>
    <row r="191" ht="15.75" spans="2:7">
      <c r="B191" s="52" t="s">
        <v>269</v>
      </c>
      <c r="C191" s="53">
        <f>MAX(C183:C190)</f>
        <v>0.700231481481482</v>
      </c>
      <c r="D191" s="54">
        <f>MAX(D183:D190)</f>
        <v>0.734154929577465</v>
      </c>
      <c r="E191" s="54">
        <f>MAX(E183:E190)</f>
        <v>14.5833333333333</v>
      </c>
      <c r="F191" s="54">
        <f>MAX(F183:F190)</f>
        <v>6.42857142857143</v>
      </c>
      <c r="G191" s="54">
        <f>MAX(G183:G190)</f>
        <v>3.84591194968553</v>
      </c>
    </row>
    <row r="192" ht="15.75" spans="2:7">
      <c r="B192" s="55" t="s">
        <v>270</v>
      </c>
      <c r="C192" s="56">
        <v>1</v>
      </c>
      <c r="D192" s="57">
        <v>2</v>
      </c>
      <c r="E192">
        <v>3</v>
      </c>
      <c r="F192">
        <v>4</v>
      </c>
      <c r="G192">
        <v>5</v>
      </c>
    </row>
    <row r="193" spans="2:7">
      <c r="B193" s="46" t="s">
        <v>271</v>
      </c>
      <c r="C193" s="58">
        <f>HLOOKUP(MIN(C191:G191),C191:G192,2,FALSE)</f>
        <v>1</v>
      </c>
      <c r="D193" s="46"/>
    </row>
    <row r="194" spans="2:7">
      <c r="B194" s="46"/>
      <c r="C194" s="58"/>
      <c r="D194" s="46"/>
    </row>
    <row r="195" spans="2:7">
      <c r="B195" s="46"/>
      <c r="C195" s="46"/>
      <c r="D195" s="46"/>
    </row>
    <row r="196" spans="2:7">
      <c r="B196" s="46"/>
      <c r="C196" s="46"/>
      <c r="D196" s="46"/>
    </row>
    <row r="197" spans="2:7">
      <c r="B197" s="43" t="s">
        <v>278</v>
      </c>
      <c r="C197" s="44"/>
      <c r="D197" s="46"/>
    </row>
    <row r="198" spans="2:7">
      <c r="B198" s="46"/>
      <c r="C198" s="61" t="s">
        <v>264</v>
      </c>
      <c r="D198" s="61" t="s">
        <v>265</v>
      </c>
      <c r="E198" s="62" t="s">
        <v>266</v>
      </c>
      <c r="F198" s="62" t="s">
        <v>267</v>
      </c>
      <c r="G198" s="62" t="s">
        <v>268</v>
      </c>
    </row>
    <row r="199" spans="2:7">
      <c r="B199" s="46"/>
      <c r="C199">
        <f t="shared" ref="C199:C207" si="47">IF(J8=1,S8,"")</f>
        <v>0.700231481481482</v>
      </c>
      <c r="D199" s="63" t="str">
        <f t="shared" ref="D199:D207" si="48">IF(J8=2,S8,"")</f>
        <v/>
      </c>
      <c r="E199" t="str">
        <f t="shared" ref="E199:E207" si="49">IF(J8=3,S8,"")</f>
        <v/>
      </c>
      <c r="F199" t="str">
        <f t="shared" ref="F199:F207" si="50">IF(J8=4,S8,"")</f>
        <v/>
      </c>
      <c r="G199" t="str">
        <f t="shared" ref="G199:G207" si="51">IF(J8=5,S8,"")</f>
        <v/>
      </c>
    </row>
    <row r="200" spans="2:7">
      <c r="B200" s="46"/>
      <c r="C200" t="str">
        <f t="shared" si="47"/>
        <v/>
      </c>
      <c r="D200" s="63">
        <f t="shared" si="48"/>
        <v>0.734154929577465</v>
      </c>
      <c r="E200" t="str">
        <f t="shared" si="49"/>
        <v/>
      </c>
      <c r="F200" t="str">
        <f t="shared" si="50"/>
        <v/>
      </c>
      <c r="G200" t="str">
        <f t="shared" si="51"/>
        <v/>
      </c>
    </row>
    <row r="201" spans="2:7">
      <c r="B201" s="46"/>
      <c r="C201" t="str">
        <f t="shared" si="47"/>
        <v/>
      </c>
      <c r="D201" s="63" t="str">
        <f t="shared" si="48"/>
        <v/>
      </c>
      <c r="E201">
        <f t="shared" si="49"/>
        <v>1.83823529411765</v>
      </c>
      <c r="F201" t="str">
        <f t="shared" si="50"/>
        <v/>
      </c>
      <c r="G201" t="str">
        <f t="shared" si="51"/>
        <v/>
      </c>
    </row>
    <row r="202" spans="2:7">
      <c r="B202" s="46"/>
      <c r="C202" t="str">
        <f t="shared" si="47"/>
        <v/>
      </c>
      <c r="D202" s="63" t="str">
        <f t="shared" si="48"/>
        <v/>
      </c>
      <c r="E202" t="str">
        <f t="shared" si="49"/>
        <v/>
      </c>
      <c r="F202">
        <f t="shared" si="50"/>
        <v>4.28571428571429</v>
      </c>
      <c r="G202" t="str">
        <f t="shared" si="51"/>
        <v/>
      </c>
    </row>
    <row r="203" spans="2:7">
      <c r="B203" s="46"/>
      <c r="C203" t="str">
        <f t="shared" si="47"/>
        <v/>
      </c>
      <c r="D203" s="63" t="str">
        <f t="shared" si="48"/>
        <v/>
      </c>
      <c r="E203" t="str">
        <f t="shared" si="49"/>
        <v/>
      </c>
      <c r="F203" t="str">
        <f t="shared" si="50"/>
        <v/>
      </c>
      <c r="G203">
        <f t="shared" si="51"/>
        <v>3.43396226415094</v>
      </c>
    </row>
    <row r="204" spans="2:7">
      <c r="B204" s="46"/>
      <c r="C204" t="str">
        <f t="shared" si="47"/>
        <v/>
      </c>
      <c r="D204" s="63" t="str">
        <f t="shared" si="48"/>
        <v/>
      </c>
      <c r="E204">
        <f t="shared" si="49"/>
        <v>14.5833333333333</v>
      </c>
      <c r="F204" t="str">
        <f t="shared" si="50"/>
        <v/>
      </c>
      <c r="G204" t="str">
        <f t="shared" si="51"/>
        <v/>
      </c>
    </row>
    <row r="205" spans="2:7">
      <c r="B205" s="46"/>
      <c r="C205" t="str">
        <f t="shared" si="47"/>
        <v/>
      </c>
      <c r="D205" s="63" t="str">
        <f t="shared" si="48"/>
        <v/>
      </c>
      <c r="E205" t="str">
        <f t="shared" si="49"/>
        <v/>
      </c>
      <c r="F205">
        <f t="shared" si="50"/>
        <v>6.42857142857143</v>
      </c>
      <c r="G205" t="str">
        <f t="shared" si="51"/>
        <v/>
      </c>
    </row>
    <row r="206" spans="2:7">
      <c r="B206" s="46"/>
      <c r="C206" t="str">
        <f t="shared" si="47"/>
        <v/>
      </c>
      <c r="D206" s="63" t="str">
        <f t="shared" si="48"/>
        <v/>
      </c>
      <c r="E206" t="str">
        <f t="shared" si="49"/>
        <v/>
      </c>
      <c r="F206" t="str">
        <f t="shared" si="50"/>
        <v/>
      </c>
      <c r="G206">
        <f t="shared" si="51"/>
        <v>3.84591194968553</v>
      </c>
    </row>
    <row r="207" ht="15.75" spans="2:7">
      <c r="B207" s="46"/>
      <c r="C207">
        <f t="shared" si="47"/>
        <v>0.844907407407407</v>
      </c>
      <c r="D207" s="63" t="str">
        <f t="shared" si="48"/>
        <v/>
      </c>
      <c r="E207" t="str">
        <f t="shared" si="49"/>
        <v/>
      </c>
      <c r="F207" t="str">
        <f t="shared" si="50"/>
        <v/>
      </c>
      <c r="G207" t="str">
        <f t="shared" si="51"/>
        <v/>
      </c>
    </row>
    <row r="208" ht="15.75" spans="2:7">
      <c r="B208" s="52" t="s">
        <v>269</v>
      </c>
      <c r="C208" s="53">
        <f>MAX(C199:C207)</f>
        <v>0.844907407407407</v>
      </c>
      <c r="D208" s="64">
        <f>MAX(D199:D207)</f>
        <v>0.734154929577465</v>
      </c>
      <c r="E208" s="54">
        <f>MAX(E199:E207)</f>
        <v>14.5833333333333</v>
      </c>
      <c r="F208" s="54">
        <f>MAX(F199:F207)</f>
        <v>6.42857142857143</v>
      </c>
      <c r="G208" s="54">
        <f>MAX(G199:G207)</f>
        <v>3.84591194968553</v>
      </c>
    </row>
    <row r="209" ht="15.75" spans="2:7">
      <c r="B209" s="55" t="s">
        <v>270</v>
      </c>
      <c r="C209" s="56">
        <v>1</v>
      </c>
      <c r="D209" s="57">
        <v>2</v>
      </c>
      <c r="E209">
        <v>3</v>
      </c>
      <c r="F209">
        <v>4</v>
      </c>
      <c r="G209">
        <v>5</v>
      </c>
    </row>
    <row r="210" spans="2:7">
      <c r="B210" s="46" t="s">
        <v>271</v>
      </c>
      <c r="C210" s="58">
        <f>HLOOKUP(MIN(C208:G208),C208:G209,2,FALSE)</f>
        <v>2</v>
      </c>
      <c r="D210" s="46"/>
    </row>
    <row r="211" spans="2:7">
      <c r="B211" s="46"/>
      <c r="C211" s="58"/>
      <c r="D211" s="46"/>
    </row>
    <row r="212" spans="2:7">
      <c r="B212" s="46"/>
      <c r="C212" s="46"/>
      <c r="D212" s="46"/>
    </row>
    <row r="213" spans="2:7">
      <c r="B213" s="46"/>
      <c r="C213" s="46"/>
      <c r="D213" s="46"/>
    </row>
    <row r="214" ht="15.75" spans="2:7">
      <c r="B214" s="43" t="s">
        <v>279</v>
      </c>
      <c r="C214" s="44"/>
      <c r="D214" s="45"/>
    </row>
    <row r="215" spans="2:7">
      <c r="B215" s="46"/>
      <c r="C215" s="61" t="s">
        <v>264</v>
      </c>
      <c r="D215" s="61" t="s">
        <v>265</v>
      </c>
      <c r="E215" s="62" t="s">
        <v>266</v>
      </c>
      <c r="F215" s="62" t="s">
        <v>267</v>
      </c>
      <c r="G215" s="62" t="s">
        <v>268</v>
      </c>
    </row>
    <row r="216" spans="2:7">
      <c r="B216" s="46"/>
      <c r="C216">
        <f t="shared" ref="C216:C225" si="52">IF(J8=1,S8,"")</f>
        <v>0.700231481481482</v>
      </c>
      <c r="D216" s="63" t="str">
        <f t="shared" ref="D216:D225" si="53">IF(J8=2,S8,"")</f>
        <v/>
      </c>
      <c r="E216" t="str">
        <f t="shared" ref="E216:E225" si="54">IF(J8=3,S8,"")</f>
        <v/>
      </c>
      <c r="F216" t="str">
        <f t="shared" ref="F216:F225" si="55">IF(J8=4,S8,"")</f>
        <v/>
      </c>
      <c r="G216" t="str">
        <f t="shared" ref="G216:G225" si="56">IF(J8=5,S8,"")</f>
        <v/>
      </c>
    </row>
    <row r="217" spans="2:7">
      <c r="B217" s="46"/>
      <c r="C217" t="str">
        <f t="shared" si="52"/>
        <v/>
      </c>
      <c r="D217" s="63">
        <f t="shared" si="53"/>
        <v>0.734154929577465</v>
      </c>
      <c r="E217" t="str">
        <f t="shared" si="54"/>
        <v/>
      </c>
      <c r="F217" t="str">
        <f t="shared" si="55"/>
        <v/>
      </c>
      <c r="G217" t="str">
        <f t="shared" si="56"/>
        <v/>
      </c>
    </row>
    <row r="218" spans="2:7">
      <c r="B218" s="46"/>
      <c r="C218" t="str">
        <f t="shared" si="52"/>
        <v/>
      </c>
      <c r="D218" s="63" t="str">
        <f t="shared" si="53"/>
        <v/>
      </c>
      <c r="E218">
        <f t="shared" si="54"/>
        <v>1.83823529411765</v>
      </c>
      <c r="F218" t="str">
        <f t="shared" si="55"/>
        <v/>
      </c>
      <c r="G218" t="str">
        <f t="shared" si="56"/>
        <v/>
      </c>
    </row>
    <row r="219" spans="2:7">
      <c r="B219" s="46"/>
      <c r="C219" t="str">
        <f t="shared" si="52"/>
        <v/>
      </c>
      <c r="D219" s="63" t="str">
        <f t="shared" si="53"/>
        <v/>
      </c>
      <c r="E219" t="str">
        <f t="shared" si="54"/>
        <v/>
      </c>
      <c r="F219">
        <f t="shared" si="55"/>
        <v>4.28571428571429</v>
      </c>
      <c r="G219" t="str">
        <f t="shared" si="56"/>
        <v/>
      </c>
    </row>
    <row r="220" spans="2:7">
      <c r="B220" s="46"/>
      <c r="C220" t="str">
        <f t="shared" si="52"/>
        <v/>
      </c>
      <c r="D220" s="63" t="str">
        <f t="shared" si="53"/>
        <v/>
      </c>
      <c r="E220" t="str">
        <f t="shared" si="54"/>
        <v/>
      </c>
      <c r="F220" t="str">
        <f t="shared" si="55"/>
        <v/>
      </c>
      <c r="G220">
        <f t="shared" si="56"/>
        <v>3.43396226415094</v>
      </c>
    </row>
    <row r="221" spans="2:7">
      <c r="B221" s="46"/>
      <c r="C221" t="str">
        <f t="shared" si="52"/>
        <v/>
      </c>
      <c r="D221" s="63" t="str">
        <f t="shared" si="53"/>
        <v/>
      </c>
      <c r="E221">
        <f t="shared" si="54"/>
        <v>14.5833333333333</v>
      </c>
      <c r="F221" t="str">
        <f t="shared" si="55"/>
        <v/>
      </c>
      <c r="G221" t="str">
        <f t="shared" si="56"/>
        <v/>
      </c>
    </row>
    <row r="222" spans="2:7">
      <c r="B222" s="46"/>
      <c r="C222" t="str">
        <f t="shared" si="52"/>
        <v/>
      </c>
      <c r="D222" s="63" t="str">
        <f t="shared" si="53"/>
        <v/>
      </c>
      <c r="E222" t="str">
        <f t="shared" si="54"/>
        <v/>
      </c>
      <c r="F222">
        <f t="shared" si="55"/>
        <v>6.42857142857143</v>
      </c>
      <c r="G222" t="str">
        <f t="shared" si="56"/>
        <v/>
      </c>
    </row>
    <row r="223" spans="2:7">
      <c r="B223" s="46"/>
      <c r="C223" t="str">
        <f t="shared" si="52"/>
        <v/>
      </c>
      <c r="D223" s="63" t="str">
        <f t="shared" si="53"/>
        <v/>
      </c>
      <c r="E223" t="str">
        <f t="shared" si="54"/>
        <v/>
      </c>
      <c r="F223" t="str">
        <f t="shared" si="55"/>
        <v/>
      </c>
      <c r="G223">
        <f t="shared" si="56"/>
        <v>3.84591194968553</v>
      </c>
    </row>
    <row r="224" spans="2:7">
      <c r="B224" s="46"/>
      <c r="C224">
        <f t="shared" si="52"/>
        <v>0.844907407407407</v>
      </c>
      <c r="D224" s="63" t="str">
        <f t="shared" si="53"/>
        <v/>
      </c>
      <c r="E224" t="str">
        <f t="shared" si="54"/>
        <v/>
      </c>
      <c r="F224" t="str">
        <f t="shared" si="55"/>
        <v/>
      </c>
      <c r="G224" t="str">
        <f t="shared" si="56"/>
        <v/>
      </c>
    </row>
    <row r="225" ht="15.75" spans="2:7">
      <c r="B225" s="46"/>
      <c r="C225">
        <f t="shared" si="52"/>
        <v>6.79803240740741</v>
      </c>
      <c r="D225" s="63" t="str">
        <f t="shared" si="53"/>
        <v/>
      </c>
      <c r="E225" t="str">
        <f t="shared" si="54"/>
        <v/>
      </c>
      <c r="F225" t="str">
        <f t="shared" si="55"/>
        <v/>
      </c>
      <c r="G225" t="str">
        <f t="shared" si="56"/>
        <v/>
      </c>
    </row>
    <row r="226" ht="15.75" spans="2:7">
      <c r="B226" s="52" t="s">
        <v>269</v>
      </c>
      <c r="C226" s="53">
        <f>MAX(C216:C225)</f>
        <v>6.79803240740741</v>
      </c>
      <c r="D226" s="64">
        <f>MAX(D216:D225)</f>
        <v>0.734154929577465</v>
      </c>
      <c r="E226" s="54">
        <f>MAX(E216:E225)</f>
        <v>14.5833333333333</v>
      </c>
      <c r="F226" s="54">
        <f>MAX(F216:F225)</f>
        <v>6.42857142857143</v>
      </c>
      <c r="G226" s="54">
        <f>MAX(G216:G225)</f>
        <v>3.84591194968553</v>
      </c>
    </row>
    <row r="227" ht="15.75" spans="2:7">
      <c r="B227" s="55" t="s">
        <v>270</v>
      </c>
      <c r="C227" s="56">
        <v>1</v>
      </c>
      <c r="D227" s="57">
        <v>2</v>
      </c>
      <c r="E227">
        <v>3</v>
      </c>
      <c r="F227">
        <v>4</v>
      </c>
      <c r="G227">
        <v>5</v>
      </c>
    </row>
    <row r="228" spans="2:7">
      <c r="B228" s="46" t="s">
        <v>271</v>
      </c>
      <c r="C228" s="58">
        <f>HLOOKUP(MIN(C226:G226),C226:G227,2,FALSE)</f>
        <v>2</v>
      </c>
      <c r="D228" s="46"/>
    </row>
    <row r="229" spans="2:7">
      <c r="B229" s="46"/>
      <c r="C229" s="58"/>
      <c r="D229" s="46"/>
    </row>
    <row r="230" spans="2:7">
      <c r="B230" s="46"/>
      <c r="C230" s="46"/>
      <c r="D230" s="46"/>
    </row>
    <row r="231" spans="2:7">
      <c r="B231" s="46"/>
      <c r="C231" s="46"/>
      <c r="D231" s="46"/>
    </row>
    <row r="232" ht="15.75" spans="2:7">
      <c r="B232" s="43" t="s">
        <v>280</v>
      </c>
      <c r="C232" s="44"/>
      <c r="D232" s="45"/>
    </row>
    <row r="233" spans="2:7">
      <c r="B233" s="46"/>
      <c r="C233" s="61" t="s">
        <v>264</v>
      </c>
      <c r="D233" s="61" t="s">
        <v>265</v>
      </c>
      <c r="E233" s="62" t="s">
        <v>266</v>
      </c>
      <c r="F233" s="62" t="s">
        <v>267</v>
      </c>
      <c r="G233" s="62" t="s">
        <v>268</v>
      </c>
    </row>
    <row r="234" spans="2:7">
      <c r="B234" s="46"/>
      <c r="C234">
        <f t="shared" ref="C234:C244" si="57">IF(J8=1,S8,"")</f>
        <v>0.700231481481482</v>
      </c>
      <c r="D234" s="63" t="str">
        <f t="shared" ref="D234:D244" si="58">IF(J8=2,S8,"")</f>
        <v/>
      </c>
      <c r="E234" t="str">
        <f t="shared" ref="E234:E244" si="59">IF(J8=3,S8,"")</f>
        <v/>
      </c>
      <c r="F234" t="str">
        <f t="shared" ref="F234:F244" si="60">IF(J8=4,S8,"")</f>
        <v/>
      </c>
      <c r="G234" t="str">
        <f t="shared" ref="G234:G244" si="61">IF(J8=5,S8,"")</f>
        <v/>
      </c>
    </row>
    <row r="235" spans="2:7">
      <c r="B235" s="46"/>
      <c r="C235" t="str">
        <f t="shared" si="57"/>
        <v/>
      </c>
      <c r="D235" s="63">
        <f t="shared" si="58"/>
        <v>0.734154929577465</v>
      </c>
      <c r="E235" t="str">
        <f t="shared" si="59"/>
        <v/>
      </c>
      <c r="F235" t="str">
        <f t="shared" si="60"/>
        <v/>
      </c>
      <c r="G235" t="str">
        <f t="shared" si="61"/>
        <v/>
      </c>
    </row>
    <row r="236" spans="2:7">
      <c r="B236" s="46"/>
      <c r="C236" t="str">
        <f t="shared" si="57"/>
        <v/>
      </c>
      <c r="D236" s="63" t="str">
        <f t="shared" si="58"/>
        <v/>
      </c>
      <c r="E236">
        <f t="shared" si="59"/>
        <v>1.83823529411765</v>
      </c>
      <c r="F236" t="str">
        <f t="shared" si="60"/>
        <v/>
      </c>
      <c r="G236" t="str">
        <f t="shared" si="61"/>
        <v/>
      </c>
    </row>
    <row r="237" spans="2:7">
      <c r="B237" s="46"/>
      <c r="C237" t="str">
        <f t="shared" si="57"/>
        <v/>
      </c>
      <c r="D237" s="63" t="str">
        <f t="shared" si="58"/>
        <v/>
      </c>
      <c r="E237" t="str">
        <f t="shared" si="59"/>
        <v/>
      </c>
      <c r="F237">
        <f t="shared" si="60"/>
        <v>4.28571428571429</v>
      </c>
      <c r="G237" t="str">
        <f t="shared" si="61"/>
        <v/>
      </c>
    </row>
    <row r="238" spans="2:7">
      <c r="B238" s="46"/>
      <c r="C238" t="str">
        <f t="shared" si="57"/>
        <v/>
      </c>
      <c r="D238" s="63" t="str">
        <f t="shared" si="58"/>
        <v/>
      </c>
      <c r="E238" t="str">
        <f t="shared" si="59"/>
        <v/>
      </c>
      <c r="F238" t="str">
        <f t="shared" si="60"/>
        <v/>
      </c>
      <c r="G238">
        <f t="shared" si="61"/>
        <v>3.43396226415094</v>
      </c>
    </row>
    <row r="239" spans="2:7">
      <c r="B239" s="46"/>
      <c r="C239" t="str">
        <f t="shared" si="57"/>
        <v/>
      </c>
      <c r="D239" s="63" t="str">
        <f t="shared" si="58"/>
        <v/>
      </c>
      <c r="E239">
        <f t="shared" si="59"/>
        <v>14.5833333333333</v>
      </c>
      <c r="F239" t="str">
        <f t="shared" si="60"/>
        <v/>
      </c>
      <c r="G239" t="str">
        <f t="shared" si="61"/>
        <v/>
      </c>
    </row>
    <row r="240" spans="2:7">
      <c r="B240" s="46"/>
      <c r="C240" t="str">
        <f t="shared" si="57"/>
        <v/>
      </c>
      <c r="D240" s="63" t="str">
        <f t="shared" si="58"/>
        <v/>
      </c>
      <c r="E240" t="str">
        <f t="shared" si="59"/>
        <v/>
      </c>
      <c r="F240">
        <f t="shared" si="60"/>
        <v>6.42857142857143</v>
      </c>
      <c r="G240" t="str">
        <f t="shared" si="61"/>
        <v/>
      </c>
    </row>
    <row r="241" spans="2:7">
      <c r="B241" s="46"/>
      <c r="C241" t="str">
        <f t="shared" si="57"/>
        <v/>
      </c>
      <c r="D241" s="63" t="str">
        <f t="shared" si="58"/>
        <v/>
      </c>
      <c r="E241" t="str">
        <f t="shared" si="59"/>
        <v/>
      </c>
      <c r="F241" t="str">
        <f t="shared" si="60"/>
        <v/>
      </c>
      <c r="G241">
        <f t="shared" si="61"/>
        <v>3.84591194968553</v>
      </c>
    </row>
    <row r="242" spans="2:7">
      <c r="B242" s="46"/>
      <c r="C242">
        <f t="shared" si="57"/>
        <v>0.844907407407407</v>
      </c>
      <c r="D242" s="63" t="str">
        <f t="shared" si="58"/>
        <v/>
      </c>
      <c r="E242" t="str">
        <f t="shared" si="59"/>
        <v/>
      </c>
      <c r="F242" t="str">
        <f t="shared" si="60"/>
        <v/>
      </c>
      <c r="G242" t="str">
        <f t="shared" si="61"/>
        <v/>
      </c>
    </row>
    <row r="243" spans="2:7">
      <c r="B243" s="46"/>
      <c r="C243">
        <f t="shared" si="57"/>
        <v>6.79803240740741</v>
      </c>
      <c r="D243" s="63" t="str">
        <f t="shared" si="58"/>
        <v/>
      </c>
      <c r="E243" t="str">
        <f t="shared" si="59"/>
        <v/>
      </c>
      <c r="F243" t="str">
        <f t="shared" si="60"/>
        <v/>
      </c>
      <c r="G243" t="str">
        <f t="shared" si="61"/>
        <v/>
      </c>
    </row>
    <row r="244" ht="15.75" spans="2:7">
      <c r="B244" s="46"/>
      <c r="C244">
        <f t="shared" si="57"/>
        <v>6.79803240740741</v>
      </c>
      <c r="D244" s="63" t="str">
        <f t="shared" si="58"/>
        <v/>
      </c>
      <c r="E244" t="str">
        <f t="shared" si="59"/>
        <v/>
      </c>
      <c r="F244" t="str">
        <f t="shared" si="60"/>
        <v/>
      </c>
      <c r="G244" t="str">
        <f t="shared" si="61"/>
        <v/>
      </c>
    </row>
    <row r="245" ht="15.75" spans="2:7">
      <c r="B245" s="52" t="s">
        <v>269</v>
      </c>
      <c r="C245" s="53">
        <f>MAX(C234:C244)</f>
        <v>6.79803240740741</v>
      </c>
      <c r="D245" s="64">
        <f>MAX(D234:D244)</f>
        <v>0.734154929577465</v>
      </c>
      <c r="E245" s="54">
        <f>MAX(E234:E244)</f>
        <v>14.5833333333333</v>
      </c>
      <c r="F245" s="54">
        <f>MAX(F234:F244)</f>
        <v>6.42857142857143</v>
      </c>
      <c r="G245" s="54">
        <f>MAX(G234:G244)</f>
        <v>3.84591194968553</v>
      </c>
    </row>
    <row r="246" ht="15.75" spans="2:7">
      <c r="B246" s="55" t="s">
        <v>270</v>
      </c>
      <c r="C246" s="56">
        <v>1</v>
      </c>
      <c r="D246" s="57">
        <v>2</v>
      </c>
      <c r="E246">
        <v>3</v>
      </c>
      <c r="F246">
        <v>4</v>
      </c>
      <c r="G246">
        <v>5</v>
      </c>
    </row>
    <row r="247" spans="2:7">
      <c r="B247" s="46" t="s">
        <v>271</v>
      </c>
      <c r="C247" s="58">
        <f>HLOOKUP(MIN(C245:G245),C245:G246,2,FALSE)</f>
        <v>2</v>
      </c>
      <c r="D247" s="46"/>
    </row>
    <row r="248" spans="2:7">
      <c r="B248" s="46"/>
      <c r="C248" s="58"/>
      <c r="D248" s="46"/>
    </row>
    <row r="249" spans="2:7">
      <c r="B249" s="46"/>
      <c r="C249" s="46"/>
      <c r="D249" s="46"/>
    </row>
    <row r="250" spans="2:7">
      <c r="B250" s="46"/>
      <c r="C250" s="46"/>
      <c r="D250" s="46"/>
    </row>
    <row r="251" ht="15.75" spans="2:7">
      <c r="B251" s="43" t="s">
        <v>281</v>
      </c>
      <c r="C251" s="44"/>
      <c r="D251" s="45"/>
    </row>
    <row r="252" spans="2:7">
      <c r="B252" s="46"/>
      <c r="C252" s="61" t="s">
        <v>264</v>
      </c>
      <c r="D252" s="61" t="s">
        <v>265</v>
      </c>
      <c r="E252" s="62" t="s">
        <v>266</v>
      </c>
      <c r="F252" s="62" t="s">
        <v>267</v>
      </c>
      <c r="G252" s="62" t="s">
        <v>268</v>
      </c>
    </row>
    <row r="253" spans="2:7">
      <c r="B253" s="46"/>
      <c r="C253">
        <f t="shared" ref="C253:C264" si="62">IF(J8=1,S8,"")</f>
        <v>0.700231481481482</v>
      </c>
      <c r="D253" s="63" t="str">
        <f t="shared" ref="D253:D264" si="63">IF(J8=2,S8,"")</f>
        <v/>
      </c>
      <c r="E253" t="str">
        <f t="shared" ref="E253:E264" si="64">IF(J8=3,S8,"")</f>
        <v/>
      </c>
      <c r="F253" t="str">
        <f t="shared" ref="F253:F264" si="65">IF(J8=4,S8,"")</f>
        <v/>
      </c>
      <c r="G253" t="str">
        <f t="shared" ref="G253:G264" si="66">IF(J8=5,S8,"")</f>
        <v/>
      </c>
    </row>
    <row r="254" spans="2:7">
      <c r="B254" s="46"/>
      <c r="C254" t="str">
        <f t="shared" si="62"/>
        <v/>
      </c>
      <c r="D254" s="63">
        <f t="shared" si="63"/>
        <v>0.734154929577465</v>
      </c>
      <c r="E254" t="str">
        <f t="shared" si="64"/>
        <v/>
      </c>
      <c r="F254" t="str">
        <f t="shared" si="65"/>
        <v/>
      </c>
      <c r="G254" t="str">
        <f t="shared" si="66"/>
        <v/>
      </c>
    </row>
    <row r="255" spans="2:7">
      <c r="B255" s="46"/>
      <c r="C255" t="str">
        <f t="shared" si="62"/>
        <v/>
      </c>
      <c r="D255" s="63" t="str">
        <f t="shared" si="63"/>
        <v/>
      </c>
      <c r="E255">
        <f t="shared" si="64"/>
        <v>1.83823529411765</v>
      </c>
      <c r="F255" t="str">
        <f t="shared" si="65"/>
        <v/>
      </c>
      <c r="G255" t="str">
        <f t="shared" si="66"/>
        <v/>
      </c>
    </row>
    <row r="256" spans="2:7">
      <c r="B256" s="46"/>
      <c r="C256" t="str">
        <f t="shared" si="62"/>
        <v/>
      </c>
      <c r="D256" s="63" t="str">
        <f t="shared" si="63"/>
        <v/>
      </c>
      <c r="E256" t="str">
        <f t="shared" si="64"/>
        <v/>
      </c>
      <c r="F256">
        <f t="shared" si="65"/>
        <v>4.28571428571429</v>
      </c>
      <c r="G256" t="str">
        <f t="shared" si="66"/>
        <v/>
      </c>
    </row>
    <row r="257" spans="2:7">
      <c r="B257" s="46"/>
      <c r="C257" t="str">
        <f t="shared" si="62"/>
        <v/>
      </c>
      <c r="D257" s="63" t="str">
        <f t="shared" si="63"/>
        <v/>
      </c>
      <c r="E257" t="str">
        <f t="shared" si="64"/>
        <v/>
      </c>
      <c r="F257" t="str">
        <f t="shared" si="65"/>
        <v/>
      </c>
      <c r="G257">
        <f t="shared" si="66"/>
        <v>3.43396226415094</v>
      </c>
    </row>
    <row r="258" spans="2:7">
      <c r="B258" s="46"/>
      <c r="C258" t="str">
        <f t="shared" si="62"/>
        <v/>
      </c>
      <c r="D258" s="63" t="str">
        <f t="shared" si="63"/>
        <v/>
      </c>
      <c r="E258">
        <f t="shared" si="64"/>
        <v>14.5833333333333</v>
      </c>
      <c r="F258" t="str">
        <f t="shared" si="65"/>
        <v/>
      </c>
      <c r="G258" t="str">
        <f t="shared" si="66"/>
        <v/>
      </c>
    </row>
    <row r="259" spans="2:7">
      <c r="B259" s="46"/>
      <c r="C259" t="str">
        <f t="shared" si="62"/>
        <v/>
      </c>
      <c r="D259" s="63" t="str">
        <f t="shared" si="63"/>
        <v/>
      </c>
      <c r="E259" t="str">
        <f t="shared" si="64"/>
        <v/>
      </c>
      <c r="F259">
        <f t="shared" si="65"/>
        <v>6.42857142857143</v>
      </c>
      <c r="G259" t="str">
        <f t="shared" si="66"/>
        <v/>
      </c>
    </row>
    <row r="260" spans="2:7">
      <c r="B260" s="46"/>
      <c r="C260" t="str">
        <f t="shared" si="62"/>
        <v/>
      </c>
      <c r="D260" s="63" t="str">
        <f t="shared" si="63"/>
        <v/>
      </c>
      <c r="E260" t="str">
        <f t="shared" si="64"/>
        <v/>
      </c>
      <c r="F260" t="str">
        <f t="shared" si="65"/>
        <v/>
      </c>
      <c r="G260">
        <f t="shared" si="66"/>
        <v>3.84591194968553</v>
      </c>
    </row>
    <row r="261" spans="2:7">
      <c r="B261" s="46"/>
      <c r="C261">
        <f t="shared" si="62"/>
        <v>0.844907407407407</v>
      </c>
      <c r="D261" s="63" t="str">
        <f t="shared" si="63"/>
        <v/>
      </c>
      <c r="E261" t="str">
        <f t="shared" si="64"/>
        <v/>
      </c>
      <c r="F261" t="str">
        <f t="shared" si="65"/>
        <v/>
      </c>
      <c r="G261" t="str">
        <f t="shared" si="66"/>
        <v/>
      </c>
    </row>
    <row r="262" spans="2:7">
      <c r="B262" s="46"/>
      <c r="C262">
        <f t="shared" si="62"/>
        <v>6.79803240740741</v>
      </c>
      <c r="D262" s="63" t="str">
        <f t="shared" si="63"/>
        <v/>
      </c>
      <c r="E262" t="str">
        <f t="shared" si="64"/>
        <v/>
      </c>
      <c r="F262" t="str">
        <f t="shared" si="65"/>
        <v/>
      </c>
      <c r="G262" t="str">
        <f t="shared" si="66"/>
        <v/>
      </c>
    </row>
    <row r="263" spans="2:7">
      <c r="B263" s="46"/>
      <c r="C263">
        <f t="shared" si="62"/>
        <v>6.79803240740741</v>
      </c>
      <c r="D263" s="63" t="str">
        <f t="shared" si="63"/>
        <v/>
      </c>
      <c r="E263" t="str">
        <f t="shared" si="64"/>
        <v/>
      </c>
      <c r="F263" t="str">
        <f t="shared" si="65"/>
        <v/>
      </c>
      <c r="G263" t="str">
        <f t="shared" si="66"/>
        <v/>
      </c>
    </row>
    <row r="264" ht="15.75" spans="2:7">
      <c r="B264" s="46"/>
      <c r="C264">
        <f t="shared" si="62"/>
        <v>7.52719907407408</v>
      </c>
      <c r="D264" s="63" t="str">
        <f t="shared" si="63"/>
        <v/>
      </c>
      <c r="E264" t="str">
        <f t="shared" si="64"/>
        <v/>
      </c>
      <c r="F264" t="str">
        <f t="shared" si="65"/>
        <v/>
      </c>
      <c r="G264" t="str">
        <f t="shared" si="66"/>
        <v/>
      </c>
    </row>
    <row r="265" ht="15.75" spans="2:7">
      <c r="B265" s="52" t="s">
        <v>269</v>
      </c>
      <c r="C265" s="53">
        <f>MAX(C253:C264)</f>
        <v>7.52719907407408</v>
      </c>
      <c r="D265" s="53">
        <f>MAX(D253:D264)</f>
        <v>0.734154929577465</v>
      </c>
      <c r="E265" s="53">
        <f t="shared" ref="E265:G265" si="67">MAX(E253:E264)</f>
        <v>14.5833333333333</v>
      </c>
      <c r="F265" s="53">
        <f t="shared" si="67"/>
        <v>6.42857142857143</v>
      </c>
      <c r="G265" s="53">
        <f t="shared" si="67"/>
        <v>3.84591194968553</v>
      </c>
    </row>
    <row r="266" ht="15.75" spans="2:7">
      <c r="B266" s="55" t="s">
        <v>270</v>
      </c>
      <c r="C266" s="56">
        <v>1</v>
      </c>
      <c r="D266" s="57">
        <v>2</v>
      </c>
      <c r="E266">
        <v>3</v>
      </c>
      <c r="F266">
        <v>4</v>
      </c>
      <c r="G266">
        <v>5</v>
      </c>
    </row>
    <row r="267" spans="2:7">
      <c r="B267" s="46" t="s">
        <v>271</v>
      </c>
      <c r="C267" s="58">
        <f>HLOOKUP(MIN(C265:G265),C265:G266,2,FALSE)</f>
        <v>2</v>
      </c>
      <c r="D267" s="46"/>
    </row>
    <row r="268" spans="2:7">
      <c r="B268" s="46"/>
      <c r="C268" s="58"/>
      <c r="D268" s="46"/>
    </row>
    <row r="269" spans="2:7">
      <c r="B269" s="46"/>
      <c r="C269" s="46"/>
      <c r="D269" s="46"/>
    </row>
    <row r="270" spans="2:7">
      <c r="B270" s="46"/>
      <c r="C270" s="46"/>
      <c r="D270" s="46"/>
    </row>
    <row r="271" ht="15.75" spans="2:7">
      <c r="B271" s="43" t="s">
        <v>282</v>
      </c>
      <c r="C271" s="44"/>
      <c r="D271" s="45"/>
    </row>
    <row r="272" spans="2:7">
      <c r="B272" s="46"/>
      <c r="C272" s="61" t="s">
        <v>264</v>
      </c>
      <c r="D272" s="61" t="s">
        <v>265</v>
      </c>
      <c r="E272" s="62" t="s">
        <v>266</v>
      </c>
      <c r="F272" s="62" t="s">
        <v>267</v>
      </c>
      <c r="G272" s="62" t="s">
        <v>268</v>
      </c>
    </row>
    <row r="273" spans="2:7">
      <c r="B273" s="46"/>
      <c r="C273">
        <f t="shared" ref="C273:C283" si="68">IF(J8=1,S8,"")</f>
        <v>0.700231481481482</v>
      </c>
      <c r="D273" s="63" t="str">
        <f t="shared" ref="D273:D283" si="69">IF(J8=2,S8,"")</f>
        <v/>
      </c>
      <c r="E273" t="str">
        <f t="shared" ref="E273:E283" si="70">IF(J8=3,S8,"")</f>
        <v/>
      </c>
      <c r="F273" t="str">
        <f t="shared" ref="F273:F283" si="71">IF(J8=4,S8,"")</f>
        <v/>
      </c>
      <c r="G273" t="str">
        <f t="shared" ref="G273:G283" si="72">IF(J8=5,S8,"")</f>
        <v/>
      </c>
    </row>
    <row r="274" spans="2:7">
      <c r="B274" s="46"/>
      <c r="C274" t="str">
        <f t="shared" si="68"/>
        <v/>
      </c>
      <c r="D274" s="63">
        <f t="shared" si="69"/>
        <v>0.734154929577465</v>
      </c>
      <c r="E274" t="str">
        <f t="shared" si="70"/>
        <v/>
      </c>
      <c r="F274" t="str">
        <f t="shared" si="71"/>
        <v/>
      </c>
      <c r="G274" t="str">
        <f t="shared" si="72"/>
        <v/>
      </c>
    </row>
    <row r="275" spans="2:7">
      <c r="B275" s="46"/>
      <c r="C275" t="str">
        <f t="shared" si="68"/>
        <v/>
      </c>
      <c r="D275" s="63" t="str">
        <f t="shared" si="69"/>
        <v/>
      </c>
      <c r="E275">
        <f t="shared" si="70"/>
        <v>1.83823529411765</v>
      </c>
      <c r="F275" t="str">
        <f t="shared" si="71"/>
        <v/>
      </c>
      <c r="G275" t="str">
        <f t="shared" si="72"/>
        <v/>
      </c>
    </row>
    <row r="276" spans="2:7">
      <c r="B276" s="46"/>
      <c r="C276" t="str">
        <f t="shared" si="68"/>
        <v/>
      </c>
      <c r="D276" s="63" t="str">
        <f t="shared" si="69"/>
        <v/>
      </c>
      <c r="E276" t="str">
        <f t="shared" si="70"/>
        <v/>
      </c>
      <c r="F276">
        <f t="shared" si="71"/>
        <v>4.28571428571429</v>
      </c>
      <c r="G276" t="str">
        <f t="shared" si="72"/>
        <v/>
      </c>
    </row>
    <row r="277" spans="2:7">
      <c r="B277" s="46"/>
      <c r="C277" t="str">
        <f t="shared" si="68"/>
        <v/>
      </c>
      <c r="D277" s="63" t="str">
        <f t="shared" si="69"/>
        <v/>
      </c>
      <c r="E277" t="str">
        <f t="shared" si="70"/>
        <v/>
      </c>
      <c r="F277" t="str">
        <f t="shared" si="71"/>
        <v/>
      </c>
      <c r="G277">
        <f t="shared" si="72"/>
        <v>3.43396226415094</v>
      </c>
    </row>
    <row r="278" spans="2:7">
      <c r="B278" s="46"/>
      <c r="C278" t="str">
        <f t="shared" si="68"/>
        <v/>
      </c>
      <c r="D278" s="63" t="str">
        <f t="shared" si="69"/>
        <v/>
      </c>
      <c r="E278">
        <f t="shared" si="70"/>
        <v>14.5833333333333</v>
      </c>
      <c r="F278" t="str">
        <f t="shared" si="71"/>
        <v/>
      </c>
      <c r="G278" t="str">
        <f t="shared" si="72"/>
        <v/>
      </c>
    </row>
    <row r="279" spans="2:7">
      <c r="B279" s="46"/>
      <c r="C279" t="str">
        <f t="shared" si="68"/>
        <v/>
      </c>
      <c r="D279" s="63" t="str">
        <f t="shared" si="69"/>
        <v/>
      </c>
      <c r="E279" t="str">
        <f t="shared" si="70"/>
        <v/>
      </c>
      <c r="F279">
        <f t="shared" si="71"/>
        <v>6.42857142857143</v>
      </c>
      <c r="G279" t="str">
        <f t="shared" si="72"/>
        <v/>
      </c>
    </row>
    <row r="280" spans="2:7">
      <c r="B280" s="46"/>
      <c r="C280" t="str">
        <f t="shared" si="68"/>
        <v/>
      </c>
      <c r="D280" s="63" t="str">
        <f t="shared" si="69"/>
        <v/>
      </c>
      <c r="E280" t="str">
        <f t="shared" si="70"/>
        <v/>
      </c>
      <c r="F280" t="str">
        <f t="shared" si="71"/>
        <v/>
      </c>
      <c r="G280">
        <f t="shared" si="72"/>
        <v>3.84591194968553</v>
      </c>
    </row>
    <row r="281" spans="2:7">
      <c r="B281" s="46"/>
      <c r="C281">
        <f t="shared" si="68"/>
        <v>0.844907407407407</v>
      </c>
      <c r="D281" s="63" t="str">
        <f t="shared" si="69"/>
        <v/>
      </c>
      <c r="E281" t="str">
        <f t="shared" si="70"/>
        <v/>
      </c>
      <c r="F281" t="str">
        <f t="shared" si="71"/>
        <v/>
      </c>
      <c r="G281" t="str">
        <f t="shared" si="72"/>
        <v/>
      </c>
    </row>
    <row r="282" spans="2:7">
      <c r="B282" s="46"/>
      <c r="C282">
        <f t="shared" si="68"/>
        <v>6.79803240740741</v>
      </c>
      <c r="D282" s="63" t="str">
        <f t="shared" si="69"/>
        <v/>
      </c>
      <c r="E282" t="str">
        <f t="shared" si="70"/>
        <v/>
      </c>
      <c r="F282" t="str">
        <f t="shared" si="71"/>
        <v/>
      </c>
      <c r="G282" t="str">
        <f t="shared" si="72"/>
        <v/>
      </c>
    </row>
    <row r="283" spans="2:7">
      <c r="B283" s="46"/>
      <c r="C283">
        <f t="shared" si="68"/>
        <v>6.79803240740741</v>
      </c>
      <c r="D283" s="63" t="str">
        <f t="shared" si="69"/>
        <v/>
      </c>
      <c r="E283" t="str">
        <f t="shared" si="70"/>
        <v/>
      </c>
      <c r="F283" t="str">
        <f t="shared" si="71"/>
        <v/>
      </c>
      <c r="G283" t="str">
        <f t="shared" si="72"/>
        <v/>
      </c>
    </row>
    <row r="284" spans="2:7">
      <c r="B284" s="46"/>
      <c r="C284">
        <f t="shared" ref="C284:C285" si="73">IF(J19=1,S19,"")</f>
        <v>7.52719907407408</v>
      </c>
      <c r="D284" s="63" t="str">
        <f t="shared" ref="D284:D285" si="74">IF(J19=2,S19,"")</f>
        <v/>
      </c>
      <c r="E284" t="str">
        <f t="shared" ref="E284:E285" si="75">IF(J19=3,S19,"")</f>
        <v/>
      </c>
      <c r="F284" t="str">
        <f t="shared" ref="F284:F285" si="76">IF(J19=4,S19,"")</f>
        <v/>
      </c>
      <c r="G284" t="str">
        <f t="shared" ref="G284:G285" si="77">IF(J19=5,S19,"")</f>
        <v/>
      </c>
    </row>
    <row r="285" ht="15.75" spans="2:7">
      <c r="B285" s="46"/>
      <c r="C285" t="str">
        <f t="shared" si="73"/>
        <v/>
      </c>
      <c r="D285" s="63">
        <f t="shared" si="74"/>
        <v>2.7881455399061</v>
      </c>
      <c r="E285" t="str">
        <f t="shared" si="75"/>
        <v/>
      </c>
      <c r="F285" t="str">
        <f t="shared" si="76"/>
        <v/>
      </c>
      <c r="G285" t="str">
        <f t="shared" si="77"/>
        <v/>
      </c>
    </row>
    <row r="286" ht="15.75" spans="2:7">
      <c r="B286" s="52" t="s">
        <v>269</v>
      </c>
      <c r="C286" s="53">
        <f>MAX(C273:C285)</f>
        <v>7.52719907407408</v>
      </c>
      <c r="D286" s="53">
        <f t="shared" ref="D286:G286" si="78">MAX(D273:D285)</f>
        <v>2.7881455399061</v>
      </c>
      <c r="E286" s="53">
        <f t="shared" si="78"/>
        <v>14.5833333333333</v>
      </c>
      <c r="F286" s="53">
        <f t="shared" si="78"/>
        <v>6.42857142857143</v>
      </c>
      <c r="G286" s="53">
        <f t="shared" si="78"/>
        <v>3.84591194968553</v>
      </c>
    </row>
    <row r="287" spans="2:7">
      <c r="B287" s="65" t="s">
        <v>270</v>
      </c>
      <c r="C287" s="66">
        <v>1</v>
      </c>
      <c r="D287" s="67">
        <v>2</v>
      </c>
      <c r="E287">
        <v>3</v>
      </c>
      <c r="F287">
        <v>4</v>
      </c>
      <c r="G287">
        <v>5</v>
      </c>
    </row>
    <row r="288" spans="2:7">
      <c r="B288" s="68" t="s">
        <v>271</v>
      </c>
      <c r="C288" s="69">
        <f>HLOOKUP(MIN(C286:G286),C286:G287,2,FALSE)</f>
        <v>2</v>
      </c>
      <c r="D288" s="70"/>
    </row>
    <row r="289" spans="2:7">
      <c r="B289" s="46"/>
      <c r="C289" s="58"/>
      <c r="D289" s="58"/>
    </row>
    <row r="290" spans="2:7">
      <c r="B290" s="46"/>
      <c r="C290" s="58"/>
      <c r="D290" s="46"/>
    </row>
    <row r="291" spans="2:7">
      <c r="B291" s="46"/>
      <c r="C291" s="46"/>
      <c r="D291" s="46"/>
    </row>
    <row r="292" spans="2:7">
      <c r="B292" s="46"/>
      <c r="C292" s="46"/>
      <c r="D292" s="46"/>
    </row>
    <row r="293" ht="15.75" spans="2:7">
      <c r="B293" s="43" t="s">
        <v>283</v>
      </c>
      <c r="C293" s="44"/>
      <c r="D293" s="45"/>
    </row>
    <row r="294" spans="2:7">
      <c r="B294" s="46"/>
      <c r="C294" s="61" t="s">
        <v>264</v>
      </c>
      <c r="D294" s="61" t="s">
        <v>265</v>
      </c>
      <c r="E294" s="62" t="s">
        <v>266</v>
      </c>
      <c r="F294" s="62" t="s">
        <v>267</v>
      </c>
      <c r="G294" s="62" t="s">
        <v>268</v>
      </c>
    </row>
    <row r="295" spans="2:7">
      <c r="B295" s="46"/>
      <c r="C295">
        <f t="shared" ref="C295:C306" si="79">IF(J8=1,S8,"")</f>
        <v>0.700231481481482</v>
      </c>
      <c r="D295" s="63" t="str">
        <f t="shared" ref="D295:D306" si="80">IF(J8=2,S8,"")</f>
        <v/>
      </c>
      <c r="E295" t="str">
        <f t="shared" ref="E295:E306" si="81">IF(J8=3,S8,"")</f>
        <v/>
      </c>
      <c r="F295" t="str">
        <f t="shared" ref="F295:F306" si="82">IF(J8=4,S8,"")</f>
        <v/>
      </c>
      <c r="G295" t="str">
        <f t="shared" ref="G295:G306" si="83">IF(J8=5,S8,"")</f>
        <v/>
      </c>
    </row>
    <row r="296" spans="2:7">
      <c r="B296" s="46"/>
      <c r="C296" t="str">
        <f t="shared" si="79"/>
        <v/>
      </c>
      <c r="D296" s="63">
        <f t="shared" si="80"/>
        <v>0.734154929577465</v>
      </c>
      <c r="E296" t="str">
        <f t="shared" si="81"/>
        <v/>
      </c>
      <c r="F296" t="str">
        <f t="shared" si="82"/>
        <v/>
      </c>
      <c r="G296" t="str">
        <f t="shared" si="83"/>
        <v/>
      </c>
    </row>
    <row r="297" spans="2:7">
      <c r="B297" s="46"/>
      <c r="C297" t="str">
        <f t="shared" si="79"/>
        <v/>
      </c>
      <c r="D297" s="63" t="str">
        <f t="shared" si="80"/>
        <v/>
      </c>
      <c r="E297">
        <f t="shared" si="81"/>
        <v>1.83823529411765</v>
      </c>
      <c r="F297" t="str">
        <f t="shared" si="82"/>
        <v/>
      </c>
      <c r="G297" t="str">
        <f t="shared" si="83"/>
        <v/>
      </c>
    </row>
    <row r="298" spans="2:7">
      <c r="B298" s="46"/>
      <c r="C298" t="str">
        <f t="shared" si="79"/>
        <v/>
      </c>
      <c r="D298" s="63" t="str">
        <f t="shared" si="80"/>
        <v/>
      </c>
      <c r="E298" t="str">
        <f t="shared" si="81"/>
        <v/>
      </c>
      <c r="F298">
        <f t="shared" si="82"/>
        <v>4.28571428571429</v>
      </c>
      <c r="G298" t="str">
        <f t="shared" si="83"/>
        <v/>
      </c>
    </row>
    <row r="299" spans="2:7">
      <c r="B299" s="46"/>
      <c r="C299" t="str">
        <f t="shared" si="79"/>
        <v/>
      </c>
      <c r="D299" s="63" t="str">
        <f t="shared" si="80"/>
        <v/>
      </c>
      <c r="E299" t="str">
        <f t="shared" si="81"/>
        <v/>
      </c>
      <c r="F299" t="str">
        <f t="shared" si="82"/>
        <v/>
      </c>
      <c r="G299">
        <f t="shared" si="83"/>
        <v>3.43396226415094</v>
      </c>
    </row>
    <row r="300" spans="2:7">
      <c r="B300" s="46"/>
      <c r="C300" t="str">
        <f t="shared" si="79"/>
        <v/>
      </c>
      <c r="D300" s="63" t="str">
        <f t="shared" si="80"/>
        <v/>
      </c>
      <c r="E300">
        <f t="shared" si="81"/>
        <v>14.5833333333333</v>
      </c>
      <c r="F300" t="str">
        <f t="shared" si="82"/>
        <v/>
      </c>
      <c r="G300" t="str">
        <f t="shared" si="83"/>
        <v/>
      </c>
    </row>
    <row r="301" spans="2:7">
      <c r="B301" s="46"/>
      <c r="C301" t="str">
        <f t="shared" si="79"/>
        <v/>
      </c>
      <c r="D301" s="63" t="str">
        <f t="shared" si="80"/>
        <v/>
      </c>
      <c r="E301" t="str">
        <f t="shared" si="81"/>
        <v/>
      </c>
      <c r="F301">
        <f t="shared" si="82"/>
        <v>6.42857142857143</v>
      </c>
      <c r="G301" t="str">
        <f t="shared" si="83"/>
        <v/>
      </c>
    </row>
    <row r="302" spans="2:7">
      <c r="B302" s="46"/>
      <c r="C302" t="str">
        <f t="shared" si="79"/>
        <v/>
      </c>
      <c r="D302" s="63" t="str">
        <f t="shared" si="80"/>
        <v/>
      </c>
      <c r="E302" t="str">
        <f t="shared" si="81"/>
        <v/>
      </c>
      <c r="F302" t="str">
        <f t="shared" si="82"/>
        <v/>
      </c>
      <c r="G302">
        <f t="shared" si="83"/>
        <v>3.84591194968553</v>
      </c>
    </row>
    <row r="303" spans="2:7">
      <c r="B303" s="46"/>
      <c r="C303">
        <f t="shared" si="79"/>
        <v>0.844907407407407</v>
      </c>
      <c r="D303" s="63" t="str">
        <f t="shared" si="80"/>
        <v/>
      </c>
      <c r="E303" t="str">
        <f t="shared" si="81"/>
        <v/>
      </c>
      <c r="F303" t="str">
        <f t="shared" si="82"/>
        <v/>
      </c>
      <c r="G303" t="str">
        <f t="shared" si="83"/>
        <v/>
      </c>
    </row>
    <row r="304" spans="2:7">
      <c r="B304" s="46"/>
      <c r="C304">
        <f t="shared" si="79"/>
        <v>6.79803240740741</v>
      </c>
      <c r="D304" s="63" t="str">
        <f t="shared" si="80"/>
        <v/>
      </c>
      <c r="E304" t="str">
        <f t="shared" si="81"/>
        <v/>
      </c>
      <c r="F304" t="str">
        <f t="shared" si="82"/>
        <v/>
      </c>
      <c r="G304" t="str">
        <f t="shared" si="83"/>
        <v/>
      </c>
    </row>
    <row r="305" spans="2:7">
      <c r="B305" s="46"/>
      <c r="C305">
        <f t="shared" si="79"/>
        <v>6.79803240740741</v>
      </c>
      <c r="D305" s="63" t="str">
        <f t="shared" si="80"/>
        <v/>
      </c>
      <c r="E305" t="str">
        <f t="shared" si="81"/>
        <v/>
      </c>
      <c r="F305" t="str">
        <f t="shared" si="82"/>
        <v/>
      </c>
      <c r="G305" t="str">
        <f t="shared" si="83"/>
        <v/>
      </c>
    </row>
    <row r="306" spans="2:7">
      <c r="B306" s="46"/>
      <c r="C306">
        <f t="shared" si="79"/>
        <v>7.52719907407408</v>
      </c>
      <c r="D306" s="63" t="str">
        <f t="shared" si="80"/>
        <v/>
      </c>
      <c r="E306" t="str">
        <f t="shared" si="81"/>
        <v/>
      </c>
      <c r="F306" t="str">
        <f t="shared" si="82"/>
        <v/>
      </c>
      <c r="G306" t="str">
        <f t="shared" si="83"/>
        <v/>
      </c>
    </row>
    <row r="307" spans="2:7">
      <c r="B307" s="46"/>
      <c r="C307" t="str">
        <f t="shared" ref="C307:C308" si="84">IF(J20=1,S20,"")</f>
        <v/>
      </c>
      <c r="D307" s="63">
        <f t="shared" ref="D307:D308" si="85">IF(J20=2,S20,"")</f>
        <v>2.7881455399061</v>
      </c>
      <c r="E307" t="str">
        <f t="shared" ref="E307:E308" si="86">IF(J20=3,S20,"")</f>
        <v/>
      </c>
      <c r="F307" t="str">
        <f t="shared" ref="F307:F308" si="87">IF(J20=4,S20,"")</f>
        <v/>
      </c>
      <c r="G307" t="str">
        <f t="shared" ref="G307:G308" si="88">IF(J20=5,S20,"")</f>
        <v/>
      </c>
    </row>
    <row r="308" ht="15.75" spans="2:7">
      <c r="B308" s="46"/>
      <c r="C308" t="str">
        <f t="shared" si="84"/>
        <v/>
      </c>
      <c r="D308" s="63">
        <f t="shared" si="85"/>
        <v>4.47535211267606</v>
      </c>
      <c r="E308" t="str">
        <f t="shared" si="86"/>
        <v/>
      </c>
      <c r="F308" t="str">
        <f t="shared" si="87"/>
        <v/>
      </c>
      <c r="G308" t="str">
        <f t="shared" si="88"/>
        <v/>
      </c>
    </row>
    <row r="309" ht="15.75" spans="2:7">
      <c r="B309" s="52" t="s">
        <v>269</v>
      </c>
      <c r="C309" s="53">
        <f>MAX(C295:C308)</f>
        <v>7.52719907407408</v>
      </c>
      <c r="D309" s="53">
        <f t="shared" ref="D309:G309" si="89">MAX(D295:D308)</f>
        <v>4.47535211267606</v>
      </c>
      <c r="E309" s="53">
        <f t="shared" si="89"/>
        <v>14.5833333333333</v>
      </c>
      <c r="F309" s="53">
        <f t="shared" si="89"/>
        <v>6.42857142857143</v>
      </c>
      <c r="G309" s="53">
        <f t="shared" si="89"/>
        <v>3.84591194968553</v>
      </c>
    </row>
    <row r="310" spans="2:7">
      <c r="B310" s="65" t="s">
        <v>270</v>
      </c>
      <c r="C310" s="66">
        <v>1</v>
      </c>
      <c r="D310" s="67">
        <v>2</v>
      </c>
      <c r="E310">
        <v>3</v>
      </c>
      <c r="F310">
        <v>4</v>
      </c>
      <c r="G310">
        <v>5</v>
      </c>
    </row>
    <row r="311" spans="2:7">
      <c r="B311" s="68" t="s">
        <v>271</v>
      </c>
      <c r="C311" s="69">
        <f>HLOOKUP(MIN(C309:G309),C309:G310,2,FALSE)</f>
        <v>5</v>
      </c>
      <c r="D311" s="70"/>
    </row>
    <row r="312" spans="2:7">
      <c r="B312" s="46"/>
      <c r="C312" s="58"/>
      <c r="D312" s="58"/>
    </row>
    <row r="313" spans="2:7">
      <c r="B313" s="46"/>
      <c r="C313" s="58"/>
      <c r="D313" s="46"/>
    </row>
    <row r="314" spans="2:7">
      <c r="B314" s="46"/>
      <c r="C314" s="46"/>
      <c r="D314" s="46"/>
    </row>
    <row r="315" spans="2:7">
      <c r="B315" s="46"/>
      <c r="C315" s="46"/>
      <c r="D315" s="46"/>
    </row>
    <row r="316" ht="15.75" spans="2:7">
      <c r="B316" s="43" t="s">
        <v>284</v>
      </c>
      <c r="C316" s="44"/>
      <c r="D316" s="45"/>
    </row>
    <row r="317" spans="2:7">
      <c r="B317" s="46"/>
      <c r="C317" s="61" t="s">
        <v>264</v>
      </c>
      <c r="D317" s="61" t="s">
        <v>265</v>
      </c>
      <c r="E317" s="62" t="s">
        <v>266</v>
      </c>
      <c r="F317" s="62" t="s">
        <v>267</v>
      </c>
      <c r="G317" s="62" t="s">
        <v>268</v>
      </c>
    </row>
    <row r="318" spans="2:7">
      <c r="B318" s="46"/>
      <c r="C318">
        <f t="shared" ref="C318:C332" si="90">IF(J8=1,S8,"")</f>
        <v>0.700231481481482</v>
      </c>
      <c r="D318" s="63" t="str">
        <f t="shared" ref="D318:D329" si="91">IF(J8=2,S8,"")</f>
        <v/>
      </c>
      <c r="E318" t="str">
        <f t="shared" ref="E318:E329" si="92">IF(J8=3,S8,"")</f>
        <v/>
      </c>
      <c r="F318" t="str">
        <f t="shared" ref="F318:F329" si="93">IF(J8=4,S8,"")</f>
        <v/>
      </c>
      <c r="G318" t="str">
        <f t="shared" ref="G318:G329" si="94">IF(J8=5,S8,"")</f>
        <v/>
      </c>
    </row>
    <row r="319" spans="2:7">
      <c r="B319" s="46"/>
      <c r="C319" t="str">
        <f t="shared" si="90"/>
        <v/>
      </c>
      <c r="D319" s="63">
        <f t="shared" si="91"/>
        <v>0.734154929577465</v>
      </c>
      <c r="E319" t="str">
        <f t="shared" si="92"/>
        <v/>
      </c>
      <c r="F319" t="str">
        <f t="shared" si="93"/>
        <v/>
      </c>
      <c r="G319" t="str">
        <f t="shared" si="94"/>
        <v/>
      </c>
    </row>
    <row r="320" spans="2:7">
      <c r="B320" s="46"/>
      <c r="C320" t="str">
        <f t="shared" si="90"/>
        <v/>
      </c>
      <c r="D320" s="63" t="str">
        <f t="shared" si="91"/>
        <v/>
      </c>
      <c r="E320">
        <f t="shared" si="92"/>
        <v>1.83823529411765</v>
      </c>
      <c r="F320" t="str">
        <f t="shared" si="93"/>
        <v/>
      </c>
      <c r="G320" t="str">
        <f t="shared" si="94"/>
        <v/>
      </c>
    </row>
    <row r="321" spans="2:7">
      <c r="B321" s="46"/>
      <c r="C321" t="str">
        <f t="shared" si="90"/>
        <v/>
      </c>
      <c r="D321" s="63" t="str">
        <f t="shared" si="91"/>
        <v/>
      </c>
      <c r="E321" t="str">
        <f t="shared" si="92"/>
        <v/>
      </c>
      <c r="F321">
        <f t="shared" si="93"/>
        <v>4.28571428571429</v>
      </c>
      <c r="G321" t="str">
        <f t="shared" si="94"/>
        <v/>
      </c>
    </row>
    <row r="322" spans="2:7">
      <c r="B322" s="46"/>
      <c r="C322" t="str">
        <f t="shared" si="90"/>
        <v/>
      </c>
      <c r="D322" s="63" t="str">
        <f t="shared" si="91"/>
        <v/>
      </c>
      <c r="E322" t="str">
        <f t="shared" si="92"/>
        <v/>
      </c>
      <c r="F322" t="str">
        <f t="shared" si="93"/>
        <v/>
      </c>
      <c r="G322">
        <f t="shared" si="94"/>
        <v>3.43396226415094</v>
      </c>
    </row>
    <row r="323" spans="2:7">
      <c r="B323" s="46"/>
      <c r="C323" t="str">
        <f t="shared" si="90"/>
        <v/>
      </c>
      <c r="D323" s="63" t="str">
        <f t="shared" si="91"/>
        <v/>
      </c>
      <c r="E323">
        <f t="shared" si="92"/>
        <v>14.5833333333333</v>
      </c>
      <c r="F323" t="str">
        <f t="shared" si="93"/>
        <v/>
      </c>
      <c r="G323" t="str">
        <f t="shared" si="94"/>
        <v/>
      </c>
    </row>
    <row r="324" spans="2:7">
      <c r="B324" s="46"/>
      <c r="C324" t="str">
        <f t="shared" si="90"/>
        <v/>
      </c>
      <c r="D324" s="63" t="str">
        <f t="shared" si="91"/>
        <v/>
      </c>
      <c r="E324" t="str">
        <f t="shared" si="92"/>
        <v/>
      </c>
      <c r="F324">
        <f t="shared" si="93"/>
        <v>6.42857142857143</v>
      </c>
      <c r="G324" t="str">
        <f t="shared" si="94"/>
        <v/>
      </c>
    </row>
    <row r="325" spans="2:7">
      <c r="B325" s="46"/>
      <c r="C325" t="str">
        <f t="shared" si="90"/>
        <v/>
      </c>
      <c r="D325" s="63" t="str">
        <f t="shared" si="91"/>
        <v/>
      </c>
      <c r="E325" t="str">
        <f t="shared" si="92"/>
        <v/>
      </c>
      <c r="F325" t="str">
        <f t="shared" si="93"/>
        <v/>
      </c>
      <c r="G325">
        <f t="shared" si="94"/>
        <v>3.84591194968553</v>
      </c>
    </row>
    <row r="326" spans="2:7">
      <c r="B326" s="46"/>
      <c r="C326">
        <f t="shared" si="90"/>
        <v>0.844907407407407</v>
      </c>
      <c r="D326" s="63" t="str">
        <f t="shared" si="91"/>
        <v/>
      </c>
      <c r="E326" t="str">
        <f t="shared" si="92"/>
        <v/>
      </c>
      <c r="F326" t="str">
        <f t="shared" si="93"/>
        <v/>
      </c>
      <c r="G326" t="str">
        <f t="shared" si="94"/>
        <v/>
      </c>
    </row>
    <row r="327" spans="2:7">
      <c r="B327" s="46"/>
      <c r="C327">
        <f t="shared" si="90"/>
        <v>6.79803240740741</v>
      </c>
      <c r="D327" s="63" t="str">
        <f t="shared" si="91"/>
        <v/>
      </c>
      <c r="E327" t="str">
        <f t="shared" si="92"/>
        <v/>
      </c>
      <c r="F327" t="str">
        <f t="shared" si="93"/>
        <v/>
      </c>
      <c r="G327" t="str">
        <f t="shared" si="94"/>
        <v/>
      </c>
    </row>
    <row r="328" spans="2:7">
      <c r="B328" s="46"/>
      <c r="C328">
        <f t="shared" si="90"/>
        <v>6.79803240740741</v>
      </c>
      <c r="D328" s="63" t="str">
        <f t="shared" si="91"/>
        <v/>
      </c>
      <c r="E328" t="str">
        <f t="shared" si="92"/>
        <v/>
      </c>
      <c r="F328" t="str">
        <f t="shared" si="93"/>
        <v/>
      </c>
      <c r="G328" t="str">
        <f t="shared" si="94"/>
        <v/>
      </c>
    </row>
    <row r="329" spans="2:7">
      <c r="B329" s="46"/>
      <c r="C329">
        <f t="shared" si="90"/>
        <v>7.52719907407408</v>
      </c>
      <c r="D329" s="63" t="str">
        <f t="shared" si="91"/>
        <v/>
      </c>
      <c r="E329" t="str">
        <f t="shared" si="92"/>
        <v/>
      </c>
      <c r="F329" t="str">
        <f t="shared" si="93"/>
        <v/>
      </c>
      <c r="G329" t="str">
        <f t="shared" si="94"/>
        <v/>
      </c>
    </row>
    <row r="330" spans="2:7">
      <c r="B330" s="46"/>
      <c r="C330" t="str">
        <f t="shared" si="90"/>
        <v/>
      </c>
      <c r="D330" s="63">
        <f t="shared" ref="D330:D332" si="95">IF(J20=2,S20,"")</f>
        <v>2.7881455399061</v>
      </c>
      <c r="E330" t="str">
        <f t="shared" ref="E330:E332" si="96">IF(J20=3,S20,"")</f>
        <v/>
      </c>
      <c r="F330" t="str">
        <f t="shared" ref="F330:F332" si="97">IF(J20=4,S20,"")</f>
        <v/>
      </c>
      <c r="G330" t="str">
        <f t="shared" ref="G330:G332" si="98">IF(J20=5,S20,"")</f>
        <v/>
      </c>
    </row>
    <row r="331" spans="2:7">
      <c r="B331" s="46"/>
      <c r="C331" t="str">
        <f t="shared" si="90"/>
        <v/>
      </c>
      <c r="D331" s="63">
        <f t="shared" si="95"/>
        <v>4.47535211267606</v>
      </c>
      <c r="E331" t="str">
        <f t="shared" si="96"/>
        <v/>
      </c>
      <c r="F331" t="str">
        <f t="shared" si="97"/>
        <v/>
      </c>
      <c r="G331" t="str">
        <f t="shared" si="98"/>
        <v/>
      </c>
    </row>
    <row r="332" ht="15.75" spans="2:7">
      <c r="B332" s="46"/>
      <c r="C332" t="str">
        <f t="shared" si="90"/>
        <v/>
      </c>
      <c r="D332" s="63">
        <f t="shared" si="95"/>
        <v>6.10680751173709</v>
      </c>
      <c r="E332" t="str">
        <f t="shared" si="96"/>
        <v/>
      </c>
      <c r="F332" t="str">
        <f t="shared" si="97"/>
        <v/>
      </c>
      <c r="G332" t="str">
        <f t="shared" si="98"/>
        <v/>
      </c>
    </row>
    <row r="333" ht="15.75" spans="2:7">
      <c r="B333" s="52" t="s">
        <v>269</v>
      </c>
      <c r="C333" s="53">
        <f>MAX(C318:C332)</f>
        <v>7.52719907407408</v>
      </c>
      <c r="D333" s="53">
        <f t="shared" ref="D333:G333" si="99">MAX(D318:D332)</f>
        <v>6.10680751173709</v>
      </c>
      <c r="E333" s="53">
        <f t="shared" si="99"/>
        <v>14.5833333333333</v>
      </c>
      <c r="F333" s="53">
        <f t="shared" si="99"/>
        <v>6.42857142857143</v>
      </c>
      <c r="G333" s="53">
        <f t="shared" si="99"/>
        <v>3.84591194968553</v>
      </c>
    </row>
    <row r="334" spans="2:7">
      <c r="B334" s="65" t="s">
        <v>270</v>
      </c>
      <c r="C334" s="66">
        <v>1</v>
      </c>
      <c r="D334" s="67">
        <v>2</v>
      </c>
      <c r="E334">
        <v>3</v>
      </c>
      <c r="F334">
        <v>4</v>
      </c>
      <c r="G334">
        <v>5</v>
      </c>
    </row>
    <row r="335" spans="2:7">
      <c r="B335" s="68" t="s">
        <v>271</v>
      </c>
      <c r="C335" s="69">
        <f>HLOOKUP(MIN(C333:G333),C333:G334,2,FALSE)</f>
        <v>5</v>
      </c>
      <c r="D335" s="70"/>
    </row>
    <row r="336" spans="2:7">
      <c r="B336" s="46"/>
      <c r="C336" s="58"/>
      <c r="D336" s="58"/>
    </row>
    <row r="337" spans="2:7">
      <c r="B337" s="46"/>
      <c r="C337" s="58"/>
      <c r="D337" s="46"/>
    </row>
    <row r="338" spans="2:7">
      <c r="B338" s="46"/>
      <c r="C338" s="46"/>
      <c r="D338" s="46"/>
    </row>
    <row r="339" spans="2:7">
      <c r="B339" s="46"/>
      <c r="C339" s="46"/>
      <c r="D339" s="46"/>
    </row>
    <row r="340" ht="15.75" spans="2:7">
      <c r="B340" s="43" t="s">
        <v>285</v>
      </c>
      <c r="C340" s="44"/>
      <c r="D340" s="45"/>
    </row>
    <row r="341" spans="2:7">
      <c r="B341" s="46"/>
      <c r="C341" s="61" t="s">
        <v>264</v>
      </c>
      <c r="D341" s="61" t="s">
        <v>265</v>
      </c>
      <c r="E341" s="62" t="s">
        <v>286</v>
      </c>
      <c r="F341" s="62" t="s">
        <v>287</v>
      </c>
      <c r="G341" s="62" t="s">
        <v>288</v>
      </c>
    </row>
    <row r="342" spans="2:7">
      <c r="B342" s="46"/>
      <c r="C342">
        <f t="shared" ref="C342:C357" si="100">IF(J8=1,S8,"")</f>
        <v>0.700231481481482</v>
      </c>
      <c r="D342" s="63" t="str">
        <f t="shared" ref="D342:D357" si="101">IF(J8=2,S8,"")</f>
        <v/>
      </c>
      <c r="E342" t="str">
        <f t="shared" ref="E342:E357" si="102">IF(J8=3,S8,"")</f>
        <v/>
      </c>
      <c r="F342" t="str">
        <f t="shared" ref="F342:F356" si="103">IF(J8=4,S8,"")</f>
        <v/>
      </c>
      <c r="G342" t="str">
        <f t="shared" ref="G342:G356" si="104">IF(J8=5,S8,"")</f>
        <v/>
      </c>
    </row>
    <row r="343" spans="2:7">
      <c r="B343" s="46"/>
      <c r="C343" t="str">
        <f t="shared" si="100"/>
        <v/>
      </c>
      <c r="D343" s="63">
        <f t="shared" si="101"/>
        <v>0.734154929577465</v>
      </c>
      <c r="E343" t="str">
        <f t="shared" si="102"/>
        <v/>
      </c>
      <c r="F343" t="str">
        <f t="shared" si="103"/>
        <v/>
      </c>
      <c r="G343" t="str">
        <f t="shared" si="104"/>
        <v/>
      </c>
    </row>
    <row r="344" spans="2:7">
      <c r="B344" s="46"/>
      <c r="C344" t="str">
        <f t="shared" si="100"/>
        <v/>
      </c>
      <c r="D344" s="63" t="str">
        <f t="shared" si="101"/>
        <v/>
      </c>
      <c r="E344">
        <f t="shared" si="102"/>
        <v>1.83823529411765</v>
      </c>
      <c r="F344" t="str">
        <f t="shared" si="103"/>
        <v/>
      </c>
      <c r="G344" t="str">
        <f t="shared" si="104"/>
        <v/>
      </c>
    </row>
    <row r="345" spans="2:7">
      <c r="B345" s="46"/>
      <c r="C345" t="str">
        <f t="shared" si="100"/>
        <v/>
      </c>
      <c r="D345" s="63" t="str">
        <f t="shared" si="101"/>
        <v/>
      </c>
      <c r="E345" t="str">
        <f t="shared" si="102"/>
        <v/>
      </c>
      <c r="F345">
        <f t="shared" si="103"/>
        <v>4.28571428571429</v>
      </c>
      <c r="G345" t="str">
        <f t="shared" si="104"/>
        <v/>
      </c>
    </row>
    <row r="346" spans="2:7">
      <c r="B346" s="46"/>
      <c r="C346" t="str">
        <f t="shared" si="100"/>
        <v/>
      </c>
      <c r="D346" s="63" t="str">
        <f t="shared" si="101"/>
        <v/>
      </c>
      <c r="E346" t="str">
        <f t="shared" si="102"/>
        <v/>
      </c>
      <c r="F346" t="str">
        <f t="shared" si="103"/>
        <v/>
      </c>
      <c r="G346">
        <f t="shared" si="104"/>
        <v>3.43396226415094</v>
      </c>
    </row>
    <row r="347" spans="2:7">
      <c r="B347" s="46"/>
      <c r="C347" t="str">
        <f t="shared" si="100"/>
        <v/>
      </c>
      <c r="D347" s="63" t="str">
        <f t="shared" si="101"/>
        <v/>
      </c>
      <c r="E347">
        <f t="shared" si="102"/>
        <v>14.5833333333333</v>
      </c>
      <c r="F347" t="str">
        <f t="shared" si="103"/>
        <v/>
      </c>
      <c r="G347" t="str">
        <f t="shared" si="104"/>
        <v/>
      </c>
    </row>
    <row r="348" spans="2:7">
      <c r="B348" s="46"/>
      <c r="C348" t="str">
        <f t="shared" si="100"/>
        <v/>
      </c>
      <c r="D348" s="63" t="str">
        <f t="shared" si="101"/>
        <v/>
      </c>
      <c r="E348" t="str">
        <f t="shared" si="102"/>
        <v/>
      </c>
      <c r="F348">
        <f t="shared" si="103"/>
        <v>6.42857142857143</v>
      </c>
      <c r="G348" t="str">
        <f t="shared" si="104"/>
        <v/>
      </c>
    </row>
    <row r="349" spans="2:7">
      <c r="B349" s="46"/>
      <c r="C349" t="str">
        <f t="shared" si="100"/>
        <v/>
      </c>
      <c r="D349" s="63" t="str">
        <f t="shared" si="101"/>
        <v/>
      </c>
      <c r="E349" t="str">
        <f t="shared" si="102"/>
        <v/>
      </c>
      <c r="F349" t="str">
        <f t="shared" si="103"/>
        <v/>
      </c>
      <c r="G349">
        <f t="shared" si="104"/>
        <v>3.84591194968553</v>
      </c>
    </row>
    <row r="350" spans="2:7">
      <c r="B350" s="46"/>
      <c r="C350">
        <f t="shared" si="100"/>
        <v>0.844907407407407</v>
      </c>
      <c r="D350" s="63" t="str">
        <f t="shared" si="101"/>
        <v/>
      </c>
      <c r="E350" t="str">
        <f t="shared" si="102"/>
        <v/>
      </c>
      <c r="F350" t="str">
        <f t="shared" si="103"/>
        <v/>
      </c>
      <c r="G350" t="str">
        <f t="shared" si="104"/>
        <v/>
      </c>
    </row>
    <row r="351" spans="2:7">
      <c r="B351" s="46"/>
      <c r="C351">
        <f t="shared" si="100"/>
        <v>6.79803240740741</v>
      </c>
      <c r="D351" s="63" t="str">
        <f t="shared" si="101"/>
        <v/>
      </c>
      <c r="E351" t="str">
        <f t="shared" si="102"/>
        <v/>
      </c>
      <c r="F351" t="str">
        <f t="shared" si="103"/>
        <v/>
      </c>
      <c r="G351" t="str">
        <f t="shared" si="104"/>
        <v/>
      </c>
    </row>
    <row r="352" spans="2:7">
      <c r="B352" s="46"/>
      <c r="C352">
        <f t="shared" si="100"/>
        <v>6.79803240740741</v>
      </c>
      <c r="D352" s="63" t="str">
        <f t="shared" si="101"/>
        <v/>
      </c>
      <c r="E352" t="str">
        <f t="shared" si="102"/>
        <v/>
      </c>
      <c r="F352" t="str">
        <f t="shared" si="103"/>
        <v/>
      </c>
      <c r="G352" t="str">
        <f t="shared" si="104"/>
        <v/>
      </c>
    </row>
    <row r="353" spans="2:7">
      <c r="B353" s="46"/>
      <c r="C353">
        <f t="shared" si="100"/>
        <v>7.52719907407408</v>
      </c>
      <c r="D353" s="63" t="str">
        <f t="shared" si="101"/>
        <v/>
      </c>
      <c r="E353" t="str">
        <f t="shared" si="102"/>
        <v/>
      </c>
      <c r="F353" t="str">
        <f t="shared" si="103"/>
        <v/>
      </c>
      <c r="G353" t="str">
        <f t="shared" si="104"/>
        <v/>
      </c>
    </row>
    <row r="354" spans="2:7">
      <c r="B354" s="46"/>
      <c r="C354" t="str">
        <f t="shared" si="100"/>
        <v/>
      </c>
      <c r="D354" s="63">
        <f t="shared" si="101"/>
        <v>2.7881455399061</v>
      </c>
      <c r="E354" t="str">
        <f t="shared" si="102"/>
        <v/>
      </c>
      <c r="F354" t="str">
        <f t="shared" si="103"/>
        <v/>
      </c>
      <c r="G354" t="str">
        <f t="shared" si="104"/>
        <v/>
      </c>
    </row>
    <row r="355" spans="2:7">
      <c r="B355" s="46"/>
      <c r="C355" t="str">
        <f t="shared" si="100"/>
        <v/>
      </c>
      <c r="D355" s="63">
        <f t="shared" si="101"/>
        <v>4.47535211267606</v>
      </c>
      <c r="E355" t="str">
        <f t="shared" si="102"/>
        <v/>
      </c>
      <c r="F355" t="str">
        <f t="shared" si="103"/>
        <v/>
      </c>
      <c r="G355" t="str">
        <f t="shared" si="104"/>
        <v/>
      </c>
    </row>
    <row r="356" spans="2:7">
      <c r="B356" s="46"/>
      <c r="C356" t="str">
        <f t="shared" si="100"/>
        <v/>
      </c>
      <c r="D356" s="63">
        <f t="shared" si="101"/>
        <v>6.10680751173709</v>
      </c>
      <c r="E356" t="str">
        <f t="shared" si="102"/>
        <v/>
      </c>
      <c r="F356" t="str">
        <f t="shared" si="103"/>
        <v/>
      </c>
      <c r="G356" t="str">
        <f t="shared" si="104"/>
        <v/>
      </c>
    </row>
    <row r="357" ht="15.75" spans="2:7">
      <c r="B357" s="46"/>
      <c r="C357" t="str">
        <f t="shared" si="100"/>
        <v/>
      </c>
      <c r="D357" s="63">
        <f t="shared" si="101"/>
        <v>8.50821596244131</v>
      </c>
      <c r="E357" t="str">
        <f t="shared" si="102"/>
        <v/>
      </c>
      <c r="F357" t="str">
        <f t="shared" ref="F357" si="105">IF(J23=4,S23,"")</f>
        <v/>
      </c>
      <c r="G357" t="str">
        <f t="shared" ref="G357" si="106">IF(J23=5,S23,"")</f>
        <v/>
      </c>
    </row>
    <row r="358" ht="15.75" spans="2:7">
      <c r="B358" s="52" t="s">
        <v>269</v>
      </c>
      <c r="C358" s="53">
        <f>MAX(C342:C357)</f>
        <v>7.52719907407408</v>
      </c>
      <c r="D358" s="53">
        <f t="shared" ref="D358:G358" si="107">MAX(D342:D357)</f>
        <v>8.50821596244131</v>
      </c>
      <c r="E358" s="53">
        <f t="shared" si="107"/>
        <v>14.5833333333333</v>
      </c>
      <c r="F358" s="53">
        <f t="shared" si="107"/>
        <v>6.42857142857143</v>
      </c>
      <c r="G358" s="53">
        <f t="shared" si="107"/>
        <v>3.84591194968553</v>
      </c>
    </row>
    <row r="359" spans="2:7">
      <c r="B359" s="65" t="s">
        <v>270</v>
      </c>
      <c r="C359" s="66">
        <v>1</v>
      </c>
      <c r="D359" s="67">
        <v>2</v>
      </c>
      <c r="E359">
        <v>3</v>
      </c>
      <c r="F359">
        <v>4</v>
      </c>
      <c r="G359">
        <v>5</v>
      </c>
    </row>
    <row r="360" spans="2:7">
      <c r="B360" s="71" t="s">
        <v>271</v>
      </c>
      <c r="C360" s="72">
        <f>HLOOKUP(MIN(C358:G358),C358:G359,2,FALSE)</f>
        <v>5</v>
      </c>
      <c r="D360" s="71"/>
    </row>
    <row r="361" spans="2:7">
      <c r="B361" s="73"/>
      <c r="C361" s="73"/>
      <c r="D361" s="73"/>
    </row>
    <row r="362" spans="2:7">
      <c r="B362" s="46"/>
    </row>
    <row r="363" spans="2:7">
      <c r="B363" s="46"/>
      <c r="C363" s="46"/>
      <c r="D363" s="46"/>
    </row>
    <row r="364" spans="2:7">
      <c r="B364" s="46"/>
      <c r="C364" s="46"/>
      <c r="D364" s="46"/>
    </row>
    <row r="365" ht="15.75" spans="2:7">
      <c r="B365" s="43" t="s">
        <v>289</v>
      </c>
      <c r="C365" s="44"/>
      <c r="D365" s="45"/>
    </row>
    <row r="366" spans="2:7">
      <c r="B366" s="46"/>
      <c r="C366" s="61" t="s">
        <v>264</v>
      </c>
      <c r="D366" s="61" t="s">
        <v>265</v>
      </c>
      <c r="E366" s="62" t="s">
        <v>286</v>
      </c>
      <c r="F366" s="62" t="s">
        <v>287</v>
      </c>
      <c r="G366" s="62" t="s">
        <v>288</v>
      </c>
    </row>
    <row r="367" spans="2:7">
      <c r="B367" s="46"/>
      <c r="C367">
        <f t="shared" ref="C367:C378" si="108">IF(J8=1,S8,"")</f>
        <v>0.700231481481482</v>
      </c>
      <c r="D367" s="63" t="str">
        <f t="shared" ref="D367:D378" si="109">IF(J8=2,S8,"")</f>
        <v/>
      </c>
      <c r="E367" t="str">
        <f t="shared" ref="E367:E378" si="110">IF(J8=3,S8,"")</f>
        <v/>
      </c>
      <c r="F367" t="str">
        <f t="shared" ref="F367:F378" si="111">IF(J8=4,S8,"")</f>
        <v/>
      </c>
      <c r="G367" t="str">
        <f t="shared" ref="G367:G378" si="112">IF(J8=5,S8,"")</f>
        <v/>
      </c>
    </row>
    <row r="368" spans="2:7">
      <c r="B368" s="46"/>
      <c r="C368" t="str">
        <f t="shared" si="108"/>
        <v/>
      </c>
      <c r="D368" s="63">
        <f t="shared" si="109"/>
        <v>0.734154929577465</v>
      </c>
      <c r="E368" t="str">
        <f t="shared" si="110"/>
        <v/>
      </c>
      <c r="F368" t="str">
        <f t="shared" si="111"/>
        <v/>
      </c>
      <c r="G368" t="str">
        <f t="shared" si="112"/>
        <v/>
      </c>
    </row>
    <row r="369" spans="2:7">
      <c r="B369" s="46"/>
      <c r="C369" t="str">
        <f t="shared" si="108"/>
        <v/>
      </c>
      <c r="D369" s="63" t="str">
        <f t="shared" si="109"/>
        <v/>
      </c>
      <c r="E369">
        <f t="shared" si="110"/>
        <v>1.83823529411765</v>
      </c>
      <c r="F369" t="str">
        <f t="shared" si="111"/>
        <v/>
      </c>
      <c r="G369" t="str">
        <f t="shared" si="112"/>
        <v/>
      </c>
    </row>
    <row r="370" spans="2:7">
      <c r="B370" s="46"/>
      <c r="C370" t="str">
        <f t="shared" si="108"/>
        <v/>
      </c>
      <c r="D370" s="63" t="str">
        <f t="shared" si="109"/>
        <v/>
      </c>
      <c r="E370" t="str">
        <f t="shared" si="110"/>
        <v/>
      </c>
      <c r="F370">
        <f t="shared" si="111"/>
        <v>4.28571428571429</v>
      </c>
      <c r="G370" t="str">
        <f t="shared" si="112"/>
        <v/>
      </c>
    </row>
    <row r="371" spans="2:7">
      <c r="B371" s="46"/>
      <c r="C371" t="str">
        <f t="shared" si="108"/>
        <v/>
      </c>
      <c r="D371" s="63" t="str">
        <f t="shared" si="109"/>
        <v/>
      </c>
      <c r="E371" t="str">
        <f t="shared" si="110"/>
        <v/>
      </c>
      <c r="F371" t="str">
        <f t="shared" si="111"/>
        <v/>
      </c>
      <c r="G371">
        <f t="shared" si="112"/>
        <v>3.43396226415094</v>
      </c>
    </row>
    <row r="372" spans="2:7">
      <c r="B372" s="46"/>
      <c r="C372" t="str">
        <f t="shared" si="108"/>
        <v/>
      </c>
      <c r="D372" s="63" t="str">
        <f t="shared" si="109"/>
        <v/>
      </c>
      <c r="E372">
        <f t="shared" si="110"/>
        <v>14.5833333333333</v>
      </c>
      <c r="F372" t="str">
        <f t="shared" si="111"/>
        <v/>
      </c>
      <c r="G372" t="str">
        <f t="shared" si="112"/>
        <v/>
      </c>
    </row>
    <row r="373" spans="2:7">
      <c r="B373" s="46"/>
      <c r="C373" t="str">
        <f t="shared" si="108"/>
        <v/>
      </c>
      <c r="D373" s="63" t="str">
        <f t="shared" si="109"/>
        <v/>
      </c>
      <c r="E373" t="str">
        <f t="shared" si="110"/>
        <v/>
      </c>
      <c r="F373">
        <f t="shared" si="111"/>
        <v>6.42857142857143</v>
      </c>
      <c r="G373" t="str">
        <f t="shared" si="112"/>
        <v/>
      </c>
    </row>
    <row r="374" spans="2:7">
      <c r="B374" s="46"/>
      <c r="C374" t="str">
        <f t="shared" si="108"/>
        <v/>
      </c>
      <c r="D374" s="63" t="str">
        <f t="shared" si="109"/>
        <v/>
      </c>
      <c r="E374" t="str">
        <f t="shared" si="110"/>
        <v/>
      </c>
      <c r="F374" t="str">
        <f t="shared" si="111"/>
        <v/>
      </c>
      <c r="G374">
        <f t="shared" si="112"/>
        <v>3.84591194968553</v>
      </c>
    </row>
    <row r="375" spans="2:7">
      <c r="B375" s="46"/>
      <c r="C375">
        <f t="shared" si="108"/>
        <v>0.844907407407407</v>
      </c>
      <c r="D375" s="63" t="str">
        <f t="shared" si="109"/>
        <v/>
      </c>
      <c r="E375" t="str">
        <f t="shared" si="110"/>
        <v/>
      </c>
      <c r="F375" t="str">
        <f t="shared" si="111"/>
        <v/>
      </c>
      <c r="G375" t="str">
        <f t="shared" si="112"/>
        <v/>
      </c>
    </row>
    <row r="376" spans="2:7">
      <c r="B376" s="46"/>
      <c r="C376">
        <f t="shared" si="108"/>
        <v>6.79803240740741</v>
      </c>
      <c r="D376" s="63" t="str">
        <f t="shared" si="109"/>
        <v/>
      </c>
      <c r="E376" t="str">
        <f t="shared" si="110"/>
        <v/>
      </c>
      <c r="F376" t="str">
        <f t="shared" si="111"/>
        <v/>
      </c>
      <c r="G376" t="str">
        <f t="shared" si="112"/>
        <v/>
      </c>
    </row>
    <row r="377" spans="2:7">
      <c r="B377" s="46"/>
      <c r="C377">
        <f t="shared" si="108"/>
        <v>6.79803240740741</v>
      </c>
      <c r="D377" s="63" t="str">
        <f t="shared" si="109"/>
        <v/>
      </c>
      <c r="E377" t="str">
        <f t="shared" si="110"/>
        <v/>
      </c>
      <c r="F377" t="str">
        <f t="shared" si="111"/>
        <v/>
      </c>
      <c r="G377" t="str">
        <f t="shared" si="112"/>
        <v/>
      </c>
    </row>
    <row r="378" spans="2:7">
      <c r="B378" s="46"/>
      <c r="C378">
        <f t="shared" si="108"/>
        <v>7.52719907407408</v>
      </c>
      <c r="D378" s="63" t="str">
        <f t="shared" si="109"/>
        <v/>
      </c>
      <c r="E378" t="str">
        <f t="shared" si="110"/>
        <v/>
      </c>
      <c r="F378" t="str">
        <f t="shared" si="111"/>
        <v/>
      </c>
      <c r="G378" t="str">
        <f t="shared" si="112"/>
        <v/>
      </c>
    </row>
    <row r="379" spans="2:7">
      <c r="B379" s="46"/>
      <c r="C379" t="str">
        <f t="shared" ref="C379:C383" si="113">IF(J20=1,S20,"")</f>
        <v/>
      </c>
      <c r="D379" s="63">
        <f t="shared" ref="D379:D383" si="114">IF(J20=2,S20,"")</f>
        <v>2.7881455399061</v>
      </c>
      <c r="E379" t="str">
        <f t="shared" ref="E379:E383" si="115">IF(J20=3,S20,"")</f>
        <v/>
      </c>
      <c r="F379" t="str">
        <f t="shared" ref="F379:F383" si="116">IF(J20=4,S20,"")</f>
        <v/>
      </c>
      <c r="G379" t="str">
        <f t="shared" ref="G379:G383" si="117">IF(J20=5,S20,"")</f>
        <v/>
      </c>
    </row>
    <row r="380" spans="2:7">
      <c r="B380" s="46"/>
      <c r="C380" t="str">
        <f t="shared" si="113"/>
        <v/>
      </c>
      <c r="D380" s="63">
        <f t="shared" si="114"/>
        <v>4.47535211267606</v>
      </c>
      <c r="E380" t="str">
        <f t="shared" si="115"/>
        <v/>
      </c>
      <c r="F380" t="str">
        <f t="shared" si="116"/>
        <v/>
      </c>
      <c r="G380" t="str">
        <f t="shared" si="117"/>
        <v/>
      </c>
    </row>
    <row r="381" spans="2:7">
      <c r="B381" s="46"/>
      <c r="C381" t="str">
        <f t="shared" si="113"/>
        <v/>
      </c>
      <c r="D381" s="63">
        <f t="shared" si="114"/>
        <v>6.10680751173709</v>
      </c>
      <c r="E381" t="str">
        <f t="shared" si="115"/>
        <v/>
      </c>
      <c r="F381" t="str">
        <f t="shared" si="116"/>
        <v/>
      </c>
      <c r="G381" t="str">
        <f t="shared" si="117"/>
        <v/>
      </c>
    </row>
    <row r="382" spans="2:7">
      <c r="B382" s="46"/>
      <c r="C382" t="str">
        <f t="shared" si="113"/>
        <v/>
      </c>
      <c r="D382" s="63">
        <f t="shared" si="114"/>
        <v>8.50821596244131</v>
      </c>
      <c r="E382" t="str">
        <f t="shared" si="115"/>
        <v/>
      </c>
      <c r="F382" t="str">
        <f t="shared" si="116"/>
        <v/>
      </c>
      <c r="G382" t="str">
        <f t="shared" si="117"/>
        <v/>
      </c>
    </row>
    <row r="383" ht="15.75" spans="2:7">
      <c r="B383" s="46"/>
      <c r="C383" t="str">
        <f t="shared" si="113"/>
        <v/>
      </c>
      <c r="D383" s="63">
        <f t="shared" si="114"/>
        <v>10.268779342723</v>
      </c>
      <c r="E383" t="str">
        <f t="shared" si="115"/>
        <v/>
      </c>
      <c r="F383" t="str">
        <f t="shared" si="116"/>
        <v/>
      </c>
      <c r="G383" t="str">
        <f t="shared" si="117"/>
        <v/>
      </c>
    </row>
    <row r="384" spans="2:7">
      <c r="B384" s="74" t="s">
        <v>269</v>
      </c>
      <c r="C384" s="75">
        <f>MAX(C367:C383)</f>
        <v>7.52719907407408</v>
      </c>
      <c r="D384" s="75">
        <f t="shared" ref="D384:G384" si="118">MAX(D367:D383)</f>
        <v>10.268779342723</v>
      </c>
      <c r="E384" s="75">
        <f t="shared" si="118"/>
        <v>14.5833333333333</v>
      </c>
      <c r="F384" s="75">
        <f t="shared" si="118"/>
        <v>6.42857142857143</v>
      </c>
      <c r="G384" s="75">
        <f t="shared" si="118"/>
        <v>3.84591194968553</v>
      </c>
    </row>
    <row r="385" spans="2:7">
      <c r="B385" s="76" t="s">
        <v>270</v>
      </c>
      <c r="C385" s="77">
        <v>1</v>
      </c>
      <c r="D385" s="78">
        <v>2</v>
      </c>
      <c r="E385">
        <v>3</v>
      </c>
      <c r="F385">
        <v>4</v>
      </c>
      <c r="G385">
        <v>5</v>
      </c>
    </row>
    <row r="386" spans="2:7">
      <c r="B386" s="79" t="s">
        <v>271</v>
      </c>
      <c r="C386" s="72">
        <f>HLOOKUP(MIN(C384:G384),C384:G385,2,FALSE)</f>
        <v>5</v>
      </c>
      <c r="D386" s="80"/>
    </row>
    <row r="387" spans="2:7">
      <c r="B387" s="46"/>
      <c r="C387" s="81"/>
      <c r="D387" s="81"/>
    </row>
    <row r="388" spans="2:7">
      <c r="B388" s="46"/>
      <c r="C388" s="58"/>
      <c r="D388" s="58"/>
    </row>
    <row r="389" ht="15.75" spans="2:7">
      <c r="B389" s="43" t="s">
        <v>290</v>
      </c>
      <c r="C389" s="44"/>
      <c r="D389" s="45"/>
    </row>
    <row r="390" spans="2:7">
      <c r="B390" s="46"/>
      <c r="C390" s="61" t="s">
        <v>264</v>
      </c>
      <c r="D390" s="61" t="s">
        <v>265</v>
      </c>
      <c r="E390" s="62" t="s">
        <v>286</v>
      </c>
      <c r="F390" s="62" t="s">
        <v>287</v>
      </c>
      <c r="G390" s="62" t="s">
        <v>288</v>
      </c>
    </row>
    <row r="391" spans="2:7">
      <c r="B391" s="46"/>
      <c r="C391">
        <f t="shared" ref="C391:C402" si="119">IF(J8=1,S8,"")</f>
        <v>0.700231481481482</v>
      </c>
      <c r="D391" s="63" t="str">
        <f t="shared" ref="D391:D402" si="120">IF(J8=2,S8,"")</f>
        <v/>
      </c>
      <c r="E391" t="str">
        <f t="shared" ref="E391:E402" si="121">IF(J8=3,S8,"")</f>
        <v/>
      </c>
      <c r="F391" t="str">
        <f t="shared" ref="F391:F402" si="122">IF(J8=4,S8,"")</f>
        <v/>
      </c>
      <c r="G391" t="str">
        <f t="shared" ref="G391:G402" si="123">IF(J8=5,S8,"")</f>
        <v/>
      </c>
    </row>
    <row r="392" spans="2:7">
      <c r="B392" s="46"/>
      <c r="C392" t="str">
        <f t="shared" si="119"/>
        <v/>
      </c>
      <c r="D392" s="63">
        <f t="shared" si="120"/>
        <v>0.734154929577465</v>
      </c>
      <c r="E392" t="str">
        <f t="shared" si="121"/>
        <v/>
      </c>
      <c r="F392" t="str">
        <f t="shared" si="122"/>
        <v/>
      </c>
      <c r="G392" t="str">
        <f t="shared" si="123"/>
        <v/>
      </c>
    </row>
    <row r="393" spans="2:7">
      <c r="B393" s="46"/>
      <c r="C393" t="str">
        <f t="shared" si="119"/>
        <v/>
      </c>
      <c r="D393" s="63" t="str">
        <f t="shared" si="120"/>
        <v/>
      </c>
      <c r="E393">
        <f t="shared" si="121"/>
        <v>1.83823529411765</v>
      </c>
      <c r="F393" t="str">
        <f t="shared" si="122"/>
        <v/>
      </c>
      <c r="G393" t="str">
        <f t="shared" si="123"/>
        <v/>
      </c>
    </row>
    <row r="394" spans="2:7">
      <c r="B394" s="46"/>
      <c r="C394" t="str">
        <f t="shared" si="119"/>
        <v/>
      </c>
      <c r="D394" s="63" t="str">
        <f t="shared" si="120"/>
        <v/>
      </c>
      <c r="E394" t="str">
        <f t="shared" si="121"/>
        <v/>
      </c>
      <c r="F394">
        <f t="shared" si="122"/>
        <v>4.28571428571429</v>
      </c>
      <c r="G394" t="str">
        <f t="shared" si="123"/>
        <v/>
      </c>
    </row>
    <row r="395" spans="2:7">
      <c r="B395" s="46"/>
      <c r="C395" t="str">
        <f t="shared" si="119"/>
        <v/>
      </c>
      <c r="D395" s="63" t="str">
        <f t="shared" si="120"/>
        <v/>
      </c>
      <c r="E395" t="str">
        <f t="shared" si="121"/>
        <v/>
      </c>
      <c r="F395" t="str">
        <f t="shared" si="122"/>
        <v/>
      </c>
      <c r="G395">
        <f t="shared" si="123"/>
        <v>3.43396226415094</v>
      </c>
    </row>
    <row r="396" spans="2:7">
      <c r="B396" s="46"/>
      <c r="C396" t="str">
        <f t="shared" si="119"/>
        <v/>
      </c>
      <c r="D396" s="63" t="str">
        <f t="shared" si="120"/>
        <v/>
      </c>
      <c r="E396">
        <f t="shared" si="121"/>
        <v>14.5833333333333</v>
      </c>
      <c r="F396" t="str">
        <f t="shared" si="122"/>
        <v/>
      </c>
      <c r="G396" t="str">
        <f t="shared" si="123"/>
        <v/>
      </c>
    </row>
    <row r="397" spans="2:7">
      <c r="B397" s="46"/>
      <c r="C397" t="str">
        <f t="shared" si="119"/>
        <v/>
      </c>
      <c r="D397" s="63" t="str">
        <f t="shared" si="120"/>
        <v/>
      </c>
      <c r="E397" t="str">
        <f t="shared" si="121"/>
        <v/>
      </c>
      <c r="F397">
        <f t="shared" si="122"/>
        <v>6.42857142857143</v>
      </c>
      <c r="G397" t="str">
        <f t="shared" si="123"/>
        <v/>
      </c>
    </row>
    <row r="398" spans="2:7">
      <c r="B398" s="46"/>
      <c r="C398" t="str">
        <f t="shared" si="119"/>
        <v/>
      </c>
      <c r="D398" s="63" t="str">
        <f t="shared" si="120"/>
        <v/>
      </c>
      <c r="E398" t="str">
        <f t="shared" si="121"/>
        <v/>
      </c>
      <c r="F398" t="str">
        <f t="shared" si="122"/>
        <v/>
      </c>
      <c r="G398">
        <f t="shared" si="123"/>
        <v>3.84591194968553</v>
      </c>
    </row>
    <row r="399" spans="2:7">
      <c r="B399" s="46"/>
      <c r="C399">
        <f t="shared" si="119"/>
        <v>0.844907407407407</v>
      </c>
      <c r="D399" s="63" t="str">
        <f t="shared" si="120"/>
        <v/>
      </c>
      <c r="E399" t="str">
        <f t="shared" si="121"/>
        <v/>
      </c>
      <c r="F399" t="str">
        <f t="shared" si="122"/>
        <v/>
      </c>
      <c r="G399" t="str">
        <f t="shared" si="123"/>
        <v/>
      </c>
    </row>
    <row r="400" spans="2:7">
      <c r="B400" s="46"/>
      <c r="C400">
        <f t="shared" si="119"/>
        <v>6.79803240740741</v>
      </c>
      <c r="D400" s="63" t="str">
        <f t="shared" si="120"/>
        <v/>
      </c>
      <c r="E400" t="str">
        <f t="shared" si="121"/>
        <v/>
      </c>
      <c r="F400" t="str">
        <f t="shared" si="122"/>
        <v/>
      </c>
      <c r="G400" t="str">
        <f t="shared" si="123"/>
        <v/>
      </c>
    </row>
    <row r="401" spans="2:7">
      <c r="B401" s="46"/>
      <c r="C401">
        <f t="shared" si="119"/>
        <v>6.79803240740741</v>
      </c>
      <c r="D401" s="63" t="str">
        <f t="shared" si="120"/>
        <v/>
      </c>
      <c r="E401" t="str">
        <f t="shared" si="121"/>
        <v/>
      </c>
      <c r="F401" t="str">
        <f t="shared" si="122"/>
        <v/>
      </c>
      <c r="G401" t="str">
        <f t="shared" si="123"/>
        <v/>
      </c>
    </row>
    <row r="402" spans="2:7">
      <c r="B402" s="46"/>
      <c r="C402">
        <f t="shared" si="119"/>
        <v>7.52719907407408</v>
      </c>
      <c r="D402" s="63" t="str">
        <f t="shared" si="120"/>
        <v/>
      </c>
      <c r="E402" t="str">
        <f t="shared" si="121"/>
        <v/>
      </c>
      <c r="F402" t="str">
        <f t="shared" si="122"/>
        <v/>
      </c>
      <c r="G402" t="str">
        <f t="shared" si="123"/>
        <v/>
      </c>
    </row>
    <row r="403" spans="2:7">
      <c r="B403" s="46"/>
      <c r="C403" t="str">
        <f t="shared" ref="C403:C408" si="124">IF(J20=1,S20,"")</f>
        <v/>
      </c>
      <c r="D403" s="63">
        <f t="shared" ref="D403:D408" si="125">IF(J20=2,S20,"")</f>
        <v>2.7881455399061</v>
      </c>
      <c r="E403" t="str">
        <f t="shared" ref="E403:E408" si="126">IF(J20=3,S20,"")</f>
        <v/>
      </c>
      <c r="F403" t="str">
        <f t="shared" ref="F403:F408" si="127">IF(J20=4,S20,"")</f>
        <v/>
      </c>
      <c r="G403" t="str">
        <f t="shared" ref="G403:G408" si="128">IF(J20=5,S20,"")</f>
        <v/>
      </c>
    </row>
    <row r="404" spans="2:7">
      <c r="B404" s="46"/>
      <c r="C404" t="str">
        <f t="shared" si="124"/>
        <v/>
      </c>
      <c r="D404" s="63">
        <f t="shared" si="125"/>
        <v>4.47535211267606</v>
      </c>
      <c r="E404" t="str">
        <f t="shared" si="126"/>
        <v/>
      </c>
      <c r="F404" t="str">
        <f t="shared" si="127"/>
        <v/>
      </c>
      <c r="G404" t="str">
        <f t="shared" si="128"/>
        <v/>
      </c>
    </row>
    <row r="405" spans="2:7">
      <c r="B405" s="46"/>
      <c r="C405" t="str">
        <f t="shared" si="124"/>
        <v/>
      </c>
      <c r="D405" s="63">
        <f t="shared" si="125"/>
        <v>6.10680751173709</v>
      </c>
      <c r="E405" t="str">
        <f t="shared" si="126"/>
        <v/>
      </c>
      <c r="F405" t="str">
        <f t="shared" si="127"/>
        <v/>
      </c>
      <c r="G405" t="str">
        <f t="shared" si="128"/>
        <v/>
      </c>
    </row>
    <row r="406" spans="2:7">
      <c r="C406" t="str">
        <f t="shared" si="124"/>
        <v/>
      </c>
      <c r="D406" s="63">
        <f t="shared" si="125"/>
        <v>8.50821596244131</v>
      </c>
      <c r="E406" t="str">
        <f t="shared" si="126"/>
        <v/>
      </c>
      <c r="F406" t="str">
        <f t="shared" si="127"/>
        <v/>
      </c>
      <c r="G406" t="str">
        <f t="shared" si="128"/>
        <v/>
      </c>
    </row>
    <row r="407" spans="2:7">
      <c r="B407" s="46"/>
      <c r="C407" t="str">
        <f t="shared" si="124"/>
        <v/>
      </c>
      <c r="D407" s="63">
        <f t="shared" si="125"/>
        <v>10.268779342723</v>
      </c>
      <c r="E407" t="str">
        <f t="shared" si="126"/>
        <v/>
      </c>
      <c r="F407" t="str">
        <f t="shared" si="127"/>
        <v/>
      </c>
      <c r="G407" t="str">
        <f t="shared" si="128"/>
        <v/>
      </c>
    </row>
    <row r="408" ht="15.75" spans="2:7">
      <c r="B408" s="46"/>
      <c r="C408" t="str">
        <f t="shared" si="124"/>
        <v/>
      </c>
      <c r="D408" s="63" t="str">
        <f t="shared" si="125"/>
        <v/>
      </c>
      <c r="E408" t="str">
        <f t="shared" si="126"/>
        <v/>
      </c>
      <c r="F408" t="str">
        <f t="shared" si="127"/>
        <v/>
      </c>
      <c r="G408">
        <f t="shared" si="128"/>
        <v>7.67610062893082</v>
      </c>
    </row>
    <row r="409" ht="15.75" spans="2:7">
      <c r="B409" s="74" t="s">
        <v>269</v>
      </c>
      <c r="C409" s="75">
        <f>MAX(C391:C408)</f>
        <v>7.52719907407408</v>
      </c>
      <c r="D409" s="75">
        <f t="shared" ref="D409:G409" si="129">MAX(D391:D408)</f>
        <v>10.268779342723</v>
      </c>
      <c r="E409" s="75">
        <f t="shared" si="129"/>
        <v>14.5833333333333</v>
      </c>
      <c r="F409" s="75">
        <f t="shared" si="129"/>
        <v>6.42857142857143</v>
      </c>
      <c r="G409" s="75">
        <f t="shared" si="129"/>
        <v>7.67610062893082</v>
      </c>
    </row>
    <row r="410" spans="2:7">
      <c r="B410" s="76" t="s">
        <v>270</v>
      </c>
      <c r="C410" s="77">
        <v>1</v>
      </c>
      <c r="D410" s="75">
        <v>2</v>
      </c>
      <c r="E410">
        <v>3</v>
      </c>
      <c r="F410">
        <v>4</v>
      </c>
      <c r="G410">
        <v>5</v>
      </c>
    </row>
    <row r="411" spans="2:7">
      <c r="B411" s="79" t="s">
        <v>271</v>
      </c>
      <c r="C411" s="72">
        <f>HLOOKUP(MIN(C409:G409),C409:G410,2,FALSE)</f>
        <v>4</v>
      </c>
      <c r="D411" s="80"/>
    </row>
    <row r="412" spans="2:7">
      <c r="B412" s="46"/>
      <c r="C412" s="63"/>
      <c r="D412" s="63"/>
    </row>
    <row r="413" spans="2:7">
      <c r="B413" s="46"/>
      <c r="C413" s="63"/>
      <c r="D413" s="63"/>
    </row>
    <row r="414" spans="2:7">
      <c r="B414" s="46"/>
      <c r="C414" s="81"/>
      <c r="D414" s="81"/>
    </row>
    <row r="415" spans="2:7">
      <c r="B415" s="46"/>
      <c r="C415" s="58"/>
      <c r="D415" s="58"/>
    </row>
    <row r="416" spans="2:7">
      <c r="B416" s="46"/>
      <c r="C416" s="58"/>
      <c r="D416" s="46"/>
    </row>
    <row r="417" spans="2:7">
      <c r="B417" s="46"/>
      <c r="C417" s="46"/>
      <c r="D417" s="46"/>
    </row>
    <row r="418" spans="2:7">
      <c r="B418" s="46"/>
      <c r="C418" s="46"/>
      <c r="D418" s="46"/>
    </row>
    <row r="419" ht="15.75" spans="2:7">
      <c r="B419" s="43" t="s">
        <v>291</v>
      </c>
      <c r="C419" s="44"/>
      <c r="D419" s="45"/>
    </row>
    <row r="420" spans="2:7">
      <c r="B420" s="46"/>
      <c r="C420" s="61" t="s">
        <v>264</v>
      </c>
      <c r="D420" s="61" t="s">
        <v>265</v>
      </c>
      <c r="E420" s="62" t="s">
        <v>286</v>
      </c>
      <c r="F420" s="62" t="s">
        <v>287</v>
      </c>
      <c r="G420" s="62" t="s">
        <v>288</v>
      </c>
    </row>
    <row r="421" spans="2:7">
      <c r="B421" s="46"/>
      <c r="C421">
        <f t="shared" ref="C421:C436" si="130">IF(J8=1,S8,"")</f>
        <v>0.700231481481482</v>
      </c>
      <c r="D421" s="63" t="str">
        <f t="shared" ref="D421:D436" si="131">IF(J8=2,S8,"")</f>
        <v/>
      </c>
      <c r="E421" t="str">
        <f t="shared" ref="E421:E436" si="132">IF(J8=3,S8,"")</f>
        <v/>
      </c>
      <c r="F421" t="str">
        <f t="shared" ref="F421:F436" si="133">IF(J8=4,S8,"")</f>
        <v/>
      </c>
      <c r="G421" t="str">
        <f t="shared" ref="G421:G436" si="134">IF(J8=5,S8,"")</f>
        <v/>
      </c>
    </row>
    <row r="422" spans="2:7">
      <c r="B422" s="46"/>
      <c r="C422" t="str">
        <f t="shared" si="130"/>
        <v/>
      </c>
      <c r="D422" s="63">
        <f t="shared" si="131"/>
        <v>0.734154929577465</v>
      </c>
      <c r="E422" t="str">
        <f t="shared" si="132"/>
        <v/>
      </c>
      <c r="F422" t="str">
        <f t="shared" si="133"/>
        <v/>
      </c>
      <c r="G422" t="str">
        <f t="shared" si="134"/>
        <v/>
      </c>
    </row>
    <row r="423" spans="2:7">
      <c r="B423" s="46"/>
      <c r="C423" t="str">
        <f t="shared" si="130"/>
        <v/>
      </c>
      <c r="D423" s="63" t="str">
        <f t="shared" si="131"/>
        <v/>
      </c>
      <c r="E423">
        <f t="shared" si="132"/>
        <v>1.83823529411765</v>
      </c>
      <c r="F423" t="str">
        <f t="shared" si="133"/>
        <v/>
      </c>
      <c r="G423" t="str">
        <f t="shared" si="134"/>
        <v/>
      </c>
    </row>
    <row r="424" spans="2:7">
      <c r="B424" s="46"/>
      <c r="C424" t="str">
        <f t="shared" si="130"/>
        <v/>
      </c>
      <c r="D424" s="63" t="str">
        <f t="shared" si="131"/>
        <v/>
      </c>
      <c r="E424" t="str">
        <f t="shared" si="132"/>
        <v/>
      </c>
      <c r="F424">
        <f t="shared" si="133"/>
        <v>4.28571428571429</v>
      </c>
      <c r="G424" t="str">
        <f t="shared" si="134"/>
        <v/>
      </c>
    </row>
    <row r="425" spans="2:7">
      <c r="B425" s="46"/>
      <c r="C425" t="str">
        <f t="shared" si="130"/>
        <v/>
      </c>
      <c r="D425" s="63" t="str">
        <f t="shared" si="131"/>
        <v/>
      </c>
      <c r="E425" t="str">
        <f t="shared" si="132"/>
        <v/>
      </c>
      <c r="F425" t="str">
        <f t="shared" si="133"/>
        <v/>
      </c>
      <c r="G425">
        <f t="shared" si="134"/>
        <v>3.43396226415094</v>
      </c>
    </row>
    <row r="426" spans="2:7">
      <c r="B426" s="46"/>
      <c r="C426" t="str">
        <f t="shared" si="130"/>
        <v/>
      </c>
      <c r="D426" s="63" t="str">
        <f t="shared" si="131"/>
        <v/>
      </c>
      <c r="E426">
        <f t="shared" si="132"/>
        <v>14.5833333333333</v>
      </c>
      <c r="F426" t="str">
        <f t="shared" si="133"/>
        <v/>
      </c>
      <c r="G426" t="str">
        <f t="shared" si="134"/>
        <v/>
      </c>
    </row>
    <row r="427" spans="2:7">
      <c r="B427" s="46"/>
      <c r="C427" t="str">
        <f t="shared" si="130"/>
        <v/>
      </c>
      <c r="D427" s="63" t="str">
        <f t="shared" si="131"/>
        <v/>
      </c>
      <c r="E427" t="str">
        <f t="shared" si="132"/>
        <v/>
      </c>
      <c r="F427">
        <f t="shared" si="133"/>
        <v>6.42857142857143</v>
      </c>
      <c r="G427" t="str">
        <f t="shared" si="134"/>
        <v/>
      </c>
    </row>
    <row r="428" spans="2:7">
      <c r="B428" s="46"/>
      <c r="C428" t="str">
        <f t="shared" si="130"/>
        <v/>
      </c>
      <c r="D428" s="63" t="str">
        <f t="shared" si="131"/>
        <v/>
      </c>
      <c r="E428" t="str">
        <f t="shared" si="132"/>
        <v/>
      </c>
      <c r="F428" t="str">
        <f t="shared" si="133"/>
        <v/>
      </c>
      <c r="G428">
        <f t="shared" si="134"/>
        <v>3.84591194968553</v>
      </c>
    </row>
    <row r="429" spans="2:7">
      <c r="B429" s="46"/>
      <c r="C429">
        <f t="shared" si="130"/>
        <v>0.844907407407407</v>
      </c>
      <c r="D429" s="63" t="str">
        <f t="shared" si="131"/>
        <v/>
      </c>
      <c r="E429" t="str">
        <f t="shared" si="132"/>
        <v/>
      </c>
      <c r="F429" t="str">
        <f t="shared" si="133"/>
        <v/>
      </c>
      <c r="G429" t="str">
        <f t="shared" si="134"/>
        <v/>
      </c>
    </row>
    <row r="430" spans="2:7">
      <c r="B430" s="46"/>
      <c r="C430">
        <f t="shared" si="130"/>
        <v>6.79803240740741</v>
      </c>
      <c r="D430" s="63" t="str">
        <f t="shared" si="131"/>
        <v/>
      </c>
      <c r="E430" t="str">
        <f t="shared" si="132"/>
        <v/>
      </c>
      <c r="F430" t="str">
        <f t="shared" si="133"/>
        <v/>
      </c>
      <c r="G430" t="str">
        <f t="shared" si="134"/>
        <v/>
      </c>
    </row>
    <row r="431" spans="2:7">
      <c r="B431" s="46"/>
      <c r="C431">
        <f t="shared" si="130"/>
        <v>6.79803240740741</v>
      </c>
      <c r="D431" s="63" t="str">
        <f t="shared" si="131"/>
        <v/>
      </c>
      <c r="E431" t="str">
        <f t="shared" si="132"/>
        <v/>
      </c>
      <c r="F431" t="str">
        <f t="shared" si="133"/>
        <v/>
      </c>
      <c r="G431" t="str">
        <f t="shared" si="134"/>
        <v/>
      </c>
    </row>
    <row r="432" spans="2:7">
      <c r="B432" s="46"/>
      <c r="C432">
        <f t="shared" si="130"/>
        <v>7.52719907407408</v>
      </c>
      <c r="D432" s="63" t="str">
        <f t="shared" si="131"/>
        <v/>
      </c>
      <c r="E432" t="str">
        <f t="shared" si="132"/>
        <v/>
      </c>
      <c r="F432" t="str">
        <f t="shared" si="133"/>
        <v/>
      </c>
      <c r="G432" t="str">
        <f t="shared" si="134"/>
        <v/>
      </c>
    </row>
    <row r="433" spans="2:7">
      <c r="B433" s="46"/>
      <c r="C433" t="str">
        <f t="shared" si="130"/>
        <v/>
      </c>
      <c r="D433" s="63">
        <f t="shared" si="131"/>
        <v>2.7881455399061</v>
      </c>
      <c r="E433" t="str">
        <f t="shared" si="132"/>
        <v/>
      </c>
      <c r="F433" t="str">
        <f t="shared" si="133"/>
        <v/>
      </c>
      <c r="G433" t="str">
        <f t="shared" si="134"/>
        <v/>
      </c>
    </row>
    <row r="434" spans="2:7">
      <c r="B434" s="46"/>
      <c r="C434" t="str">
        <f t="shared" si="130"/>
        <v/>
      </c>
      <c r="D434" s="63">
        <f t="shared" si="131"/>
        <v>4.47535211267606</v>
      </c>
      <c r="E434" t="str">
        <f t="shared" si="132"/>
        <v/>
      </c>
      <c r="F434" t="str">
        <f t="shared" si="133"/>
        <v/>
      </c>
      <c r="G434" t="str">
        <f t="shared" si="134"/>
        <v/>
      </c>
    </row>
    <row r="435" spans="2:7">
      <c r="B435" s="46"/>
      <c r="C435" t="str">
        <f t="shared" si="130"/>
        <v/>
      </c>
      <c r="D435" s="63">
        <f t="shared" si="131"/>
        <v>6.10680751173709</v>
      </c>
      <c r="E435" t="str">
        <f t="shared" si="132"/>
        <v/>
      </c>
      <c r="F435" t="str">
        <f t="shared" si="133"/>
        <v/>
      </c>
      <c r="G435" t="str">
        <f t="shared" si="134"/>
        <v/>
      </c>
    </row>
    <row r="436" spans="2:7">
      <c r="B436" s="46"/>
      <c r="C436" t="str">
        <f t="shared" si="130"/>
        <v/>
      </c>
      <c r="D436" s="63">
        <f t="shared" si="131"/>
        <v>8.50821596244131</v>
      </c>
      <c r="E436" t="str">
        <f t="shared" si="132"/>
        <v/>
      </c>
      <c r="F436" t="str">
        <f t="shared" si="133"/>
        <v/>
      </c>
      <c r="G436" t="str">
        <f t="shared" si="134"/>
        <v/>
      </c>
    </row>
    <row r="437" spans="2:7">
      <c r="B437" s="46"/>
      <c r="C437" t="str">
        <f t="shared" ref="C437:C439" si="135">IF(J24=1,S24,"")</f>
        <v/>
      </c>
      <c r="D437" s="63">
        <f t="shared" ref="D437:D439" si="136">IF(J24=2,S24,"")</f>
        <v>10.268779342723</v>
      </c>
      <c r="E437" t="str">
        <f t="shared" ref="E437:E439" si="137">IF(J24=3,S24,"")</f>
        <v/>
      </c>
      <c r="F437" t="str">
        <f t="shared" ref="F437:F439" si="138">IF(J24=4,S24,"")</f>
        <v/>
      </c>
      <c r="G437" t="str">
        <f t="shared" ref="G437:G439" si="139">IF(J24=5,S24,"")</f>
        <v/>
      </c>
    </row>
    <row r="438" spans="2:7">
      <c r="B438" s="46"/>
      <c r="C438" t="str">
        <f t="shared" si="135"/>
        <v/>
      </c>
      <c r="D438" s="63" t="str">
        <f t="shared" si="136"/>
        <v/>
      </c>
      <c r="E438" t="str">
        <f t="shared" si="137"/>
        <v/>
      </c>
      <c r="F438" t="str">
        <f t="shared" si="138"/>
        <v/>
      </c>
      <c r="G438">
        <f t="shared" si="139"/>
        <v>7.67610062893082</v>
      </c>
    </row>
    <row r="439" ht="15.75" spans="2:7">
      <c r="B439" s="46"/>
      <c r="C439" t="str">
        <f t="shared" si="135"/>
        <v/>
      </c>
      <c r="D439" s="63" t="str">
        <f t="shared" si="136"/>
        <v/>
      </c>
      <c r="E439" t="str">
        <f t="shared" si="137"/>
        <v/>
      </c>
      <c r="F439" t="str">
        <f t="shared" si="138"/>
        <v/>
      </c>
      <c r="G439">
        <f t="shared" si="139"/>
        <v>10.3836477987421</v>
      </c>
    </row>
    <row r="440" spans="2:7">
      <c r="B440" s="74" t="s">
        <v>269</v>
      </c>
      <c r="C440" s="75">
        <f>MAX(C421:C439)</f>
        <v>7.52719907407408</v>
      </c>
      <c r="D440" s="75">
        <f t="shared" ref="D440:G440" si="140">MAX(D421:D439)</f>
        <v>10.268779342723</v>
      </c>
      <c r="E440" s="75">
        <f t="shared" si="140"/>
        <v>14.5833333333333</v>
      </c>
      <c r="F440" s="75">
        <f t="shared" si="140"/>
        <v>6.42857142857143</v>
      </c>
      <c r="G440" s="75">
        <f t="shared" si="140"/>
        <v>10.3836477987421</v>
      </c>
    </row>
    <row r="441" spans="2:7">
      <c r="B441" s="76" t="s">
        <v>270</v>
      </c>
      <c r="C441" s="77">
        <v>1</v>
      </c>
      <c r="D441" s="78">
        <v>2</v>
      </c>
      <c r="E441">
        <v>3</v>
      </c>
      <c r="F441">
        <v>4</v>
      </c>
      <c r="G441">
        <v>5</v>
      </c>
    </row>
    <row r="442" spans="2:7">
      <c r="B442" s="79" t="s">
        <v>271</v>
      </c>
      <c r="C442" s="72">
        <f>HLOOKUP(MIN(C440:G440),C440:G441,2,FALSE)</f>
        <v>4</v>
      </c>
      <c r="D442" s="80"/>
    </row>
    <row r="443" spans="2:7">
      <c r="B443" s="46"/>
      <c r="C443" s="81"/>
      <c r="D443" s="81"/>
    </row>
    <row r="444" spans="2:7">
      <c r="B444" s="46"/>
      <c r="C444" s="58"/>
      <c r="D444" s="58"/>
    </row>
    <row r="445" spans="2:7">
      <c r="B445" s="46"/>
      <c r="C445" s="58"/>
      <c r="D445" s="46"/>
    </row>
    <row r="446" ht="15.75" spans="2:7">
      <c r="B446" s="43" t="s">
        <v>292</v>
      </c>
      <c r="C446" s="44"/>
      <c r="D446" s="45"/>
    </row>
    <row r="447" spans="2:7">
      <c r="B447" s="46"/>
      <c r="C447" s="61" t="s">
        <v>264</v>
      </c>
      <c r="D447" s="61" t="s">
        <v>265</v>
      </c>
      <c r="E447" s="62" t="s">
        <v>286</v>
      </c>
      <c r="F447" s="62" t="s">
        <v>287</v>
      </c>
      <c r="G447" s="62" t="s">
        <v>288</v>
      </c>
    </row>
    <row r="448" spans="2:7">
      <c r="B448" s="46"/>
      <c r="C448">
        <f t="shared" ref="C448" si="141">IF(J8=1,S8,"")</f>
        <v>0.700231481481482</v>
      </c>
      <c r="D448" s="63" t="str">
        <f t="shared" ref="D448" si="142">IF(J8=2,S8,"")</f>
        <v/>
      </c>
      <c r="E448" t="str">
        <f t="shared" ref="E448" si="143">IF(J8=3,S8,"")</f>
        <v/>
      </c>
      <c r="F448" t="str">
        <f t="shared" ref="F448" si="144">IF(J8=4,S8,"")</f>
        <v/>
      </c>
      <c r="G448" t="str">
        <f t="shared" ref="G448" si="145">IF(J8=5,S8,"")</f>
        <v/>
      </c>
    </row>
    <row r="449" spans="2:7">
      <c r="B449" s="46"/>
      <c r="C449" t="str">
        <f t="shared" ref="C449:C467" si="146">IF(J9=1,S9,"")</f>
        <v/>
      </c>
      <c r="D449" s="63">
        <f t="shared" ref="D449:D467" si="147">IF(J9=2,S9,"")</f>
        <v>0.734154929577465</v>
      </c>
      <c r="E449" t="str">
        <f t="shared" ref="E449:E467" si="148">IF(J9=3,S9,"")</f>
        <v/>
      </c>
      <c r="F449" t="str">
        <f t="shared" ref="F449:F467" si="149">IF(J9=4,S9,"")</f>
        <v/>
      </c>
      <c r="G449" t="str">
        <f t="shared" ref="G449:G467" si="150">IF(J9=5,S9,"")</f>
        <v/>
      </c>
    </row>
    <row r="450" spans="2:7">
      <c r="B450" s="46"/>
      <c r="C450" t="str">
        <f t="shared" si="146"/>
        <v/>
      </c>
      <c r="D450" s="63" t="str">
        <f t="shared" si="147"/>
        <v/>
      </c>
      <c r="E450">
        <f t="shared" si="148"/>
        <v>1.83823529411765</v>
      </c>
      <c r="F450" t="str">
        <f t="shared" si="149"/>
        <v/>
      </c>
      <c r="G450" t="str">
        <f t="shared" si="150"/>
        <v/>
      </c>
    </row>
    <row r="451" spans="2:7">
      <c r="B451" s="46"/>
      <c r="C451" t="str">
        <f t="shared" si="146"/>
        <v/>
      </c>
      <c r="D451" s="63" t="str">
        <f t="shared" si="147"/>
        <v/>
      </c>
      <c r="E451" t="str">
        <f t="shared" si="148"/>
        <v/>
      </c>
      <c r="F451">
        <f t="shared" si="149"/>
        <v>4.28571428571429</v>
      </c>
      <c r="G451" t="str">
        <f t="shared" si="150"/>
        <v/>
      </c>
    </row>
    <row r="452" spans="2:7">
      <c r="B452" s="46"/>
      <c r="C452" t="str">
        <f t="shared" si="146"/>
        <v/>
      </c>
      <c r="D452" s="63" t="str">
        <f t="shared" si="147"/>
        <v/>
      </c>
      <c r="E452" t="str">
        <f t="shared" si="148"/>
        <v/>
      </c>
      <c r="F452" t="str">
        <f t="shared" si="149"/>
        <v/>
      </c>
      <c r="G452">
        <f t="shared" si="150"/>
        <v>3.43396226415094</v>
      </c>
    </row>
    <row r="453" spans="2:7">
      <c r="B453" s="46"/>
      <c r="C453" t="str">
        <f t="shared" si="146"/>
        <v/>
      </c>
      <c r="D453" s="63" t="str">
        <f t="shared" si="147"/>
        <v/>
      </c>
      <c r="E453">
        <f t="shared" si="148"/>
        <v>14.5833333333333</v>
      </c>
      <c r="F453" t="str">
        <f t="shared" si="149"/>
        <v/>
      </c>
      <c r="G453" t="str">
        <f t="shared" si="150"/>
        <v/>
      </c>
    </row>
    <row r="454" spans="2:7">
      <c r="B454" s="46"/>
      <c r="C454" t="str">
        <f t="shared" si="146"/>
        <v/>
      </c>
      <c r="D454" s="63" t="str">
        <f t="shared" si="147"/>
        <v/>
      </c>
      <c r="E454" t="str">
        <f t="shared" si="148"/>
        <v/>
      </c>
      <c r="F454">
        <f t="shared" si="149"/>
        <v>6.42857142857143</v>
      </c>
      <c r="G454" t="str">
        <f t="shared" si="150"/>
        <v/>
      </c>
    </row>
    <row r="455" spans="2:7">
      <c r="B455" s="46"/>
      <c r="C455" t="str">
        <f t="shared" si="146"/>
        <v/>
      </c>
      <c r="D455" s="63" t="str">
        <f t="shared" si="147"/>
        <v/>
      </c>
      <c r="E455" t="str">
        <f t="shared" si="148"/>
        <v/>
      </c>
      <c r="F455" t="str">
        <f t="shared" si="149"/>
        <v/>
      </c>
      <c r="G455">
        <f t="shared" si="150"/>
        <v>3.84591194968553</v>
      </c>
    </row>
    <row r="456" spans="2:7">
      <c r="B456" s="46"/>
      <c r="C456">
        <f t="shared" si="146"/>
        <v>0.844907407407407</v>
      </c>
      <c r="D456" s="63" t="str">
        <f t="shared" si="147"/>
        <v/>
      </c>
      <c r="E456" t="str">
        <f t="shared" si="148"/>
        <v/>
      </c>
      <c r="F456" t="str">
        <f t="shared" si="149"/>
        <v/>
      </c>
      <c r="G456" t="str">
        <f t="shared" si="150"/>
        <v/>
      </c>
    </row>
    <row r="457" spans="2:7">
      <c r="B457" s="46"/>
      <c r="C457">
        <f t="shared" si="146"/>
        <v>6.79803240740741</v>
      </c>
      <c r="D457" s="63" t="str">
        <f t="shared" si="147"/>
        <v/>
      </c>
      <c r="E457" t="str">
        <f t="shared" si="148"/>
        <v/>
      </c>
      <c r="F457" t="str">
        <f t="shared" si="149"/>
        <v/>
      </c>
      <c r="G457" t="str">
        <f t="shared" si="150"/>
        <v/>
      </c>
    </row>
    <row r="458" spans="2:7">
      <c r="B458" s="46"/>
      <c r="C458">
        <f t="shared" si="146"/>
        <v>6.79803240740741</v>
      </c>
      <c r="D458" s="63" t="str">
        <f t="shared" si="147"/>
        <v/>
      </c>
      <c r="E458" t="str">
        <f t="shared" si="148"/>
        <v/>
      </c>
      <c r="F458" t="str">
        <f t="shared" si="149"/>
        <v/>
      </c>
      <c r="G458" t="str">
        <f t="shared" si="150"/>
        <v/>
      </c>
    </row>
    <row r="459" spans="2:7">
      <c r="B459" s="46"/>
      <c r="C459">
        <f t="shared" si="146"/>
        <v>7.52719907407408</v>
      </c>
      <c r="D459" s="63" t="str">
        <f t="shared" si="147"/>
        <v/>
      </c>
      <c r="E459" t="str">
        <f t="shared" si="148"/>
        <v/>
      </c>
      <c r="F459" t="str">
        <f t="shared" si="149"/>
        <v/>
      </c>
      <c r="G459" t="str">
        <f t="shared" si="150"/>
        <v/>
      </c>
    </row>
    <row r="460" spans="2:7">
      <c r="B460" s="46"/>
      <c r="C460" t="str">
        <f t="shared" si="146"/>
        <v/>
      </c>
      <c r="D460" s="63">
        <f t="shared" si="147"/>
        <v>2.7881455399061</v>
      </c>
      <c r="E460" t="str">
        <f t="shared" si="148"/>
        <v/>
      </c>
      <c r="F460" t="str">
        <f t="shared" si="149"/>
        <v/>
      </c>
      <c r="G460" t="str">
        <f t="shared" si="150"/>
        <v/>
      </c>
    </row>
    <row r="461" spans="2:7">
      <c r="B461" s="46"/>
      <c r="C461" t="str">
        <f t="shared" si="146"/>
        <v/>
      </c>
      <c r="D461" s="63">
        <f t="shared" si="147"/>
        <v>4.47535211267606</v>
      </c>
      <c r="E461" t="str">
        <f t="shared" si="148"/>
        <v/>
      </c>
      <c r="F461" t="str">
        <f t="shared" si="149"/>
        <v/>
      </c>
      <c r="G461" t="str">
        <f t="shared" si="150"/>
        <v/>
      </c>
    </row>
    <row r="462" spans="2:7">
      <c r="B462" s="46"/>
      <c r="C462" t="str">
        <f t="shared" si="146"/>
        <v/>
      </c>
      <c r="D462" s="63">
        <f t="shared" si="147"/>
        <v>6.10680751173709</v>
      </c>
      <c r="E462" t="str">
        <f t="shared" si="148"/>
        <v/>
      </c>
      <c r="F462" t="str">
        <f t="shared" si="149"/>
        <v/>
      </c>
      <c r="G462" t="str">
        <f t="shared" si="150"/>
        <v/>
      </c>
    </row>
    <row r="463" spans="2:7">
      <c r="B463" s="46"/>
      <c r="C463" t="str">
        <f t="shared" si="146"/>
        <v/>
      </c>
      <c r="D463" s="63">
        <f t="shared" si="147"/>
        <v>8.50821596244131</v>
      </c>
      <c r="E463" t="str">
        <f t="shared" si="148"/>
        <v/>
      </c>
      <c r="F463" t="str">
        <f t="shared" si="149"/>
        <v/>
      </c>
      <c r="G463" t="str">
        <f t="shared" si="150"/>
        <v/>
      </c>
    </row>
    <row r="464" spans="2:7">
      <c r="B464" s="46"/>
      <c r="C464" t="str">
        <f t="shared" si="146"/>
        <v/>
      </c>
      <c r="D464" s="63">
        <f t="shared" si="147"/>
        <v>10.268779342723</v>
      </c>
      <c r="E464" t="str">
        <f t="shared" si="148"/>
        <v/>
      </c>
      <c r="F464" t="str">
        <f t="shared" si="149"/>
        <v/>
      </c>
      <c r="G464" t="str">
        <f t="shared" si="150"/>
        <v/>
      </c>
    </row>
    <row r="465" spans="2:11">
      <c r="B465" s="46"/>
      <c r="C465" t="str">
        <f t="shared" si="146"/>
        <v/>
      </c>
      <c r="D465" s="63" t="str">
        <f t="shared" si="147"/>
        <v/>
      </c>
      <c r="E465" t="str">
        <f t="shared" si="148"/>
        <v/>
      </c>
      <c r="F465" t="str">
        <f t="shared" si="149"/>
        <v/>
      </c>
      <c r="G465">
        <f t="shared" si="150"/>
        <v>7.67610062893082</v>
      </c>
    </row>
    <row r="466" spans="2:11">
      <c r="B466" s="46"/>
      <c r="C466" t="str">
        <f t="shared" si="146"/>
        <v/>
      </c>
      <c r="D466" s="63" t="str">
        <f t="shared" si="147"/>
        <v/>
      </c>
      <c r="E466" t="str">
        <f t="shared" si="148"/>
        <v/>
      </c>
      <c r="F466" t="str">
        <f t="shared" si="149"/>
        <v/>
      </c>
      <c r="G466">
        <f t="shared" si="150"/>
        <v>10.3836477987421</v>
      </c>
    </row>
    <row r="467" ht="15.75" spans="2:11">
      <c r="B467" s="46"/>
      <c r="C467" t="str">
        <f t="shared" si="146"/>
        <v/>
      </c>
      <c r="D467" s="63" t="str">
        <f t="shared" si="147"/>
        <v/>
      </c>
      <c r="E467" t="str">
        <f t="shared" si="148"/>
        <v/>
      </c>
      <c r="F467" t="str">
        <f t="shared" si="149"/>
        <v/>
      </c>
      <c r="G467">
        <f t="shared" si="150"/>
        <v>13.2138364779874</v>
      </c>
    </row>
    <row r="468" spans="2:11">
      <c r="B468" s="74" t="s">
        <v>269</v>
      </c>
      <c r="C468" s="75">
        <f>MAX(C448:C467)</f>
        <v>7.52719907407408</v>
      </c>
      <c r="D468" s="75">
        <f>MAX(D448:D467)</f>
        <v>10.268779342723</v>
      </c>
      <c r="E468" s="75">
        <f>MAX(E448:E467)</f>
        <v>14.5833333333333</v>
      </c>
      <c r="F468" s="75">
        <f>MAX(F448:F467)</f>
        <v>6.42857142857143</v>
      </c>
      <c r="G468" s="75">
        <f>MAX(G448:G467)</f>
        <v>13.2138364779874</v>
      </c>
    </row>
    <row r="469" spans="2:11">
      <c r="B469" s="76" t="s">
        <v>270</v>
      </c>
      <c r="C469" s="77">
        <v>1</v>
      </c>
      <c r="D469" s="78">
        <v>2</v>
      </c>
      <c r="E469">
        <v>3</v>
      </c>
      <c r="F469">
        <v>4</v>
      </c>
      <c r="G469">
        <v>5</v>
      </c>
    </row>
    <row r="470" spans="2:11">
      <c r="B470" s="79" t="s">
        <v>271</v>
      </c>
      <c r="C470" s="72">
        <f>HLOOKUP(MIN(C468:G468),C468:G469,2,FALSE)</f>
        <v>4</v>
      </c>
      <c r="D470" s="80"/>
    </row>
    <row r="473" ht="15.75" spans="2:11">
      <c r="B473" s="43" t="s">
        <v>293</v>
      </c>
      <c r="C473" s="44"/>
      <c r="D473" s="45"/>
    </row>
    <row r="474" spans="2:11">
      <c r="B474" s="46"/>
      <c r="C474" s="61" t="s">
        <v>264</v>
      </c>
      <c r="D474" s="61" t="s">
        <v>265</v>
      </c>
      <c r="E474" s="62" t="s">
        <v>286</v>
      </c>
      <c r="F474" s="62" t="s">
        <v>287</v>
      </c>
      <c r="G474" s="62" t="s">
        <v>288</v>
      </c>
    </row>
    <row r="475" spans="2:11">
      <c r="B475" s="46"/>
      <c r="C475">
        <f>IF(J8=1,S8,"")</f>
        <v>0.700231481481482</v>
      </c>
      <c r="D475" s="63" t="str">
        <f>IF(J8=2,S8,"")</f>
        <v/>
      </c>
      <c r="E475" t="str">
        <f>IF(J8=3,S8,"")</f>
        <v/>
      </c>
      <c r="F475" t="str">
        <f>IF(J8=3,S8,"")</f>
        <v/>
      </c>
      <c r="G475" t="str">
        <f>IF(J8=3,S8,"")</f>
        <v/>
      </c>
      <c r="H475" t="str">
        <f>IF(M8=3,V8,"")</f>
        <v/>
      </c>
      <c r="I475" t="str">
        <f>IF(N8=3,W8,"")</f>
        <v/>
      </c>
      <c r="J475" t="str">
        <f>IF(O8=3,X8,"")</f>
        <v/>
      </c>
      <c r="K475" t="str">
        <f>IF(P8=3,Y8,"")</f>
        <v/>
      </c>
    </row>
    <row r="476" spans="2:11">
      <c r="B476" s="46"/>
      <c r="C476" t="str">
        <f t="shared" ref="C476:C495" si="151">IF(J9=1,S9,"")</f>
        <v/>
      </c>
      <c r="D476" s="63">
        <f t="shared" ref="D476:D495" si="152">IF(J9=2,S9,"")</f>
        <v>0.734154929577465</v>
      </c>
      <c r="E476" t="str">
        <f t="shared" ref="E476:E495" si="153">IF(J9=3,S9,"")</f>
        <v/>
      </c>
      <c r="F476" t="str">
        <f t="shared" ref="F476:F495" si="154">IF(J9=3,S9,"")</f>
        <v/>
      </c>
      <c r="G476" t="str">
        <f t="shared" ref="G476:G495" si="155">IF(J9=3,S9,"")</f>
        <v/>
      </c>
    </row>
    <row r="477" spans="2:11">
      <c r="B477" s="46"/>
      <c r="C477" t="str">
        <f t="shared" si="151"/>
        <v/>
      </c>
      <c r="D477" s="63" t="str">
        <f t="shared" si="152"/>
        <v/>
      </c>
      <c r="E477">
        <f t="shared" si="153"/>
        <v>1.83823529411765</v>
      </c>
      <c r="F477">
        <f t="shared" si="154"/>
        <v>1.83823529411765</v>
      </c>
      <c r="G477">
        <f t="shared" si="155"/>
        <v>1.83823529411765</v>
      </c>
    </row>
    <row r="478" spans="2:11">
      <c r="B478" s="46"/>
      <c r="C478" t="str">
        <f t="shared" si="151"/>
        <v/>
      </c>
      <c r="D478" s="63" t="str">
        <f t="shared" si="152"/>
        <v/>
      </c>
      <c r="E478" t="str">
        <f t="shared" si="153"/>
        <v/>
      </c>
      <c r="F478" t="str">
        <f t="shared" si="154"/>
        <v/>
      </c>
      <c r="G478" t="str">
        <f t="shared" si="155"/>
        <v/>
      </c>
    </row>
    <row r="479" spans="2:11">
      <c r="B479" s="46"/>
      <c r="C479" t="str">
        <f t="shared" si="151"/>
        <v/>
      </c>
      <c r="D479" s="63" t="str">
        <f t="shared" si="152"/>
        <v/>
      </c>
      <c r="E479" t="str">
        <f t="shared" si="153"/>
        <v/>
      </c>
      <c r="F479" t="str">
        <f t="shared" si="154"/>
        <v/>
      </c>
      <c r="G479" t="str">
        <f t="shared" si="155"/>
        <v/>
      </c>
    </row>
    <row r="480" spans="2:11">
      <c r="B480" s="46"/>
      <c r="C480" t="str">
        <f t="shared" si="151"/>
        <v/>
      </c>
      <c r="D480" s="63" t="str">
        <f t="shared" si="152"/>
        <v/>
      </c>
      <c r="E480">
        <f t="shared" si="153"/>
        <v>14.5833333333333</v>
      </c>
      <c r="F480">
        <f t="shared" si="154"/>
        <v>14.5833333333333</v>
      </c>
      <c r="G480">
        <f t="shared" si="155"/>
        <v>14.5833333333333</v>
      </c>
    </row>
    <row r="481" spans="2:7">
      <c r="B481" s="46"/>
      <c r="C481" t="str">
        <f t="shared" si="151"/>
        <v/>
      </c>
      <c r="D481" s="63" t="str">
        <f t="shared" si="152"/>
        <v/>
      </c>
      <c r="E481" t="str">
        <f t="shared" si="153"/>
        <v/>
      </c>
      <c r="F481" t="str">
        <f t="shared" si="154"/>
        <v/>
      </c>
      <c r="G481" t="str">
        <f t="shared" si="155"/>
        <v/>
      </c>
    </row>
    <row r="482" spans="2:7">
      <c r="B482" s="46"/>
      <c r="C482" t="str">
        <f t="shared" si="151"/>
        <v/>
      </c>
      <c r="D482" s="63" t="str">
        <f t="shared" si="152"/>
        <v/>
      </c>
      <c r="E482" t="str">
        <f t="shared" si="153"/>
        <v/>
      </c>
      <c r="F482" t="str">
        <f t="shared" si="154"/>
        <v/>
      </c>
      <c r="G482" t="str">
        <f t="shared" si="155"/>
        <v/>
      </c>
    </row>
    <row r="483" spans="2:7">
      <c r="B483" s="46"/>
      <c r="C483">
        <f t="shared" si="151"/>
        <v>0.844907407407407</v>
      </c>
      <c r="D483" s="63" t="str">
        <f t="shared" si="152"/>
        <v/>
      </c>
      <c r="E483" t="str">
        <f t="shared" si="153"/>
        <v/>
      </c>
      <c r="F483" t="str">
        <f t="shared" si="154"/>
        <v/>
      </c>
      <c r="G483" t="str">
        <f t="shared" si="155"/>
        <v/>
      </c>
    </row>
    <row r="484" spans="2:7">
      <c r="B484" s="46"/>
      <c r="C484">
        <f t="shared" si="151"/>
        <v>6.79803240740741</v>
      </c>
      <c r="D484" s="63" t="str">
        <f t="shared" si="152"/>
        <v/>
      </c>
      <c r="E484" t="str">
        <f t="shared" si="153"/>
        <v/>
      </c>
      <c r="F484" t="str">
        <f t="shared" si="154"/>
        <v/>
      </c>
      <c r="G484" t="str">
        <f t="shared" si="155"/>
        <v/>
      </c>
    </row>
    <row r="485" spans="2:7">
      <c r="B485" s="46"/>
      <c r="C485">
        <f t="shared" si="151"/>
        <v>6.79803240740741</v>
      </c>
      <c r="D485" s="63" t="str">
        <f t="shared" si="152"/>
        <v/>
      </c>
      <c r="E485" t="str">
        <f t="shared" si="153"/>
        <v/>
      </c>
      <c r="F485" t="str">
        <f t="shared" si="154"/>
        <v/>
      </c>
      <c r="G485" t="str">
        <f t="shared" si="155"/>
        <v/>
      </c>
    </row>
    <row r="486" spans="2:7">
      <c r="B486" s="46"/>
      <c r="C486">
        <f t="shared" si="151"/>
        <v>7.52719907407408</v>
      </c>
      <c r="D486" s="63" t="str">
        <f t="shared" si="152"/>
        <v/>
      </c>
      <c r="E486" t="str">
        <f t="shared" si="153"/>
        <v/>
      </c>
      <c r="F486" t="str">
        <f t="shared" si="154"/>
        <v/>
      </c>
      <c r="G486" t="str">
        <f t="shared" si="155"/>
        <v/>
      </c>
    </row>
    <row r="487" spans="2:7">
      <c r="B487" s="46"/>
      <c r="C487" t="str">
        <f t="shared" si="151"/>
        <v/>
      </c>
      <c r="D487" s="63">
        <f t="shared" si="152"/>
        <v>2.7881455399061</v>
      </c>
      <c r="E487" t="str">
        <f t="shared" si="153"/>
        <v/>
      </c>
      <c r="F487" t="str">
        <f t="shared" si="154"/>
        <v/>
      </c>
      <c r="G487" t="str">
        <f t="shared" si="155"/>
        <v/>
      </c>
    </row>
    <row r="488" spans="2:7">
      <c r="B488" s="46"/>
      <c r="C488" t="str">
        <f t="shared" si="151"/>
        <v/>
      </c>
      <c r="D488" s="63">
        <f t="shared" si="152"/>
        <v>4.47535211267606</v>
      </c>
      <c r="E488" t="str">
        <f t="shared" si="153"/>
        <v/>
      </c>
      <c r="F488" t="str">
        <f t="shared" si="154"/>
        <v/>
      </c>
      <c r="G488" t="str">
        <f t="shared" si="155"/>
        <v/>
      </c>
    </row>
    <row r="489" spans="2:7">
      <c r="B489" s="46"/>
      <c r="C489" t="str">
        <f t="shared" si="151"/>
        <v/>
      </c>
      <c r="D489" s="63">
        <f t="shared" si="152"/>
        <v>6.10680751173709</v>
      </c>
      <c r="E489" t="str">
        <f t="shared" si="153"/>
        <v/>
      </c>
      <c r="F489" t="str">
        <f t="shared" si="154"/>
        <v/>
      </c>
      <c r="G489" t="str">
        <f t="shared" si="155"/>
        <v/>
      </c>
    </row>
    <row r="490" spans="2:7">
      <c r="B490" s="46"/>
      <c r="C490" t="str">
        <f t="shared" si="151"/>
        <v/>
      </c>
      <c r="D490" s="63">
        <f t="shared" si="152"/>
        <v>8.50821596244131</v>
      </c>
      <c r="E490" t="str">
        <f t="shared" si="153"/>
        <v/>
      </c>
      <c r="F490" t="str">
        <f t="shared" si="154"/>
        <v/>
      </c>
      <c r="G490" t="str">
        <f t="shared" si="155"/>
        <v/>
      </c>
    </row>
    <row r="491" spans="2:7">
      <c r="B491" s="46"/>
      <c r="C491" t="str">
        <f t="shared" si="151"/>
        <v/>
      </c>
      <c r="D491" s="63">
        <f t="shared" si="152"/>
        <v>10.268779342723</v>
      </c>
      <c r="E491" t="str">
        <f t="shared" si="153"/>
        <v/>
      </c>
      <c r="F491" t="str">
        <f t="shared" si="154"/>
        <v/>
      </c>
      <c r="G491" t="str">
        <f t="shared" si="155"/>
        <v/>
      </c>
    </row>
    <row r="492" spans="2:7">
      <c r="B492" s="46"/>
      <c r="C492" t="str">
        <f t="shared" si="151"/>
        <v/>
      </c>
      <c r="D492" s="63" t="str">
        <f t="shared" si="152"/>
        <v/>
      </c>
      <c r="E492" t="str">
        <f t="shared" si="153"/>
        <v/>
      </c>
      <c r="F492" t="str">
        <f t="shared" si="154"/>
        <v/>
      </c>
      <c r="G492" t="str">
        <f t="shared" si="155"/>
        <v/>
      </c>
    </row>
    <row r="493" spans="2:7">
      <c r="B493" s="46"/>
      <c r="C493" t="str">
        <f t="shared" si="151"/>
        <v/>
      </c>
      <c r="D493" s="63" t="str">
        <f t="shared" si="152"/>
        <v/>
      </c>
      <c r="E493" t="str">
        <f t="shared" si="153"/>
        <v/>
      </c>
      <c r="F493" t="str">
        <f t="shared" si="154"/>
        <v/>
      </c>
      <c r="G493" t="str">
        <f t="shared" si="155"/>
        <v/>
      </c>
    </row>
    <row r="494" spans="2:7">
      <c r="B494" s="46"/>
      <c r="C494" t="str">
        <f t="shared" si="151"/>
        <v/>
      </c>
      <c r="D494" s="63" t="str">
        <f t="shared" si="152"/>
        <v/>
      </c>
      <c r="E494" t="str">
        <f t="shared" si="153"/>
        <v/>
      </c>
      <c r="F494" t="str">
        <f t="shared" si="154"/>
        <v/>
      </c>
      <c r="G494" t="str">
        <f t="shared" si="155"/>
        <v/>
      </c>
    </row>
    <row r="495" ht="15.75" spans="2:7">
      <c r="B495" s="46"/>
      <c r="C495" t="str">
        <f t="shared" si="151"/>
        <v/>
      </c>
      <c r="D495" s="63" t="str">
        <f t="shared" si="152"/>
        <v/>
      </c>
      <c r="E495" t="str">
        <f t="shared" si="153"/>
        <v/>
      </c>
      <c r="F495" t="str">
        <f t="shared" si="154"/>
        <v/>
      </c>
      <c r="G495" t="str">
        <f t="shared" si="155"/>
        <v/>
      </c>
    </row>
    <row r="496" ht="15.75" spans="2:7">
      <c r="B496" s="74" t="s">
        <v>269</v>
      </c>
      <c r="C496" s="53">
        <f>MAX(C475:C495)</f>
        <v>7.52719907407408</v>
      </c>
      <c r="D496" s="53">
        <f>MAX(D475:D495)</f>
        <v>10.268779342723</v>
      </c>
      <c r="E496" s="53">
        <f>MAX(E475:E495)</f>
        <v>14.5833333333333</v>
      </c>
      <c r="F496" s="53">
        <f>MAX(F475:F495)</f>
        <v>14.5833333333333</v>
      </c>
      <c r="G496" s="53">
        <f>MAX(G475:G495)</f>
        <v>14.5833333333333</v>
      </c>
    </row>
    <row r="497" spans="2:7">
      <c r="B497" s="76" t="s">
        <v>270</v>
      </c>
      <c r="C497" s="77">
        <v>1</v>
      </c>
      <c r="D497" s="78">
        <v>2</v>
      </c>
      <c r="E497">
        <v>3</v>
      </c>
      <c r="F497">
        <v>4</v>
      </c>
      <c r="G497">
        <v>5</v>
      </c>
    </row>
    <row r="498" spans="2:7">
      <c r="B498" s="79" t="s">
        <v>271</v>
      </c>
      <c r="C498" s="72">
        <f>HLOOKUP(MIN(C496:G496),C496:G497,2,FALSE)</f>
        <v>1</v>
      </c>
      <c r="D498" s="80"/>
    </row>
    <row r="501" ht="15.75" spans="2:7">
      <c r="B501" s="43" t="s">
        <v>294</v>
      </c>
      <c r="C501" s="44"/>
      <c r="D501" s="45"/>
    </row>
    <row r="502" spans="2:7">
      <c r="B502" s="46"/>
      <c r="C502" s="61" t="s">
        <v>264</v>
      </c>
      <c r="D502" s="61" t="s">
        <v>265</v>
      </c>
      <c r="E502" s="62" t="s">
        <v>286</v>
      </c>
      <c r="F502" s="62" t="s">
        <v>287</v>
      </c>
      <c r="G502" s="62" t="s">
        <v>288</v>
      </c>
    </row>
    <row r="503" spans="2:7">
      <c r="B503" s="46"/>
      <c r="C503">
        <f t="shared" ref="C503:C524" si="156">IF(J8=1,S8,"")</f>
        <v>0.700231481481482</v>
      </c>
      <c r="D503" s="63" t="str">
        <f t="shared" ref="D503:D524" si="157">IF(J8=2,S8,"")</f>
        <v/>
      </c>
      <c r="E503" t="str">
        <f t="shared" ref="E503:E524" si="158">IF(J8=3,S8,"")</f>
        <v/>
      </c>
      <c r="F503" t="str">
        <f t="shared" ref="F503:F524" si="159">IF(J8=4,S8,"")</f>
        <v/>
      </c>
      <c r="G503" t="str">
        <f t="shared" ref="G503:G524" si="160">IF(J8=5,S8,"")</f>
        <v/>
      </c>
    </row>
    <row r="504" spans="2:7">
      <c r="B504" s="46"/>
      <c r="C504" t="str">
        <f t="shared" si="156"/>
        <v/>
      </c>
      <c r="D504" s="63">
        <f t="shared" si="157"/>
        <v>0.734154929577465</v>
      </c>
      <c r="E504" t="str">
        <f t="shared" si="158"/>
        <v/>
      </c>
      <c r="F504" t="str">
        <f t="shared" si="159"/>
        <v/>
      </c>
      <c r="G504" t="str">
        <f t="shared" si="160"/>
        <v/>
      </c>
    </row>
    <row r="505" spans="2:7">
      <c r="B505" s="46"/>
      <c r="C505" t="str">
        <f t="shared" si="156"/>
        <v/>
      </c>
      <c r="D505" s="63" t="str">
        <f t="shared" si="157"/>
        <v/>
      </c>
      <c r="E505">
        <f t="shared" si="158"/>
        <v>1.83823529411765</v>
      </c>
      <c r="F505" t="str">
        <f t="shared" si="159"/>
        <v/>
      </c>
      <c r="G505" t="str">
        <f t="shared" si="160"/>
        <v/>
      </c>
    </row>
    <row r="506" spans="2:7">
      <c r="B506" s="46"/>
      <c r="C506" t="str">
        <f t="shared" si="156"/>
        <v/>
      </c>
      <c r="D506" s="63" t="str">
        <f t="shared" si="157"/>
        <v/>
      </c>
      <c r="E506" t="str">
        <f t="shared" si="158"/>
        <v/>
      </c>
      <c r="F506">
        <f t="shared" si="159"/>
        <v>4.28571428571429</v>
      </c>
      <c r="G506" t="str">
        <f t="shared" si="160"/>
        <v/>
      </c>
    </row>
    <row r="507" spans="2:7">
      <c r="B507" s="46"/>
      <c r="C507" t="str">
        <f t="shared" si="156"/>
        <v/>
      </c>
      <c r="D507" s="63" t="str">
        <f t="shared" si="157"/>
        <v/>
      </c>
      <c r="E507" t="str">
        <f t="shared" si="158"/>
        <v/>
      </c>
      <c r="F507" t="str">
        <f t="shared" si="159"/>
        <v/>
      </c>
      <c r="G507">
        <f t="shared" si="160"/>
        <v>3.43396226415094</v>
      </c>
    </row>
    <row r="508" spans="2:7">
      <c r="B508" s="46"/>
      <c r="C508" t="str">
        <f t="shared" si="156"/>
        <v/>
      </c>
      <c r="D508" s="63" t="str">
        <f t="shared" si="157"/>
        <v/>
      </c>
      <c r="E508">
        <f t="shared" si="158"/>
        <v>14.5833333333333</v>
      </c>
      <c r="F508" t="str">
        <f t="shared" si="159"/>
        <v/>
      </c>
      <c r="G508" t="str">
        <f t="shared" si="160"/>
        <v/>
      </c>
    </row>
    <row r="509" spans="2:7">
      <c r="B509" s="46"/>
      <c r="C509" t="str">
        <f t="shared" si="156"/>
        <v/>
      </c>
      <c r="D509" s="63" t="str">
        <f t="shared" si="157"/>
        <v/>
      </c>
      <c r="E509" t="str">
        <f t="shared" si="158"/>
        <v/>
      </c>
      <c r="F509">
        <f t="shared" si="159"/>
        <v>6.42857142857143</v>
      </c>
      <c r="G509" t="str">
        <f t="shared" si="160"/>
        <v/>
      </c>
    </row>
    <row r="510" spans="2:7">
      <c r="B510" s="46"/>
      <c r="C510" t="str">
        <f t="shared" si="156"/>
        <v/>
      </c>
      <c r="D510" s="63" t="str">
        <f t="shared" si="157"/>
        <v/>
      </c>
      <c r="E510" t="str">
        <f t="shared" si="158"/>
        <v/>
      </c>
      <c r="F510" t="str">
        <f t="shared" si="159"/>
        <v/>
      </c>
      <c r="G510">
        <f t="shared" si="160"/>
        <v>3.84591194968553</v>
      </c>
    </row>
    <row r="511" spans="2:7">
      <c r="B511" s="46"/>
      <c r="C511">
        <f t="shared" si="156"/>
        <v>0.844907407407407</v>
      </c>
      <c r="D511" s="63" t="str">
        <f t="shared" si="157"/>
        <v/>
      </c>
      <c r="E511" t="str">
        <f t="shared" si="158"/>
        <v/>
      </c>
      <c r="F511" t="str">
        <f t="shared" si="159"/>
        <v/>
      </c>
      <c r="G511" t="str">
        <f t="shared" si="160"/>
        <v/>
      </c>
    </row>
    <row r="512" spans="2:7">
      <c r="B512" s="46"/>
      <c r="C512">
        <f t="shared" si="156"/>
        <v>6.79803240740741</v>
      </c>
      <c r="D512" s="63" t="str">
        <f t="shared" si="157"/>
        <v/>
      </c>
      <c r="E512" t="str">
        <f t="shared" si="158"/>
        <v/>
      </c>
      <c r="F512" t="str">
        <f t="shared" si="159"/>
        <v/>
      </c>
      <c r="G512" t="str">
        <f t="shared" si="160"/>
        <v/>
      </c>
    </row>
    <row r="513" spans="2:7">
      <c r="B513" s="46"/>
      <c r="C513">
        <f t="shared" si="156"/>
        <v>6.79803240740741</v>
      </c>
      <c r="D513" s="63" t="str">
        <f t="shared" si="157"/>
        <v/>
      </c>
      <c r="E513" t="str">
        <f t="shared" si="158"/>
        <v/>
      </c>
      <c r="F513" t="str">
        <f t="shared" si="159"/>
        <v/>
      </c>
      <c r="G513" t="str">
        <f t="shared" si="160"/>
        <v/>
      </c>
    </row>
    <row r="514" spans="2:7">
      <c r="B514" s="46"/>
      <c r="C514">
        <f t="shared" si="156"/>
        <v>7.52719907407408</v>
      </c>
      <c r="D514" s="63" t="str">
        <f t="shared" si="157"/>
        <v/>
      </c>
      <c r="E514" t="str">
        <f t="shared" si="158"/>
        <v/>
      </c>
      <c r="F514" t="str">
        <f t="shared" si="159"/>
        <v/>
      </c>
      <c r="G514" t="str">
        <f t="shared" si="160"/>
        <v/>
      </c>
    </row>
    <row r="515" spans="2:7">
      <c r="B515" s="46"/>
      <c r="C515" t="str">
        <f t="shared" si="156"/>
        <v/>
      </c>
      <c r="D515" s="63">
        <f t="shared" si="157"/>
        <v>2.7881455399061</v>
      </c>
      <c r="E515" t="str">
        <f t="shared" si="158"/>
        <v/>
      </c>
      <c r="F515" t="str">
        <f t="shared" si="159"/>
        <v/>
      </c>
      <c r="G515" t="str">
        <f t="shared" si="160"/>
        <v/>
      </c>
    </row>
    <row r="516" spans="2:7">
      <c r="B516" s="46"/>
      <c r="C516" t="str">
        <f t="shared" si="156"/>
        <v/>
      </c>
      <c r="D516" s="63">
        <f t="shared" si="157"/>
        <v>4.47535211267606</v>
      </c>
      <c r="E516" t="str">
        <f t="shared" si="158"/>
        <v/>
      </c>
      <c r="F516" t="str">
        <f t="shared" si="159"/>
        <v/>
      </c>
      <c r="G516" t="str">
        <f t="shared" si="160"/>
        <v/>
      </c>
    </row>
    <row r="517" spans="2:7">
      <c r="B517" s="46"/>
      <c r="C517" t="str">
        <f t="shared" si="156"/>
        <v/>
      </c>
      <c r="D517" s="63">
        <f t="shared" si="157"/>
        <v>6.10680751173709</v>
      </c>
      <c r="E517" t="str">
        <f t="shared" si="158"/>
        <v/>
      </c>
      <c r="F517" t="str">
        <f t="shared" si="159"/>
        <v/>
      </c>
      <c r="G517" t="str">
        <f t="shared" si="160"/>
        <v/>
      </c>
    </row>
    <row r="518" spans="2:7">
      <c r="B518" s="46"/>
      <c r="C518" t="str">
        <f t="shared" si="156"/>
        <v/>
      </c>
      <c r="D518" s="63">
        <f t="shared" si="157"/>
        <v>8.50821596244131</v>
      </c>
      <c r="E518" t="str">
        <f t="shared" si="158"/>
        <v/>
      </c>
      <c r="F518" t="str">
        <f t="shared" si="159"/>
        <v/>
      </c>
      <c r="G518" t="str">
        <f t="shared" si="160"/>
        <v/>
      </c>
    </row>
    <row r="519" spans="2:7">
      <c r="B519" s="46"/>
      <c r="C519" t="str">
        <f t="shared" si="156"/>
        <v/>
      </c>
      <c r="D519" s="63">
        <f t="shared" si="157"/>
        <v>10.268779342723</v>
      </c>
      <c r="E519" t="str">
        <f t="shared" si="158"/>
        <v/>
      </c>
      <c r="F519" t="str">
        <f t="shared" si="159"/>
        <v/>
      </c>
      <c r="G519" t="str">
        <f t="shared" si="160"/>
        <v/>
      </c>
    </row>
    <row r="520" spans="2:7">
      <c r="B520" s="46"/>
      <c r="C520" t="str">
        <f t="shared" si="156"/>
        <v/>
      </c>
      <c r="D520" s="63" t="str">
        <f t="shared" si="157"/>
        <v/>
      </c>
      <c r="E520" t="str">
        <f t="shared" si="158"/>
        <v/>
      </c>
      <c r="F520" t="str">
        <f t="shared" si="159"/>
        <v/>
      </c>
      <c r="G520">
        <f t="shared" si="160"/>
        <v>7.67610062893082</v>
      </c>
    </row>
    <row r="521" spans="2:7">
      <c r="B521" s="46"/>
      <c r="C521" t="str">
        <f t="shared" si="156"/>
        <v/>
      </c>
      <c r="D521" s="63" t="str">
        <f t="shared" si="157"/>
        <v/>
      </c>
      <c r="E521" t="str">
        <f t="shared" si="158"/>
        <v/>
      </c>
      <c r="F521" t="str">
        <f t="shared" si="159"/>
        <v/>
      </c>
      <c r="G521">
        <f t="shared" si="160"/>
        <v>10.3836477987421</v>
      </c>
    </row>
    <row r="522" spans="2:7">
      <c r="B522" s="46"/>
      <c r="C522" t="str">
        <f t="shared" si="156"/>
        <v/>
      </c>
      <c r="D522" s="63" t="str">
        <f t="shared" si="157"/>
        <v/>
      </c>
      <c r="E522" t="str">
        <f t="shared" si="158"/>
        <v/>
      </c>
      <c r="F522" t="str">
        <f t="shared" si="159"/>
        <v/>
      </c>
      <c r="G522">
        <f t="shared" si="160"/>
        <v>13.2138364779874</v>
      </c>
    </row>
    <row r="523" spans="2:7">
      <c r="B523" s="46"/>
      <c r="C523" t="str">
        <f t="shared" si="156"/>
        <v/>
      </c>
      <c r="D523" s="63" t="str">
        <f t="shared" si="157"/>
        <v/>
      </c>
      <c r="E523" t="str">
        <f t="shared" si="158"/>
        <v/>
      </c>
      <c r="F523" t="str">
        <f t="shared" si="159"/>
        <v/>
      </c>
      <c r="G523">
        <f t="shared" si="160"/>
        <v>14.7243186582809</v>
      </c>
    </row>
    <row r="524" ht="15.75" spans="2:7">
      <c r="B524" s="46"/>
      <c r="C524" t="str">
        <f t="shared" si="156"/>
        <v/>
      </c>
      <c r="D524" s="63" t="str">
        <f t="shared" si="157"/>
        <v/>
      </c>
      <c r="E524" t="str">
        <f t="shared" si="158"/>
        <v/>
      </c>
      <c r="F524">
        <f t="shared" si="159"/>
        <v>9.17630385487529</v>
      </c>
      <c r="G524" t="str">
        <f t="shared" si="160"/>
        <v/>
      </c>
    </row>
    <row r="525" spans="2:7">
      <c r="B525" s="74" t="s">
        <v>269</v>
      </c>
      <c r="C525" s="75">
        <f>MAX(C503:C524)</f>
        <v>7.52719907407408</v>
      </c>
      <c r="D525" s="75">
        <f t="shared" ref="D525:G525" si="161">MAX(D503:D524)</f>
        <v>10.268779342723</v>
      </c>
      <c r="E525" s="75">
        <f t="shared" si="161"/>
        <v>14.5833333333333</v>
      </c>
      <c r="F525" s="75">
        <f t="shared" si="161"/>
        <v>9.17630385487529</v>
      </c>
      <c r="G525" s="75">
        <f t="shared" si="161"/>
        <v>14.7243186582809</v>
      </c>
    </row>
    <row r="526" spans="2:7">
      <c r="B526" s="76" t="s">
        <v>270</v>
      </c>
      <c r="C526" s="77">
        <v>1</v>
      </c>
      <c r="D526" s="78">
        <v>2</v>
      </c>
      <c r="E526">
        <v>3</v>
      </c>
      <c r="F526">
        <v>4</v>
      </c>
      <c r="G526">
        <v>5</v>
      </c>
    </row>
    <row r="527" spans="2:7">
      <c r="B527" s="79" t="s">
        <v>271</v>
      </c>
      <c r="C527" s="72">
        <f>HLOOKUP(MIN(C525:G525),C525:G526,2,FALSE)</f>
        <v>1</v>
      </c>
      <c r="D527" s="80"/>
    </row>
    <row r="531" ht="15.75" spans="2:7">
      <c r="B531" s="43" t="s">
        <v>295</v>
      </c>
      <c r="C531" s="44"/>
      <c r="D531" s="45"/>
    </row>
    <row r="532" spans="2:7">
      <c r="B532" s="46"/>
      <c r="C532" s="61" t="s">
        <v>264</v>
      </c>
      <c r="D532" s="61" t="s">
        <v>265</v>
      </c>
      <c r="E532" s="62" t="s">
        <v>286</v>
      </c>
      <c r="F532" s="62" t="s">
        <v>287</v>
      </c>
      <c r="G532" s="62" t="s">
        <v>288</v>
      </c>
    </row>
    <row r="533" spans="2:7">
      <c r="B533" s="46"/>
      <c r="C533">
        <f t="shared" ref="C533:C555" si="162">IF(J8=1,S8,"")</f>
        <v>0.700231481481482</v>
      </c>
      <c r="D533" s="63" t="str">
        <f t="shared" ref="D533:D555" si="163">IF(J8=2,S8,"")</f>
        <v/>
      </c>
      <c r="E533" t="str">
        <f t="shared" ref="E533:E555" si="164">IF(J8=3,S8,"")</f>
        <v/>
      </c>
      <c r="F533" t="str">
        <f t="shared" ref="F533:F555" si="165">IF(J8=4,S8,"")</f>
        <v/>
      </c>
      <c r="G533" t="str">
        <f t="shared" ref="G533:G555" si="166">IF(J8=5,S8,"")</f>
        <v/>
      </c>
    </row>
    <row r="534" spans="2:7">
      <c r="B534" s="46"/>
      <c r="C534" t="str">
        <f t="shared" si="162"/>
        <v/>
      </c>
      <c r="D534" s="63">
        <f t="shared" si="163"/>
        <v>0.734154929577465</v>
      </c>
      <c r="E534" t="str">
        <f t="shared" si="164"/>
        <v/>
      </c>
      <c r="F534" t="str">
        <f t="shared" si="165"/>
        <v/>
      </c>
      <c r="G534" t="str">
        <f t="shared" si="166"/>
        <v/>
      </c>
    </row>
    <row r="535" spans="2:7">
      <c r="B535" s="46"/>
      <c r="C535" t="str">
        <f t="shared" si="162"/>
        <v/>
      </c>
      <c r="D535" s="63" t="str">
        <f t="shared" si="163"/>
        <v/>
      </c>
      <c r="E535">
        <f t="shared" si="164"/>
        <v>1.83823529411765</v>
      </c>
      <c r="F535" t="str">
        <f t="shared" si="165"/>
        <v/>
      </c>
      <c r="G535" t="str">
        <f t="shared" si="166"/>
        <v/>
      </c>
    </row>
    <row r="536" spans="2:7">
      <c r="B536" s="46"/>
      <c r="C536" t="str">
        <f t="shared" si="162"/>
        <v/>
      </c>
      <c r="D536" s="63" t="str">
        <f t="shared" si="163"/>
        <v/>
      </c>
      <c r="E536" t="str">
        <f t="shared" si="164"/>
        <v/>
      </c>
      <c r="F536">
        <f t="shared" si="165"/>
        <v>4.28571428571429</v>
      </c>
      <c r="G536" t="str">
        <f t="shared" si="166"/>
        <v/>
      </c>
    </row>
    <row r="537" spans="2:7">
      <c r="B537" s="46"/>
      <c r="C537" t="str">
        <f t="shared" si="162"/>
        <v/>
      </c>
      <c r="D537" s="63" t="str">
        <f t="shared" si="163"/>
        <v/>
      </c>
      <c r="E537" t="str">
        <f t="shared" si="164"/>
        <v/>
      </c>
      <c r="F537" t="str">
        <f t="shared" si="165"/>
        <v/>
      </c>
      <c r="G537">
        <f t="shared" si="166"/>
        <v>3.43396226415094</v>
      </c>
    </row>
    <row r="538" spans="2:7">
      <c r="B538" s="46"/>
      <c r="C538" t="str">
        <f t="shared" si="162"/>
        <v/>
      </c>
      <c r="D538" s="63" t="str">
        <f t="shared" si="163"/>
        <v/>
      </c>
      <c r="E538">
        <f t="shared" si="164"/>
        <v>14.5833333333333</v>
      </c>
      <c r="F538" t="str">
        <f t="shared" si="165"/>
        <v/>
      </c>
      <c r="G538" t="str">
        <f t="shared" si="166"/>
        <v/>
      </c>
    </row>
    <row r="539" spans="2:7">
      <c r="B539" s="46"/>
      <c r="C539" t="str">
        <f t="shared" si="162"/>
        <v/>
      </c>
      <c r="D539" s="63" t="str">
        <f t="shared" si="163"/>
        <v/>
      </c>
      <c r="E539" t="str">
        <f t="shared" si="164"/>
        <v/>
      </c>
      <c r="F539">
        <f t="shared" si="165"/>
        <v>6.42857142857143</v>
      </c>
      <c r="G539" t="str">
        <f t="shared" si="166"/>
        <v/>
      </c>
    </row>
    <row r="540" spans="2:7">
      <c r="B540" s="46"/>
      <c r="C540" t="str">
        <f t="shared" si="162"/>
        <v/>
      </c>
      <c r="D540" s="63" t="str">
        <f t="shared" si="163"/>
        <v/>
      </c>
      <c r="E540" t="str">
        <f t="shared" si="164"/>
        <v/>
      </c>
      <c r="F540" t="str">
        <f t="shared" si="165"/>
        <v/>
      </c>
      <c r="G540">
        <f t="shared" si="166"/>
        <v>3.84591194968553</v>
      </c>
    </row>
    <row r="541" spans="2:7">
      <c r="B541" s="46"/>
      <c r="C541">
        <f t="shared" si="162"/>
        <v>0.844907407407407</v>
      </c>
      <c r="D541" s="63" t="str">
        <f t="shared" si="163"/>
        <v/>
      </c>
      <c r="E541" t="str">
        <f t="shared" si="164"/>
        <v/>
      </c>
      <c r="F541" t="str">
        <f t="shared" si="165"/>
        <v/>
      </c>
      <c r="G541" t="str">
        <f t="shared" si="166"/>
        <v/>
      </c>
    </row>
    <row r="542" spans="2:7">
      <c r="B542" s="46"/>
      <c r="C542">
        <f t="shared" si="162"/>
        <v>6.79803240740741</v>
      </c>
      <c r="D542" s="63" t="str">
        <f t="shared" si="163"/>
        <v/>
      </c>
      <c r="E542" t="str">
        <f t="shared" si="164"/>
        <v/>
      </c>
      <c r="F542" t="str">
        <f t="shared" si="165"/>
        <v/>
      </c>
      <c r="G542" t="str">
        <f t="shared" si="166"/>
        <v/>
      </c>
    </row>
    <row r="543" spans="2:7">
      <c r="B543" s="46"/>
      <c r="C543">
        <f t="shared" si="162"/>
        <v>6.79803240740741</v>
      </c>
      <c r="D543" s="63" t="str">
        <f t="shared" si="163"/>
        <v/>
      </c>
      <c r="E543" t="str">
        <f t="shared" si="164"/>
        <v/>
      </c>
      <c r="F543" t="str">
        <f t="shared" si="165"/>
        <v/>
      </c>
      <c r="G543" t="str">
        <f t="shared" si="166"/>
        <v/>
      </c>
    </row>
    <row r="544" spans="2:7">
      <c r="B544" s="46"/>
      <c r="C544">
        <f t="shared" si="162"/>
        <v>7.52719907407408</v>
      </c>
      <c r="D544" s="63" t="str">
        <f t="shared" si="163"/>
        <v/>
      </c>
      <c r="E544" t="str">
        <f t="shared" si="164"/>
        <v/>
      </c>
      <c r="F544" t="str">
        <f t="shared" si="165"/>
        <v/>
      </c>
      <c r="G544" t="str">
        <f t="shared" si="166"/>
        <v/>
      </c>
    </row>
    <row r="545" spans="2:7">
      <c r="B545" s="46"/>
      <c r="C545" t="str">
        <f t="shared" si="162"/>
        <v/>
      </c>
      <c r="D545" s="63">
        <f t="shared" si="163"/>
        <v>2.7881455399061</v>
      </c>
      <c r="E545" t="str">
        <f t="shared" si="164"/>
        <v/>
      </c>
      <c r="F545" t="str">
        <f t="shared" si="165"/>
        <v/>
      </c>
      <c r="G545" t="str">
        <f t="shared" si="166"/>
        <v/>
      </c>
    </row>
    <row r="546" spans="2:7">
      <c r="B546" s="46"/>
      <c r="C546" t="str">
        <f t="shared" si="162"/>
        <v/>
      </c>
      <c r="D546" s="63">
        <f t="shared" si="163"/>
        <v>4.47535211267606</v>
      </c>
      <c r="E546" t="str">
        <f t="shared" si="164"/>
        <v/>
      </c>
      <c r="F546" t="str">
        <f t="shared" si="165"/>
        <v/>
      </c>
      <c r="G546" t="str">
        <f t="shared" si="166"/>
        <v/>
      </c>
    </row>
    <row r="547" spans="2:7">
      <c r="B547" s="46"/>
      <c r="C547" t="str">
        <f t="shared" si="162"/>
        <v/>
      </c>
      <c r="D547" s="63">
        <f t="shared" si="163"/>
        <v>6.10680751173709</v>
      </c>
      <c r="E547" t="str">
        <f t="shared" si="164"/>
        <v/>
      </c>
      <c r="F547" t="str">
        <f t="shared" si="165"/>
        <v/>
      </c>
      <c r="G547" t="str">
        <f t="shared" si="166"/>
        <v/>
      </c>
    </row>
    <row r="548" spans="2:7">
      <c r="B548" s="46"/>
      <c r="C548" t="str">
        <f t="shared" si="162"/>
        <v/>
      </c>
      <c r="D548" s="63">
        <f t="shared" si="163"/>
        <v>8.50821596244131</v>
      </c>
      <c r="E548" t="str">
        <f t="shared" si="164"/>
        <v/>
      </c>
      <c r="F548" t="str">
        <f t="shared" si="165"/>
        <v/>
      </c>
      <c r="G548" t="str">
        <f t="shared" si="166"/>
        <v/>
      </c>
    </row>
    <row r="549" spans="2:7">
      <c r="B549" s="46"/>
      <c r="C549" t="str">
        <f t="shared" si="162"/>
        <v/>
      </c>
      <c r="D549" s="63">
        <f t="shared" si="163"/>
        <v>10.268779342723</v>
      </c>
      <c r="E549" t="str">
        <f t="shared" si="164"/>
        <v/>
      </c>
      <c r="F549" t="str">
        <f t="shared" si="165"/>
        <v/>
      </c>
      <c r="G549" t="str">
        <f t="shared" si="166"/>
        <v/>
      </c>
    </row>
    <row r="550" spans="2:7">
      <c r="B550" s="46"/>
      <c r="C550" t="str">
        <f t="shared" si="162"/>
        <v/>
      </c>
      <c r="D550" s="63" t="str">
        <f t="shared" si="163"/>
        <v/>
      </c>
      <c r="E550" t="str">
        <f t="shared" si="164"/>
        <v/>
      </c>
      <c r="F550" t="str">
        <f t="shared" si="165"/>
        <v/>
      </c>
      <c r="G550">
        <f t="shared" si="166"/>
        <v>7.67610062893082</v>
      </c>
    </row>
    <row r="551" spans="2:7">
      <c r="B551" s="46"/>
      <c r="C551" t="str">
        <f t="shared" si="162"/>
        <v/>
      </c>
      <c r="D551" s="63" t="str">
        <f t="shared" si="163"/>
        <v/>
      </c>
      <c r="E551" t="str">
        <f t="shared" si="164"/>
        <v/>
      </c>
      <c r="F551" t="str">
        <f t="shared" si="165"/>
        <v/>
      </c>
      <c r="G551">
        <f t="shared" si="166"/>
        <v>10.3836477987421</v>
      </c>
    </row>
    <row r="552" spans="2:7">
      <c r="B552" s="46"/>
      <c r="C552" t="str">
        <f t="shared" si="162"/>
        <v/>
      </c>
      <c r="D552" s="63" t="str">
        <f t="shared" si="163"/>
        <v/>
      </c>
      <c r="E552" t="str">
        <f t="shared" si="164"/>
        <v/>
      </c>
      <c r="F552" t="str">
        <f t="shared" si="165"/>
        <v/>
      </c>
      <c r="G552">
        <f t="shared" si="166"/>
        <v>13.2138364779874</v>
      </c>
    </row>
    <row r="553" spans="2:7">
      <c r="B553" s="46"/>
      <c r="C553" t="str">
        <f t="shared" si="162"/>
        <v/>
      </c>
      <c r="D553" s="63" t="str">
        <f t="shared" si="163"/>
        <v/>
      </c>
      <c r="E553" t="str">
        <f t="shared" si="164"/>
        <v/>
      </c>
      <c r="F553" t="str">
        <f t="shared" si="165"/>
        <v/>
      </c>
      <c r="G553">
        <f t="shared" si="166"/>
        <v>14.7243186582809</v>
      </c>
    </row>
    <row r="554" spans="2:7">
      <c r="B554" s="46"/>
      <c r="C554" t="str">
        <f t="shared" si="162"/>
        <v/>
      </c>
      <c r="D554" s="63" t="str">
        <f t="shared" si="163"/>
        <v/>
      </c>
      <c r="E554" t="str">
        <f t="shared" si="164"/>
        <v/>
      </c>
      <c r="F554">
        <f t="shared" si="165"/>
        <v>9.17630385487529</v>
      </c>
      <c r="G554" t="str">
        <f t="shared" si="166"/>
        <v/>
      </c>
    </row>
    <row r="555" ht="15.75" spans="2:7">
      <c r="B555" s="46"/>
      <c r="C555" t="str">
        <f t="shared" si="162"/>
        <v/>
      </c>
      <c r="D555" s="63" t="str">
        <f t="shared" si="163"/>
        <v/>
      </c>
      <c r="E555" t="str">
        <f t="shared" si="164"/>
        <v/>
      </c>
      <c r="F555">
        <f t="shared" si="165"/>
        <v>12.328231292517</v>
      </c>
      <c r="G555" t="str">
        <f t="shared" si="166"/>
        <v/>
      </c>
    </row>
    <row r="556" spans="2:7">
      <c r="B556" s="74" t="s">
        <v>269</v>
      </c>
      <c r="C556" s="75">
        <f>MAX(C533:C555)</f>
        <v>7.52719907407408</v>
      </c>
      <c r="D556" s="75">
        <f>MAX(D533:D555)</f>
        <v>10.268779342723</v>
      </c>
      <c r="E556" s="75">
        <f>MAX(E533:E555)</f>
        <v>14.5833333333333</v>
      </c>
      <c r="F556" s="75">
        <f>MAX(F533:F555)</f>
        <v>12.328231292517</v>
      </c>
      <c r="G556" s="75">
        <f>MAX(G533:G555)</f>
        <v>14.7243186582809</v>
      </c>
    </row>
    <row r="557" spans="2:7">
      <c r="B557" s="76" t="s">
        <v>270</v>
      </c>
      <c r="C557" s="77">
        <v>1</v>
      </c>
      <c r="D557" s="78">
        <v>2</v>
      </c>
      <c r="E557">
        <v>3</v>
      </c>
      <c r="F557">
        <v>4</v>
      </c>
      <c r="G557">
        <v>5</v>
      </c>
    </row>
    <row r="558" spans="2:7">
      <c r="B558" s="79" t="s">
        <v>271</v>
      </c>
      <c r="C558" s="72">
        <f>HLOOKUP(MIN(C556:G556),C556:G557,2,FALSE)</f>
        <v>1</v>
      </c>
      <c r="D558" s="80"/>
    </row>
    <row r="562" ht="15.75" spans="2:7">
      <c r="B562" s="43" t="s">
        <v>296</v>
      </c>
      <c r="C562" s="44"/>
      <c r="D562" s="45"/>
    </row>
    <row r="563" spans="2:7">
      <c r="B563" s="46"/>
      <c r="C563" s="61" t="s">
        <v>264</v>
      </c>
      <c r="D563" s="61" t="s">
        <v>265</v>
      </c>
      <c r="E563" s="62" t="s">
        <v>286</v>
      </c>
      <c r="F563" s="62" t="s">
        <v>287</v>
      </c>
      <c r="G563" s="62" t="s">
        <v>288</v>
      </c>
    </row>
    <row r="564" spans="2:7">
      <c r="B564" s="46"/>
      <c r="C564">
        <f>IF(J8=1,S8,"")</f>
        <v>0.700231481481482</v>
      </c>
      <c r="D564" s="63" t="str">
        <f t="shared" ref="D564:D587" si="167">IF(J8=2,S8,"")</f>
        <v/>
      </c>
      <c r="E564" t="str">
        <f t="shared" ref="E564:E587" si="168">IF(J8=3,S8,"")</f>
        <v/>
      </c>
      <c r="F564" t="str">
        <f t="shared" ref="F564:F587" si="169">IF(J8=4,S8,"")</f>
        <v/>
      </c>
      <c r="G564" t="str">
        <f t="shared" ref="G564:G587" si="170">IF(J8=5,S8,"")</f>
        <v/>
      </c>
    </row>
    <row r="565" spans="2:7">
      <c r="B565" s="46"/>
      <c r="D565" s="63">
        <f t="shared" si="167"/>
        <v>0.734154929577465</v>
      </c>
      <c r="E565" t="str">
        <f t="shared" si="168"/>
        <v/>
      </c>
      <c r="F565" t="str">
        <f t="shared" si="169"/>
        <v/>
      </c>
      <c r="G565" t="str">
        <f t="shared" si="170"/>
        <v/>
      </c>
    </row>
    <row r="566" spans="2:7">
      <c r="B566" s="46"/>
      <c r="C566" t="str">
        <f t="shared" ref="C566:C587" si="171">IF(J10=1,S10,"")</f>
        <v/>
      </c>
      <c r="D566" s="63" t="str">
        <f t="shared" si="167"/>
        <v/>
      </c>
      <c r="E566">
        <f t="shared" si="168"/>
        <v>1.83823529411765</v>
      </c>
      <c r="F566" t="str">
        <f t="shared" si="169"/>
        <v/>
      </c>
      <c r="G566" t="str">
        <f t="shared" si="170"/>
        <v/>
      </c>
    </row>
    <row r="567" spans="2:7">
      <c r="B567" s="46"/>
      <c r="C567" t="str">
        <f t="shared" si="171"/>
        <v/>
      </c>
      <c r="D567" s="63" t="str">
        <f t="shared" si="167"/>
        <v/>
      </c>
      <c r="E567" t="str">
        <f t="shared" si="168"/>
        <v/>
      </c>
      <c r="F567">
        <f t="shared" si="169"/>
        <v>4.28571428571429</v>
      </c>
      <c r="G567" t="str">
        <f t="shared" si="170"/>
        <v/>
      </c>
    </row>
    <row r="568" spans="2:7">
      <c r="B568" s="46"/>
      <c r="C568" t="str">
        <f t="shared" si="171"/>
        <v/>
      </c>
      <c r="D568" s="63" t="str">
        <f t="shared" si="167"/>
        <v/>
      </c>
      <c r="E568" t="str">
        <f t="shared" si="168"/>
        <v/>
      </c>
      <c r="F568" t="str">
        <f t="shared" si="169"/>
        <v/>
      </c>
      <c r="G568">
        <f t="shared" si="170"/>
        <v>3.43396226415094</v>
      </c>
    </row>
    <row r="569" spans="2:7">
      <c r="B569" s="46"/>
      <c r="C569" t="str">
        <f t="shared" si="171"/>
        <v/>
      </c>
      <c r="D569" s="63" t="str">
        <f t="shared" si="167"/>
        <v/>
      </c>
      <c r="E569">
        <f t="shared" si="168"/>
        <v>14.5833333333333</v>
      </c>
      <c r="F569" t="str">
        <f t="shared" si="169"/>
        <v/>
      </c>
      <c r="G569" t="str">
        <f t="shared" si="170"/>
        <v/>
      </c>
    </row>
    <row r="570" spans="2:7">
      <c r="B570" s="46"/>
      <c r="C570" t="str">
        <f t="shared" si="171"/>
        <v/>
      </c>
      <c r="D570" s="63" t="str">
        <f t="shared" si="167"/>
        <v/>
      </c>
      <c r="E570" t="str">
        <f t="shared" si="168"/>
        <v/>
      </c>
      <c r="F570">
        <f t="shared" si="169"/>
        <v>6.42857142857143</v>
      </c>
      <c r="G570" t="str">
        <f t="shared" si="170"/>
        <v/>
      </c>
    </row>
    <row r="571" spans="2:7">
      <c r="B571" s="46"/>
      <c r="C571" t="str">
        <f t="shared" si="171"/>
        <v/>
      </c>
      <c r="D571" s="63" t="str">
        <f t="shared" si="167"/>
        <v/>
      </c>
      <c r="E571" t="str">
        <f t="shared" si="168"/>
        <v/>
      </c>
      <c r="F571" t="str">
        <f t="shared" si="169"/>
        <v/>
      </c>
      <c r="G571">
        <f t="shared" si="170"/>
        <v>3.84591194968553</v>
      </c>
    </row>
    <row r="572" spans="2:7">
      <c r="B572" s="46"/>
      <c r="C572">
        <f t="shared" si="171"/>
        <v>0.844907407407407</v>
      </c>
      <c r="D572" s="63" t="str">
        <f t="shared" si="167"/>
        <v/>
      </c>
      <c r="E572" t="str">
        <f t="shared" si="168"/>
        <v/>
      </c>
      <c r="F572" t="str">
        <f t="shared" si="169"/>
        <v/>
      </c>
      <c r="G572" t="str">
        <f t="shared" si="170"/>
        <v/>
      </c>
    </row>
    <row r="573" spans="2:7">
      <c r="B573" s="46"/>
      <c r="C573">
        <f t="shared" si="171"/>
        <v>6.79803240740741</v>
      </c>
      <c r="D573" s="63" t="str">
        <f t="shared" si="167"/>
        <v/>
      </c>
      <c r="E573" t="str">
        <f t="shared" si="168"/>
        <v/>
      </c>
      <c r="F573" t="str">
        <f t="shared" si="169"/>
        <v/>
      </c>
      <c r="G573" t="str">
        <f t="shared" si="170"/>
        <v/>
      </c>
    </row>
    <row r="574" spans="2:7">
      <c r="B574" s="46"/>
      <c r="C574">
        <f t="shared" si="171"/>
        <v>6.79803240740741</v>
      </c>
      <c r="D574" s="63" t="str">
        <f t="shared" si="167"/>
        <v/>
      </c>
      <c r="E574" t="str">
        <f t="shared" si="168"/>
        <v/>
      </c>
      <c r="F574" t="str">
        <f t="shared" si="169"/>
        <v/>
      </c>
      <c r="G574" t="str">
        <f t="shared" si="170"/>
        <v/>
      </c>
    </row>
    <row r="575" spans="2:7">
      <c r="B575" s="46"/>
      <c r="C575">
        <f t="shared" si="171"/>
        <v>7.52719907407408</v>
      </c>
      <c r="D575" s="63" t="str">
        <f t="shared" si="167"/>
        <v/>
      </c>
      <c r="E575" t="str">
        <f t="shared" si="168"/>
        <v/>
      </c>
      <c r="F575" t="str">
        <f t="shared" si="169"/>
        <v/>
      </c>
      <c r="G575" t="str">
        <f t="shared" si="170"/>
        <v/>
      </c>
    </row>
    <row r="576" spans="2:7">
      <c r="B576" s="46"/>
      <c r="C576" t="str">
        <f t="shared" si="171"/>
        <v/>
      </c>
      <c r="D576" s="63">
        <f t="shared" si="167"/>
        <v>2.7881455399061</v>
      </c>
      <c r="E576" t="str">
        <f t="shared" si="168"/>
        <v/>
      </c>
      <c r="F576" t="str">
        <f t="shared" si="169"/>
        <v/>
      </c>
      <c r="G576" t="str">
        <f t="shared" si="170"/>
        <v/>
      </c>
    </row>
    <row r="577" spans="2:7">
      <c r="B577" s="46"/>
      <c r="C577" t="str">
        <f t="shared" si="171"/>
        <v/>
      </c>
      <c r="D577" s="63">
        <f t="shared" si="167"/>
        <v>4.47535211267606</v>
      </c>
      <c r="E577" t="str">
        <f t="shared" si="168"/>
        <v/>
      </c>
      <c r="F577" t="str">
        <f t="shared" si="169"/>
        <v/>
      </c>
      <c r="G577" t="str">
        <f t="shared" si="170"/>
        <v/>
      </c>
    </row>
    <row r="578" spans="2:7">
      <c r="B578" s="46"/>
      <c r="C578" t="str">
        <f t="shared" si="171"/>
        <v/>
      </c>
      <c r="D578" s="63">
        <f t="shared" si="167"/>
        <v>6.10680751173709</v>
      </c>
      <c r="E578" t="str">
        <f t="shared" si="168"/>
        <v/>
      </c>
      <c r="F578" t="str">
        <f t="shared" si="169"/>
        <v/>
      </c>
      <c r="G578" t="str">
        <f t="shared" si="170"/>
        <v/>
      </c>
    </row>
    <row r="579" spans="2:7">
      <c r="B579" s="46"/>
      <c r="C579" t="str">
        <f t="shared" si="171"/>
        <v/>
      </c>
      <c r="D579" s="63">
        <f t="shared" si="167"/>
        <v>8.50821596244131</v>
      </c>
      <c r="E579" t="str">
        <f t="shared" si="168"/>
        <v/>
      </c>
      <c r="F579" t="str">
        <f t="shared" si="169"/>
        <v/>
      </c>
      <c r="G579" t="str">
        <f t="shared" si="170"/>
        <v/>
      </c>
    </row>
    <row r="580" spans="2:7">
      <c r="B580" s="46"/>
      <c r="C580" t="str">
        <f t="shared" si="171"/>
        <v/>
      </c>
      <c r="D580" s="63">
        <f t="shared" si="167"/>
        <v>10.268779342723</v>
      </c>
      <c r="E580" t="str">
        <f t="shared" si="168"/>
        <v/>
      </c>
      <c r="F580" t="str">
        <f t="shared" si="169"/>
        <v/>
      </c>
      <c r="G580" t="str">
        <f t="shared" si="170"/>
        <v/>
      </c>
    </row>
    <row r="581" spans="2:7">
      <c r="B581" s="46"/>
      <c r="C581" t="str">
        <f t="shared" si="171"/>
        <v/>
      </c>
      <c r="D581" s="63" t="str">
        <f t="shared" si="167"/>
        <v/>
      </c>
      <c r="E581" t="str">
        <f t="shared" si="168"/>
        <v/>
      </c>
      <c r="F581" t="str">
        <f t="shared" si="169"/>
        <v/>
      </c>
      <c r="G581">
        <f t="shared" si="170"/>
        <v>7.67610062893082</v>
      </c>
    </row>
    <row r="582" spans="2:7">
      <c r="B582" s="46"/>
      <c r="C582" t="str">
        <f t="shared" si="171"/>
        <v/>
      </c>
      <c r="D582" s="63" t="str">
        <f t="shared" si="167"/>
        <v/>
      </c>
      <c r="E582" t="str">
        <f t="shared" si="168"/>
        <v/>
      </c>
      <c r="F582" t="str">
        <f t="shared" si="169"/>
        <v/>
      </c>
      <c r="G582">
        <f t="shared" si="170"/>
        <v>10.3836477987421</v>
      </c>
    </row>
    <row r="583" spans="2:7">
      <c r="B583" s="46"/>
      <c r="C583" t="str">
        <f t="shared" si="171"/>
        <v/>
      </c>
      <c r="D583" s="63" t="str">
        <f t="shared" si="167"/>
        <v/>
      </c>
      <c r="E583" t="str">
        <f t="shared" si="168"/>
        <v/>
      </c>
      <c r="F583" t="str">
        <f t="shared" si="169"/>
        <v/>
      </c>
      <c r="G583">
        <f t="shared" si="170"/>
        <v>13.2138364779874</v>
      </c>
    </row>
    <row r="584" spans="2:7">
      <c r="B584" s="46"/>
      <c r="C584" t="str">
        <f t="shared" si="171"/>
        <v/>
      </c>
      <c r="D584" s="63" t="str">
        <f t="shared" si="167"/>
        <v/>
      </c>
      <c r="E584" t="str">
        <f t="shared" si="168"/>
        <v/>
      </c>
      <c r="F584" t="str">
        <f t="shared" si="169"/>
        <v/>
      </c>
      <c r="G584">
        <f t="shared" si="170"/>
        <v>14.7243186582809</v>
      </c>
    </row>
    <row r="585" spans="2:7">
      <c r="B585" s="46"/>
      <c r="C585" t="str">
        <f t="shared" si="171"/>
        <v/>
      </c>
      <c r="D585" s="63" t="str">
        <f t="shared" si="167"/>
        <v/>
      </c>
      <c r="E585" t="str">
        <f t="shared" si="168"/>
        <v/>
      </c>
      <c r="F585">
        <f t="shared" si="169"/>
        <v>9.17630385487529</v>
      </c>
      <c r="G585" t="str">
        <f t="shared" si="170"/>
        <v/>
      </c>
    </row>
    <row r="586" spans="2:7">
      <c r="B586" s="46"/>
      <c r="C586" t="str">
        <f t="shared" si="171"/>
        <v/>
      </c>
      <c r="D586" s="63" t="str">
        <f t="shared" si="167"/>
        <v/>
      </c>
      <c r="E586" t="str">
        <f t="shared" si="168"/>
        <v/>
      </c>
      <c r="F586">
        <f t="shared" si="169"/>
        <v>12.328231292517</v>
      </c>
      <c r="G586" t="str">
        <f t="shared" si="170"/>
        <v/>
      </c>
    </row>
    <row r="587" ht="15.75" spans="2:7">
      <c r="B587" s="46"/>
      <c r="C587" t="str">
        <f t="shared" si="171"/>
        <v/>
      </c>
      <c r="D587" s="63" t="str">
        <f t="shared" si="167"/>
        <v/>
      </c>
      <c r="E587" t="str">
        <f t="shared" si="168"/>
        <v/>
      </c>
      <c r="F587">
        <f t="shared" si="169"/>
        <v>15.0017006802721</v>
      </c>
      <c r="G587" t="str">
        <f t="shared" si="170"/>
        <v/>
      </c>
    </row>
    <row r="588" spans="2:7">
      <c r="B588" s="74" t="s">
        <v>269</v>
      </c>
      <c r="C588" s="75">
        <f>MAX(C564:C587)</f>
        <v>7.52719907407408</v>
      </c>
      <c r="D588" s="75">
        <f t="shared" ref="D588:G588" si="172">MAX(D564:D587)</f>
        <v>10.268779342723</v>
      </c>
      <c r="E588" s="75">
        <f t="shared" si="172"/>
        <v>14.5833333333333</v>
      </c>
      <c r="F588" s="75">
        <f t="shared" si="172"/>
        <v>15.0017006802721</v>
      </c>
      <c r="G588" s="75">
        <f t="shared" si="172"/>
        <v>14.7243186582809</v>
      </c>
    </row>
    <row r="589" spans="2:7">
      <c r="B589" s="76" t="s">
        <v>270</v>
      </c>
      <c r="C589" s="77">
        <v>1</v>
      </c>
      <c r="D589" s="78">
        <v>2</v>
      </c>
      <c r="E589">
        <v>3</v>
      </c>
      <c r="F589">
        <v>4</v>
      </c>
      <c r="G589">
        <v>5</v>
      </c>
    </row>
    <row r="590" spans="2:7">
      <c r="B590" s="79" t="s">
        <v>271</v>
      </c>
      <c r="C590" s="72">
        <f>HLOOKUP(MIN(C588:G588),C588:G589,2,FALSE)</f>
        <v>1</v>
      </c>
      <c r="D590" s="80"/>
    </row>
    <row r="593" ht="15.75" spans="2:7">
      <c r="B593" s="43" t="s">
        <v>297</v>
      </c>
      <c r="C593" s="44"/>
      <c r="D593" s="45"/>
    </row>
    <row r="594" spans="2:7">
      <c r="B594" s="46"/>
      <c r="C594" s="61" t="s">
        <v>264</v>
      </c>
      <c r="D594" s="61" t="s">
        <v>265</v>
      </c>
      <c r="E594" s="62" t="s">
        <v>286</v>
      </c>
      <c r="F594" s="62" t="s">
        <v>287</v>
      </c>
      <c r="G594" s="62" t="s">
        <v>288</v>
      </c>
    </row>
    <row r="595" spans="2:7">
      <c r="B595" s="46"/>
      <c r="C595">
        <f t="shared" ref="C595:C619" si="173">IF(J8=1,S8,"")</f>
        <v>0.700231481481482</v>
      </c>
      <c r="D595" s="63" t="str">
        <f t="shared" ref="D595:D619" si="174">IF(J8=2,S8,"")</f>
        <v/>
      </c>
      <c r="E595" t="str">
        <f t="shared" ref="E595:E619" si="175">IF(J8=3,S8,"")</f>
        <v/>
      </c>
      <c r="F595" t="str">
        <f t="shared" ref="F595:F619" si="176">IF(J8=4,S8,"")</f>
        <v/>
      </c>
      <c r="G595" t="str">
        <f t="shared" ref="G595:G619" si="177">IF(J8=5,S8,"")</f>
        <v/>
      </c>
    </row>
    <row r="596" spans="2:7">
      <c r="B596" s="46"/>
      <c r="C596" t="str">
        <f t="shared" si="173"/>
        <v/>
      </c>
      <c r="D596" s="63">
        <f t="shared" si="174"/>
        <v>0.734154929577465</v>
      </c>
      <c r="E596" t="str">
        <f t="shared" si="175"/>
        <v/>
      </c>
      <c r="F596" t="str">
        <f t="shared" si="176"/>
        <v/>
      </c>
      <c r="G596" t="str">
        <f t="shared" si="177"/>
        <v/>
      </c>
    </row>
    <row r="597" spans="2:7">
      <c r="B597" s="46"/>
      <c r="C597" t="str">
        <f t="shared" si="173"/>
        <v/>
      </c>
      <c r="D597" s="63" t="str">
        <f t="shared" si="174"/>
        <v/>
      </c>
      <c r="E597">
        <f t="shared" si="175"/>
        <v>1.83823529411765</v>
      </c>
      <c r="F597" t="str">
        <f t="shared" si="176"/>
        <v/>
      </c>
      <c r="G597" t="str">
        <f t="shared" si="177"/>
        <v/>
      </c>
    </row>
    <row r="598" spans="2:7">
      <c r="B598" s="46"/>
      <c r="C598" t="str">
        <f t="shared" si="173"/>
        <v/>
      </c>
      <c r="D598" s="63" t="str">
        <f t="shared" si="174"/>
        <v/>
      </c>
      <c r="E598" t="str">
        <f t="shared" si="175"/>
        <v/>
      </c>
      <c r="F598">
        <f t="shared" si="176"/>
        <v>4.28571428571429</v>
      </c>
      <c r="G598" t="str">
        <f t="shared" si="177"/>
        <v/>
      </c>
    </row>
    <row r="599" spans="2:7">
      <c r="B599" s="46"/>
      <c r="C599" t="str">
        <f t="shared" si="173"/>
        <v/>
      </c>
      <c r="D599" s="63" t="str">
        <f t="shared" si="174"/>
        <v/>
      </c>
      <c r="E599" t="str">
        <f t="shared" si="175"/>
        <v/>
      </c>
      <c r="F599" t="str">
        <f t="shared" si="176"/>
        <v/>
      </c>
      <c r="G599">
        <f t="shared" si="177"/>
        <v>3.43396226415094</v>
      </c>
    </row>
    <row r="600" spans="2:7">
      <c r="B600" s="46"/>
      <c r="C600" t="str">
        <f t="shared" si="173"/>
        <v/>
      </c>
      <c r="D600" s="63" t="str">
        <f t="shared" si="174"/>
        <v/>
      </c>
      <c r="E600">
        <f t="shared" si="175"/>
        <v>14.5833333333333</v>
      </c>
      <c r="F600" t="str">
        <f t="shared" si="176"/>
        <v/>
      </c>
      <c r="G600" t="str">
        <f t="shared" si="177"/>
        <v/>
      </c>
    </row>
    <row r="601" spans="2:7">
      <c r="B601" s="46"/>
      <c r="C601" t="str">
        <f t="shared" si="173"/>
        <v/>
      </c>
      <c r="D601" s="63" t="str">
        <f t="shared" si="174"/>
        <v/>
      </c>
      <c r="E601" t="str">
        <f t="shared" si="175"/>
        <v/>
      </c>
      <c r="F601">
        <f t="shared" si="176"/>
        <v>6.42857142857143</v>
      </c>
      <c r="G601" t="str">
        <f t="shared" si="177"/>
        <v/>
      </c>
    </row>
    <row r="602" spans="2:7">
      <c r="B602" s="46"/>
      <c r="C602" t="str">
        <f t="shared" si="173"/>
        <v/>
      </c>
      <c r="D602" s="63" t="str">
        <f t="shared" si="174"/>
        <v/>
      </c>
      <c r="E602" t="str">
        <f t="shared" si="175"/>
        <v/>
      </c>
      <c r="F602" t="str">
        <f t="shared" si="176"/>
        <v/>
      </c>
      <c r="G602">
        <f t="shared" si="177"/>
        <v>3.84591194968553</v>
      </c>
    </row>
    <row r="603" spans="2:7">
      <c r="B603" s="46"/>
      <c r="C603">
        <f t="shared" si="173"/>
        <v>0.844907407407407</v>
      </c>
      <c r="D603" s="63" t="str">
        <f t="shared" si="174"/>
        <v/>
      </c>
      <c r="E603" t="str">
        <f t="shared" si="175"/>
        <v/>
      </c>
      <c r="F603" t="str">
        <f t="shared" si="176"/>
        <v/>
      </c>
      <c r="G603" t="str">
        <f t="shared" si="177"/>
        <v/>
      </c>
    </row>
    <row r="604" spans="2:7">
      <c r="B604" s="46"/>
      <c r="C604">
        <f t="shared" si="173"/>
        <v>6.79803240740741</v>
      </c>
      <c r="D604" s="63" t="str">
        <f t="shared" si="174"/>
        <v/>
      </c>
      <c r="E604" t="str">
        <f t="shared" si="175"/>
        <v/>
      </c>
      <c r="F604" t="str">
        <f t="shared" si="176"/>
        <v/>
      </c>
      <c r="G604" t="str">
        <f t="shared" si="177"/>
        <v/>
      </c>
    </row>
    <row r="605" spans="2:7">
      <c r="B605" s="46"/>
      <c r="C605">
        <f t="shared" si="173"/>
        <v>6.79803240740741</v>
      </c>
      <c r="D605" s="63" t="str">
        <f t="shared" si="174"/>
        <v/>
      </c>
      <c r="E605" t="str">
        <f t="shared" si="175"/>
        <v/>
      </c>
      <c r="F605" t="str">
        <f t="shared" si="176"/>
        <v/>
      </c>
      <c r="G605" t="str">
        <f t="shared" si="177"/>
        <v/>
      </c>
    </row>
    <row r="606" spans="2:7">
      <c r="B606" s="46"/>
      <c r="C606">
        <f t="shared" si="173"/>
        <v>7.52719907407408</v>
      </c>
      <c r="D606" s="63" t="str">
        <f t="shared" si="174"/>
        <v/>
      </c>
      <c r="E606" t="str">
        <f t="shared" si="175"/>
        <v/>
      </c>
      <c r="F606" t="str">
        <f t="shared" si="176"/>
        <v/>
      </c>
      <c r="G606" t="str">
        <f t="shared" si="177"/>
        <v/>
      </c>
    </row>
    <row r="607" spans="2:7">
      <c r="B607" s="46"/>
      <c r="C607" t="str">
        <f t="shared" si="173"/>
        <v/>
      </c>
      <c r="D607" s="63">
        <f t="shared" si="174"/>
        <v>2.7881455399061</v>
      </c>
      <c r="E607" t="str">
        <f t="shared" si="175"/>
        <v/>
      </c>
      <c r="F607" t="str">
        <f t="shared" si="176"/>
        <v/>
      </c>
      <c r="G607" t="str">
        <f t="shared" si="177"/>
        <v/>
      </c>
    </row>
    <row r="608" spans="2:7">
      <c r="B608" s="46"/>
      <c r="C608" t="str">
        <f t="shared" si="173"/>
        <v/>
      </c>
      <c r="D608" s="63">
        <f t="shared" si="174"/>
        <v>4.47535211267606</v>
      </c>
      <c r="E608" t="str">
        <f t="shared" si="175"/>
        <v/>
      </c>
      <c r="F608" t="str">
        <f t="shared" si="176"/>
        <v/>
      </c>
      <c r="G608" t="str">
        <f t="shared" si="177"/>
        <v/>
      </c>
    </row>
    <row r="609" spans="2:7">
      <c r="B609" s="46"/>
      <c r="C609" t="str">
        <f t="shared" si="173"/>
        <v/>
      </c>
      <c r="D609" s="63">
        <f t="shared" si="174"/>
        <v>6.10680751173709</v>
      </c>
      <c r="E609" t="str">
        <f t="shared" si="175"/>
        <v/>
      </c>
      <c r="F609" t="str">
        <f t="shared" si="176"/>
        <v/>
      </c>
      <c r="G609" t="str">
        <f t="shared" si="177"/>
        <v/>
      </c>
    </row>
    <row r="610" spans="2:7">
      <c r="B610" s="46"/>
      <c r="C610" t="str">
        <f t="shared" si="173"/>
        <v/>
      </c>
      <c r="D610" s="63">
        <f t="shared" si="174"/>
        <v>8.50821596244131</v>
      </c>
      <c r="E610" t="str">
        <f t="shared" si="175"/>
        <v/>
      </c>
      <c r="F610" t="str">
        <f t="shared" si="176"/>
        <v/>
      </c>
      <c r="G610" t="str">
        <f t="shared" si="177"/>
        <v/>
      </c>
    </row>
    <row r="611" spans="2:7">
      <c r="B611" s="46"/>
      <c r="C611" t="str">
        <f t="shared" si="173"/>
        <v/>
      </c>
      <c r="D611" s="63">
        <f t="shared" si="174"/>
        <v>10.268779342723</v>
      </c>
      <c r="E611" t="str">
        <f t="shared" si="175"/>
        <v/>
      </c>
      <c r="F611" t="str">
        <f t="shared" si="176"/>
        <v/>
      </c>
      <c r="G611" t="str">
        <f t="shared" si="177"/>
        <v/>
      </c>
    </row>
    <row r="612" spans="2:7">
      <c r="B612" s="46"/>
      <c r="C612" t="str">
        <f t="shared" si="173"/>
        <v/>
      </c>
      <c r="D612" s="63" t="str">
        <f t="shared" si="174"/>
        <v/>
      </c>
      <c r="E612" t="str">
        <f t="shared" si="175"/>
        <v/>
      </c>
      <c r="F612" t="str">
        <f t="shared" si="176"/>
        <v/>
      </c>
      <c r="G612">
        <f t="shared" si="177"/>
        <v>7.67610062893082</v>
      </c>
    </row>
    <row r="613" spans="2:7">
      <c r="B613" s="46"/>
      <c r="C613" t="str">
        <f t="shared" si="173"/>
        <v/>
      </c>
      <c r="D613" s="63" t="str">
        <f t="shared" si="174"/>
        <v/>
      </c>
      <c r="E613" t="str">
        <f t="shared" si="175"/>
        <v/>
      </c>
      <c r="F613" t="str">
        <f t="shared" si="176"/>
        <v/>
      </c>
      <c r="G613">
        <f t="shared" si="177"/>
        <v>10.3836477987421</v>
      </c>
    </row>
    <row r="614" spans="2:7">
      <c r="B614" s="46"/>
      <c r="C614" t="str">
        <f t="shared" si="173"/>
        <v/>
      </c>
      <c r="D614" s="63" t="str">
        <f t="shared" si="174"/>
        <v/>
      </c>
      <c r="E614" t="str">
        <f t="shared" si="175"/>
        <v/>
      </c>
      <c r="F614" t="str">
        <f t="shared" si="176"/>
        <v/>
      </c>
      <c r="G614">
        <f t="shared" si="177"/>
        <v>13.2138364779874</v>
      </c>
    </row>
    <row r="615" spans="2:7">
      <c r="B615" s="46"/>
      <c r="C615" t="str">
        <f t="shared" si="173"/>
        <v/>
      </c>
      <c r="D615" s="63" t="str">
        <f t="shared" si="174"/>
        <v/>
      </c>
      <c r="E615" t="str">
        <f t="shared" si="175"/>
        <v/>
      </c>
      <c r="F615" t="str">
        <f t="shared" si="176"/>
        <v/>
      </c>
      <c r="G615">
        <f t="shared" si="177"/>
        <v>14.7243186582809</v>
      </c>
    </row>
    <row r="616" spans="2:7">
      <c r="B616" s="46"/>
      <c r="C616" t="str">
        <f t="shared" si="173"/>
        <v/>
      </c>
      <c r="D616" s="63" t="str">
        <f t="shared" si="174"/>
        <v/>
      </c>
      <c r="E616" t="str">
        <f t="shared" si="175"/>
        <v/>
      </c>
      <c r="F616">
        <f t="shared" si="176"/>
        <v>9.17630385487529</v>
      </c>
      <c r="G616" t="str">
        <f t="shared" si="177"/>
        <v/>
      </c>
    </row>
    <row r="617" spans="2:7">
      <c r="B617" s="46"/>
      <c r="C617" t="str">
        <f t="shared" si="173"/>
        <v/>
      </c>
      <c r="D617" s="63" t="str">
        <f t="shared" si="174"/>
        <v/>
      </c>
      <c r="E617" t="str">
        <f t="shared" si="175"/>
        <v/>
      </c>
      <c r="F617">
        <f t="shared" si="176"/>
        <v>12.328231292517</v>
      </c>
      <c r="G617" t="str">
        <f t="shared" si="177"/>
        <v/>
      </c>
    </row>
    <row r="618" spans="2:7">
      <c r="B618" s="46"/>
      <c r="C618" t="str">
        <f t="shared" si="173"/>
        <v/>
      </c>
      <c r="D618" s="63" t="str">
        <f t="shared" si="174"/>
        <v/>
      </c>
      <c r="E618" t="str">
        <f t="shared" si="175"/>
        <v/>
      </c>
      <c r="F618">
        <f t="shared" si="176"/>
        <v>15.0017006802721</v>
      </c>
      <c r="G618" t="str">
        <f t="shared" si="177"/>
        <v/>
      </c>
    </row>
    <row r="619" ht="15.75" spans="2:7">
      <c r="B619" s="46"/>
      <c r="C619">
        <f t="shared" si="173"/>
        <v>10.328125</v>
      </c>
      <c r="D619" s="63" t="str">
        <f t="shared" si="174"/>
        <v/>
      </c>
      <c r="E619" t="str">
        <f t="shared" si="175"/>
        <v/>
      </c>
      <c r="F619" t="str">
        <f t="shared" si="176"/>
        <v/>
      </c>
      <c r="G619" t="str">
        <f t="shared" si="177"/>
        <v/>
      </c>
    </row>
    <row r="620" spans="2:7">
      <c r="B620" s="74" t="s">
        <v>269</v>
      </c>
      <c r="C620" s="75">
        <f>MAX(C595:C619)</f>
        <v>10.328125</v>
      </c>
      <c r="D620" s="75">
        <f t="shared" ref="D620:G620" si="178">MAX(D595:D619)</f>
        <v>10.268779342723</v>
      </c>
      <c r="E620" s="75">
        <f t="shared" si="178"/>
        <v>14.5833333333333</v>
      </c>
      <c r="F620" s="75">
        <f t="shared" si="178"/>
        <v>15.0017006802721</v>
      </c>
      <c r="G620" s="75">
        <f t="shared" si="178"/>
        <v>14.7243186582809</v>
      </c>
    </row>
    <row r="621" spans="2:7">
      <c r="B621" s="76" t="s">
        <v>270</v>
      </c>
      <c r="C621">
        <v>1</v>
      </c>
      <c r="D621" s="78">
        <v>2</v>
      </c>
      <c r="E621">
        <v>3</v>
      </c>
      <c r="F621">
        <v>4</v>
      </c>
      <c r="G621">
        <v>5</v>
      </c>
    </row>
    <row r="622" spans="2:7">
      <c r="B622" s="79" t="s">
        <v>271</v>
      </c>
      <c r="C622">
        <f>HLOOKUP(MIN(C620:G620),C620:G621,2,FALSE)</f>
        <v>2</v>
      </c>
      <c r="D622" s="80"/>
    </row>
    <row r="625" ht="15.75" spans="2:7">
      <c r="B625" s="43" t="s">
        <v>298</v>
      </c>
      <c r="C625" s="44"/>
      <c r="D625" s="45"/>
    </row>
    <row r="626" spans="2:7">
      <c r="B626" s="46"/>
      <c r="C626" s="61" t="s">
        <v>264</v>
      </c>
      <c r="D626" s="61" t="s">
        <v>265</v>
      </c>
      <c r="E626" s="62" t="s">
        <v>286</v>
      </c>
      <c r="F626" s="62" t="s">
        <v>287</v>
      </c>
      <c r="G626" s="62" t="s">
        <v>288</v>
      </c>
    </row>
    <row r="627" spans="2:7">
      <c r="C627">
        <f t="shared" ref="C627:C652" si="179">IF(J8=1,S8,"")</f>
        <v>0.700231481481482</v>
      </c>
      <c r="D627" s="63" t="str">
        <f t="shared" ref="D627:D652" si="180">IF(J8=2,S8,"")</f>
        <v/>
      </c>
      <c r="E627" t="str">
        <f t="shared" ref="E627:E652" si="181">IF(J8=3,S8,"")</f>
        <v/>
      </c>
      <c r="F627" t="str">
        <f t="shared" ref="F627:F652" si="182">IF(J8=4,S8,"")</f>
        <v/>
      </c>
      <c r="G627" t="str">
        <f t="shared" ref="G627:G652" si="183">IF(J8=5,S8,"")</f>
        <v/>
      </c>
    </row>
    <row r="628" spans="2:7">
      <c r="C628" t="str">
        <f t="shared" si="179"/>
        <v/>
      </c>
      <c r="D628" s="63">
        <f t="shared" si="180"/>
        <v>0.734154929577465</v>
      </c>
      <c r="E628" t="str">
        <f t="shared" si="181"/>
        <v/>
      </c>
      <c r="F628" t="str">
        <f t="shared" si="182"/>
        <v/>
      </c>
      <c r="G628" t="str">
        <f t="shared" si="183"/>
        <v/>
      </c>
    </row>
    <row r="629" spans="2:7">
      <c r="B629" s="46"/>
      <c r="C629" t="str">
        <f t="shared" si="179"/>
        <v/>
      </c>
      <c r="D629" s="63" t="str">
        <f t="shared" si="180"/>
        <v/>
      </c>
      <c r="E629">
        <f t="shared" si="181"/>
        <v>1.83823529411765</v>
      </c>
      <c r="F629" t="str">
        <f t="shared" si="182"/>
        <v/>
      </c>
      <c r="G629" t="str">
        <f t="shared" si="183"/>
        <v/>
      </c>
    </row>
    <row r="630" spans="2:7">
      <c r="B630" s="46"/>
      <c r="C630" t="str">
        <f t="shared" si="179"/>
        <v/>
      </c>
      <c r="D630" s="63" t="str">
        <f t="shared" si="180"/>
        <v/>
      </c>
      <c r="E630" t="str">
        <f t="shared" si="181"/>
        <v/>
      </c>
      <c r="F630">
        <f t="shared" si="182"/>
        <v>4.28571428571429</v>
      </c>
      <c r="G630" t="str">
        <f t="shared" si="183"/>
        <v/>
      </c>
    </row>
    <row r="631" spans="2:7">
      <c r="B631" s="46"/>
      <c r="C631" t="str">
        <f t="shared" si="179"/>
        <v/>
      </c>
      <c r="D631" s="63" t="str">
        <f t="shared" si="180"/>
        <v/>
      </c>
      <c r="E631" t="str">
        <f t="shared" si="181"/>
        <v/>
      </c>
      <c r="F631" t="str">
        <f t="shared" si="182"/>
        <v/>
      </c>
      <c r="G631">
        <f t="shared" si="183"/>
        <v>3.43396226415094</v>
      </c>
    </row>
    <row r="632" spans="2:7">
      <c r="B632" s="46"/>
      <c r="C632" t="str">
        <f t="shared" si="179"/>
        <v/>
      </c>
      <c r="D632" s="63" t="str">
        <f t="shared" si="180"/>
        <v/>
      </c>
      <c r="E632">
        <f t="shared" si="181"/>
        <v>14.5833333333333</v>
      </c>
      <c r="F632" t="str">
        <f t="shared" si="182"/>
        <v/>
      </c>
      <c r="G632" t="str">
        <f t="shared" si="183"/>
        <v/>
      </c>
    </row>
    <row r="633" spans="2:7">
      <c r="B633" s="46"/>
      <c r="C633" t="str">
        <f t="shared" si="179"/>
        <v/>
      </c>
      <c r="D633" s="63" t="str">
        <f t="shared" si="180"/>
        <v/>
      </c>
      <c r="E633" t="str">
        <f t="shared" si="181"/>
        <v/>
      </c>
      <c r="F633">
        <f t="shared" si="182"/>
        <v>6.42857142857143</v>
      </c>
      <c r="G633" t="str">
        <f t="shared" si="183"/>
        <v/>
      </c>
    </row>
    <row r="634" spans="2:7">
      <c r="B634" s="46"/>
      <c r="C634" t="str">
        <f t="shared" si="179"/>
        <v/>
      </c>
      <c r="D634" s="63" t="str">
        <f t="shared" si="180"/>
        <v/>
      </c>
      <c r="E634" t="str">
        <f t="shared" si="181"/>
        <v/>
      </c>
      <c r="F634" t="str">
        <f t="shared" si="182"/>
        <v/>
      </c>
      <c r="G634">
        <f t="shared" si="183"/>
        <v>3.84591194968553</v>
      </c>
    </row>
    <row r="635" spans="2:7">
      <c r="B635" s="46"/>
      <c r="C635">
        <f t="shared" si="179"/>
        <v>0.844907407407407</v>
      </c>
      <c r="D635" s="63" t="str">
        <f t="shared" si="180"/>
        <v/>
      </c>
      <c r="E635" t="str">
        <f t="shared" si="181"/>
        <v/>
      </c>
      <c r="F635" t="str">
        <f t="shared" si="182"/>
        <v/>
      </c>
      <c r="G635" t="str">
        <f t="shared" si="183"/>
        <v/>
      </c>
    </row>
    <row r="636" spans="2:7">
      <c r="B636" s="46"/>
      <c r="C636">
        <f t="shared" si="179"/>
        <v>6.79803240740741</v>
      </c>
      <c r="D636" s="63" t="str">
        <f t="shared" si="180"/>
        <v/>
      </c>
      <c r="E636" t="str">
        <f t="shared" si="181"/>
        <v/>
      </c>
      <c r="F636" t="str">
        <f t="shared" si="182"/>
        <v/>
      </c>
      <c r="G636" t="str">
        <f t="shared" si="183"/>
        <v/>
      </c>
    </row>
    <row r="637" spans="2:7">
      <c r="B637" s="46"/>
      <c r="C637">
        <f t="shared" si="179"/>
        <v>6.79803240740741</v>
      </c>
      <c r="D637" s="63" t="str">
        <f t="shared" si="180"/>
        <v/>
      </c>
      <c r="E637" t="str">
        <f t="shared" si="181"/>
        <v/>
      </c>
      <c r="F637" t="str">
        <f t="shared" si="182"/>
        <v/>
      </c>
      <c r="G637" t="str">
        <f t="shared" si="183"/>
        <v/>
      </c>
    </row>
    <row r="638" spans="2:7">
      <c r="B638" s="46"/>
      <c r="C638">
        <f t="shared" si="179"/>
        <v>7.52719907407408</v>
      </c>
      <c r="D638" s="63" t="str">
        <f t="shared" si="180"/>
        <v/>
      </c>
      <c r="E638" t="str">
        <f t="shared" si="181"/>
        <v/>
      </c>
      <c r="F638" t="str">
        <f t="shared" si="182"/>
        <v/>
      </c>
      <c r="G638" t="str">
        <f t="shared" si="183"/>
        <v/>
      </c>
    </row>
    <row r="639" spans="2:7">
      <c r="B639" s="46"/>
      <c r="C639" t="str">
        <f t="shared" si="179"/>
        <v/>
      </c>
      <c r="D639" s="63">
        <f t="shared" si="180"/>
        <v>2.7881455399061</v>
      </c>
      <c r="E639" t="str">
        <f t="shared" si="181"/>
        <v/>
      </c>
      <c r="F639" t="str">
        <f t="shared" si="182"/>
        <v/>
      </c>
      <c r="G639" t="str">
        <f t="shared" si="183"/>
        <v/>
      </c>
    </row>
    <row r="640" spans="2:7">
      <c r="B640" s="46"/>
      <c r="C640" t="str">
        <f t="shared" si="179"/>
        <v/>
      </c>
      <c r="D640" s="63">
        <f t="shared" si="180"/>
        <v>4.47535211267606</v>
      </c>
      <c r="E640" t="str">
        <f t="shared" si="181"/>
        <v/>
      </c>
      <c r="F640" t="str">
        <f t="shared" si="182"/>
        <v/>
      </c>
      <c r="G640" t="str">
        <f t="shared" si="183"/>
        <v/>
      </c>
    </row>
    <row r="641" spans="2:7">
      <c r="B641" s="46"/>
      <c r="C641" t="str">
        <f t="shared" si="179"/>
        <v/>
      </c>
      <c r="D641" s="63">
        <f t="shared" si="180"/>
        <v>6.10680751173709</v>
      </c>
      <c r="E641" t="str">
        <f t="shared" si="181"/>
        <v/>
      </c>
      <c r="F641" t="str">
        <f t="shared" si="182"/>
        <v/>
      </c>
      <c r="G641" t="str">
        <f t="shared" si="183"/>
        <v/>
      </c>
    </row>
    <row r="642" spans="2:7">
      <c r="B642" s="46"/>
      <c r="C642" t="str">
        <f t="shared" si="179"/>
        <v/>
      </c>
      <c r="D642" s="63">
        <f t="shared" si="180"/>
        <v>8.50821596244131</v>
      </c>
      <c r="E642" t="str">
        <f t="shared" si="181"/>
        <v/>
      </c>
      <c r="F642" t="str">
        <f t="shared" si="182"/>
        <v/>
      </c>
      <c r="G642" t="str">
        <f t="shared" si="183"/>
        <v/>
      </c>
    </row>
    <row r="643" spans="2:7">
      <c r="B643" s="46"/>
      <c r="C643" t="str">
        <f t="shared" si="179"/>
        <v/>
      </c>
      <c r="D643" s="63">
        <f t="shared" si="180"/>
        <v>10.268779342723</v>
      </c>
      <c r="E643" t="str">
        <f t="shared" si="181"/>
        <v/>
      </c>
      <c r="F643" t="str">
        <f t="shared" si="182"/>
        <v/>
      </c>
      <c r="G643" t="str">
        <f t="shared" si="183"/>
        <v/>
      </c>
    </row>
    <row r="644" spans="2:7">
      <c r="B644" s="46"/>
      <c r="C644" t="str">
        <f t="shared" si="179"/>
        <v/>
      </c>
      <c r="D644" s="63" t="str">
        <f t="shared" si="180"/>
        <v/>
      </c>
      <c r="E644" t="str">
        <f t="shared" si="181"/>
        <v/>
      </c>
      <c r="F644" t="str">
        <f t="shared" si="182"/>
        <v/>
      </c>
      <c r="G644">
        <f t="shared" si="183"/>
        <v>7.67610062893082</v>
      </c>
    </row>
    <row r="645" spans="2:7">
      <c r="B645" s="46"/>
      <c r="C645" t="str">
        <f t="shared" si="179"/>
        <v/>
      </c>
      <c r="D645" s="63" t="str">
        <f t="shared" si="180"/>
        <v/>
      </c>
      <c r="E645" t="str">
        <f t="shared" si="181"/>
        <v/>
      </c>
      <c r="F645" t="str">
        <f t="shared" si="182"/>
        <v/>
      </c>
      <c r="G645">
        <f t="shared" si="183"/>
        <v>10.3836477987421</v>
      </c>
    </row>
    <row r="646" spans="2:7">
      <c r="B646" s="46"/>
      <c r="C646" t="str">
        <f t="shared" si="179"/>
        <v/>
      </c>
      <c r="D646" s="63" t="str">
        <f t="shared" si="180"/>
        <v/>
      </c>
      <c r="E646" t="str">
        <f t="shared" si="181"/>
        <v/>
      </c>
      <c r="F646" t="str">
        <f t="shared" si="182"/>
        <v/>
      </c>
      <c r="G646">
        <f t="shared" si="183"/>
        <v>13.2138364779874</v>
      </c>
    </row>
    <row r="647" spans="2:7">
      <c r="B647" s="46"/>
      <c r="C647" t="str">
        <f t="shared" si="179"/>
        <v/>
      </c>
      <c r="D647" s="63" t="str">
        <f t="shared" si="180"/>
        <v/>
      </c>
      <c r="E647" t="str">
        <f t="shared" si="181"/>
        <v/>
      </c>
      <c r="F647" t="str">
        <f t="shared" si="182"/>
        <v/>
      </c>
      <c r="G647">
        <f t="shared" si="183"/>
        <v>14.7243186582809</v>
      </c>
    </row>
    <row r="648" spans="2:7">
      <c r="B648" s="46"/>
      <c r="C648" t="str">
        <f t="shared" si="179"/>
        <v/>
      </c>
      <c r="D648" s="63" t="str">
        <f t="shared" si="180"/>
        <v/>
      </c>
      <c r="E648" t="str">
        <f t="shared" si="181"/>
        <v/>
      </c>
      <c r="F648">
        <f t="shared" si="182"/>
        <v>9.17630385487529</v>
      </c>
      <c r="G648" t="str">
        <f t="shared" si="183"/>
        <v/>
      </c>
    </row>
    <row r="649" spans="2:7">
      <c r="B649" s="46"/>
      <c r="C649" t="str">
        <f t="shared" si="179"/>
        <v/>
      </c>
      <c r="D649" s="63" t="str">
        <f t="shared" si="180"/>
        <v/>
      </c>
      <c r="E649" t="str">
        <f t="shared" si="181"/>
        <v/>
      </c>
      <c r="F649">
        <f t="shared" si="182"/>
        <v>12.328231292517</v>
      </c>
      <c r="G649" t="str">
        <f t="shared" si="183"/>
        <v/>
      </c>
    </row>
    <row r="650" spans="2:7">
      <c r="B650" s="46"/>
      <c r="C650" t="str">
        <f t="shared" si="179"/>
        <v/>
      </c>
      <c r="D650" s="63" t="str">
        <f t="shared" si="180"/>
        <v/>
      </c>
      <c r="E650" t="str">
        <f t="shared" si="181"/>
        <v/>
      </c>
      <c r="F650">
        <f t="shared" si="182"/>
        <v>15.0017006802721</v>
      </c>
      <c r="G650" t="str">
        <f t="shared" si="183"/>
        <v/>
      </c>
    </row>
    <row r="651" spans="2:7">
      <c r="B651" s="46"/>
      <c r="C651">
        <f t="shared" si="179"/>
        <v>10.328125</v>
      </c>
      <c r="D651" s="63" t="str">
        <f t="shared" si="180"/>
        <v/>
      </c>
      <c r="E651" t="str">
        <f t="shared" si="181"/>
        <v/>
      </c>
      <c r="F651" t="str">
        <f t="shared" si="182"/>
        <v/>
      </c>
      <c r="G651" t="str">
        <f t="shared" si="183"/>
        <v/>
      </c>
    </row>
    <row r="652" ht="15.75" spans="2:7">
      <c r="B652" s="46"/>
      <c r="C652">
        <f t="shared" si="179"/>
        <v>14.5908564814815</v>
      </c>
      <c r="D652" s="63" t="str">
        <f t="shared" si="180"/>
        <v/>
      </c>
      <c r="E652" t="str">
        <f t="shared" si="181"/>
        <v/>
      </c>
      <c r="F652" t="str">
        <f t="shared" si="182"/>
        <v/>
      </c>
      <c r="G652" t="str">
        <f t="shared" si="183"/>
        <v/>
      </c>
    </row>
    <row r="653" spans="2:7">
      <c r="B653" s="74" t="s">
        <v>269</v>
      </c>
      <c r="C653" s="75">
        <f>MAX(C627:C652)</f>
        <v>14.5908564814815</v>
      </c>
      <c r="D653" s="75">
        <f t="shared" ref="D653:G653" si="184">MAX(D627:D652)</f>
        <v>10.268779342723</v>
      </c>
      <c r="E653" s="75">
        <f t="shared" si="184"/>
        <v>14.5833333333333</v>
      </c>
      <c r="F653" s="75">
        <f t="shared" si="184"/>
        <v>15.0017006802721</v>
      </c>
      <c r="G653" s="75">
        <f t="shared" si="184"/>
        <v>14.7243186582809</v>
      </c>
    </row>
    <row r="654" spans="2:7">
      <c r="B654" s="76" t="s">
        <v>270</v>
      </c>
      <c r="C654" s="77">
        <v>1</v>
      </c>
      <c r="D654" s="78">
        <v>2</v>
      </c>
      <c r="E654">
        <v>3</v>
      </c>
      <c r="F654">
        <v>4</v>
      </c>
      <c r="G654">
        <v>5</v>
      </c>
    </row>
    <row r="655" spans="2:7">
      <c r="B655" s="79" t="s">
        <v>271</v>
      </c>
      <c r="C655" s="72">
        <f>HLOOKUP(MIN(C653:G653),C653:G654,2,FALSE)</f>
        <v>2</v>
      </c>
      <c r="D655" s="80"/>
    </row>
    <row r="658" ht="15.75" spans="2:7">
      <c r="B658" s="43" t="s">
        <v>299</v>
      </c>
      <c r="C658" s="44"/>
      <c r="D658" s="45"/>
    </row>
    <row r="659" spans="2:7">
      <c r="B659" s="46"/>
      <c r="C659" s="61" t="s">
        <v>264</v>
      </c>
      <c r="D659" s="61" t="s">
        <v>265</v>
      </c>
      <c r="E659" s="62" t="s">
        <v>286</v>
      </c>
      <c r="F659" s="62" t="s">
        <v>287</v>
      </c>
      <c r="G659" s="62" t="s">
        <v>288</v>
      </c>
    </row>
    <row r="660" spans="2:7">
      <c r="B660" s="46"/>
      <c r="C660">
        <f t="shared" ref="C660:C686" si="185">IF(J8=1,S8,"")</f>
        <v>0.700231481481482</v>
      </c>
      <c r="D660" s="63" t="str">
        <f t="shared" ref="D660:D686" si="186">IF(J8=2,S8,"")</f>
        <v/>
      </c>
      <c r="E660" t="str">
        <f t="shared" ref="E660:E686" si="187">IF(J8=3,S8,"")</f>
        <v/>
      </c>
      <c r="F660" t="str">
        <f t="shared" ref="F660:F686" si="188">IF(J8=4,S8,"")</f>
        <v/>
      </c>
      <c r="G660" t="str">
        <f t="shared" ref="G660:G686" si="189">IF(J8=5,S8,"")</f>
        <v/>
      </c>
    </row>
    <row r="661" spans="2:7">
      <c r="B661" s="46"/>
      <c r="C661" t="str">
        <f t="shared" si="185"/>
        <v/>
      </c>
      <c r="D661" s="63">
        <f t="shared" si="186"/>
        <v>0.734154929577465</v>
      </c>
      <c r="E661" t="str">
        <f t="shared" si="187"/>
        <v/>
      </c>
      <c r="F661" t="str">
        <f t="shared" si="188"/>
        <v/>
      </c>
      <c r="G661" t="str">
        <f t="shared" si="189"/>
        <v/>
      </c>
    </row>
    <row r="662" spans="2:7">
      <c r="B662" s="46"/>
      <c r="C662" t="str">
        <f t="shared" si="185"/>
        <v/>
      </c>
      <c r="D662" s="63" t="str">
        <f t="shared" si="186"/>
        <v/>
      </c>
      <c r="E662">
        <f t="shared" si="187"/>
        <v>1.83823529411765</v>
      </c>
      <c r="F662" t="str">
        <f t="shared" si="188"/>
        <v/>
      </c>
      <c r="G662" t="str">
        <f t="shared" si="189"/>
        <v/>
      </c>
    </row>
    <row r="663" spans="2:7">
      <c r="B663" s="46"/>
      <c r="C663" t="str">
        <f t="shared" si="185"/>
        <v/>
      </c>
      <c r="D663" s="63" t="str">
        <f t="shared" si="186"/>
        <v/>
      </c>
      <c r="E663" t="str">
        <f t="shared" si="187"/>
        <v/>
      </c>
      <c r="F663">
        <f t="shared" si="188"/>
        <v>4.28571428571429</v>
      </c>
      <c r="G663" t="str">
        <f t="shared" si="189"/>
        <v/>
      </c>
    </row>
    <row r="664" spans="2:7">
      <c r="B664" s="46"/>
      <c r="C664" t="str">
        <f t="shared" si="185"/>
        <v/>
      </c>
      <c r="D664" s="63" t="str">
        <f t="shared" si="186"/>
        <v/>
      </c>
      <c r="E664" t="str">
        <f t="shared" si="187"/>
        <v/>
      </c>
      <c r="F664" t="str">
        <f t="shared" si="188"/>
        <v/>
      </c>
      <c r="G664">
        <f t="shared" si="189"/>
        <v>3.43396226415094</v>
      </c>
    </row>
    <row r="665" spans="2:7">
      <c r="B665" s="46"/>
      <c r="C665" t="str">
        <f t="shared" si="185"/>
        <v/>
      </c>
      <c r="D665" s="63" t="str">
        <f t="shared" si="186"/>
        <v/>
      </c>
      <c r="E665">
        <f t="shared" si="187"/>
        <v>14.5833333333333</v>
      </c>
      <c r="F665" t="str">
        <f t="shared" si="188"/>
        <v/>
      </c>
      <c r="G665" t="str">
        <f t="shared" si="189"/>
        <v/>
      </c>
    </row>
    <row r="666" spans="2:7">
      <c r="B666" s="46"/>
      <c r="C666" t="str">
        <f t="shared" si="185"/>
        <v/>
      </c>
      <c r="D666" s="63" t="str">
        <f t="shared" si="186"/>
        <v/>
      </c>
      <c r="E666" t="str">
        <f t="shared" si="187"/>
        <v/>
      </c>
      <c r="F666">
        <f t="shared" si="188"/>
        <v>6.42857142857143</v>
      </c>
      <c r="G666" t="str">
        <f t="shared" si="189"/>
        <v/>
      </c>
    </row>
    <row r="667" spans="2:7">
      <c r="B667" s="46"/>
      <c r="C667" t="str">
        <f t="shared" si="185"/>
        <v/>
      </c>
      <c r="D667" s="63" t="str">
        <f t="shared" si="186"/>
        <v/>
      </c>
      <c r="E667" t="str">
        <f t="shared" si="187"/>
        <v/>
      </c>
      <c r="F667" t="str">
        <f t="shared" si="188"/>
        <v/>
      </c>
      <c r="G667">
        <f t="shared" si="189"/>
        <v>3.84591194968553</v>
      </c>
    </row>
    <row r="668" spans="2:7">
      <c r="B668" s="46"/>
      <c r="C668">
        <f t="shared" si="185"/>
        <v>0.844907407407407</v>
      </c>
      <c r="D668" s="63" t="str">
        <f t="shared" si="186"/>
        <v/>
      </c>
      <c r="E668" t="str">
        <f t="shared" si="187"/>
        <v/>
      </c>
      <c r="F668" t="str">
        <f t="shared" si="188"/>
        <v/>
      </c>
      <c r="G668" t="str">
        <f t="shared" si="189"/>
        <v/>
      </c>
    </row>
    <row r="669" spans="2:7">
      <c r="B669" s="46"/>
      <c r="C669">
        <f t="shared" si="185"/>
        <v>6.79803240740741</v>
      </c>
      <c r="D669" s="63" t="str">
        <f t="shared" si="186"/>
        <v/>
      </c>
      <c r="E669" t="str">
        <f t="shared" si="187"/>
        <v/>
      </c>
      <c r="F669" t="str">
        <f t="shared" si="188"/>
        <v/>
      </c>
      <c r="G669" t="str">
        <f t="shared" si="189"/>
        <v/>
      </c>
    </row>
    <row r="670" spans="2:7">
      <c r="B670" s="46"/>
      <c r="C670">
        <f t="shared" si="185"/>
        <v>6.79803240740741</v>
      </c>
      <c r="D670" s="63" t="str">
        <f t="shared" si="186"/>
        <v/>
      </c>
      <c r="E670" t="str">
        <f t="shared" si="187"/>
        <v/>
      </c>
      <c r="F670" t="str">
        <f t="shared" si="188"/>
        <v/>
      </c>
      <c r="G670" t="str">
        <f t="shared" si="189"/>
        <v/>
      </c>
    </row>
    <row r="671" spans="2:7">
      <c r="B671" s="46"/>
      <c r="C671">
        <f t="shared" si="185"/>
        <v>7.52719907407408</v>
      </c>
      <c r="D671" s="63" t="str">
        <f t="shared" si="186"/>
        <v/>
      </c>
      <c r="E671" t="str">
        <f t="shared" si="187"/>
        <v/>
      </c>
      <c r="F671" t="str">
        <f t="shared" si="188"/>
        <v/>
      </c>
      <c r="G671" t="str">
        <f t="shared" si="189"/>
        <v/>
      </c>
    </row>
    <row r="672" spans="2:7">
      <c r="B672" s="46"/>
      <c r="C672" t="str">
        <f t="shared" si="185"/>
        <v/>
      </c>
      <c r="D672" s="63">
        <f t="shared" si="186"/>
        <v>2.7881455399061</v>
      </c>
      <c r="E672" t="str">
        <f t="shared" si="187"/>
        <v/>
      </c>
      <c r="F672" t="str">
        <f t="shared" si="188"/>
        <v/>
      </c>
      <c r="G672" t="str">
        <f t="shared" si="189"/>
        <v/>
      </c>
    </row>
    <row r="673" spans="2:7">
      <c r="B673" s="46"/>
      <c r="C673" t="str">
        <f t="shared" si="185"/>
        <v/>
      </c>
      <c r="D673" s="63">
        <f t="shared" si="186"/>
        <v>4.47535211267606</v>
      </c>
      <c r="E673" t="str">
        <f t="shared" si="187"/>
        <v/>
      </c>
      <c r="F673" t="str">
        <f t="shared" si="188"/>
        <v/>
      </c>
      <c r="G673" t="str">
        <f t="shared" si="189"/>
        <v/>
      </c>
    </row>
    <row r="674" spans="2:7">
      <c r="B674" s="46"/>
      <c r="C674" t="str">
        <f t="shared" si="185"/>
        <v/>
      </c>
      <c r="D674" s="63">
        <f t="shared" si="186"/>
        <v>6.10680751173709</v>
      </c>
      <c r="E674" t="str">
        <f t="shared" si="187"/>
        <v/>
      </c>
      <c r="F674" t="str">
        <f t="shared" si="188"/>
        <v/>
      </c>
      <c r="G674" t="str">
        <f t="shared" si="189"/>
        <v/>
      </c>
    </row>
    <row r="675" spans="2:7">
      <c r="B675" s="46"/>
      <c r="C675" t="str">
        <f t="shared" si="185"/>
        <v/>
      </c>
      <c r="D675" s="63">
        <f t="shared" si="186"/>
        <v>8.50821596244131</v>
      </c>
      <c r="E675" t="str">
        <f t="shared" si="187"/>
        <v/>
      </c>
      <c r="F675" t="str">
        <f t="shared" si="188"/>
        <v/>
      </c>
      <c r="G675" t="str">
        <f t="shared" si="189"/>
        <v/>
      </c>
    </row>
    <row r="676" spans="2:7">
      <c r="B676" s="46"/>
      <c r="C676" t="str">
        <f t="shared" si="185"/>
        <v/>
      </c>
      <c r="D676" s="63">
        <f t="shared" si="186"/>
        <v>10.268779342723</v>
      </c>
      <c r="E676" t="str">
        <f t="shared" si="187"/>
        <v/>
      </c>
      <c r="F676" t="str">
        <f t="shared" si="188"/>
        <v/>
      </c>
      <c r="G676" t="str">
        <f t="shared" si="189"/>
        <v/>
      </c>
    </row>
    <row r="677" spans="2:7">
      <c r="B677" s="46"/>
      <c r="C677" t="str">
        <f t="shared" si="185"/>
        <v/>
      </c>
      <c r="D677" s="63" t="str">
        <f t="shared" si="186"/>
        <v/>
      </c>
      <c r="E677" t="str">
        <f t="shared" si="187"/>
        <v/>
      </c>
      <c r="F677" t="str">
        <f t="shared" si="188"/>
        <v/>
      </c>
      <c r="G677">
        <f t="shared" si="189"/>
        <v>7.67610062893082</v>
      </c>
    </row>
    <row r="678" spans="2:7">
      <c r="B678" s="46"/>
      <c r="C678" t="str">
        <f t="shared" si="185"/>
        <v/>
      </c>
      <c r="D678" s="63" t="str">
        <f t="shared" si="186"/>
        <v/>
      </c>
      <c r="E678" t="str">
        <f t="shared" si="187"/>
        <v/>
      </c>
      <c r="F678" t="str">
        <f t="shared" si="188"/>
        <v/>
      </c>
      <c r="G678">
        <f t="shared" si="189"/>
        <v>10.3836477987421</v>
      </c>
    </row>
    <row r="679" spans="2:7">
      <c r="B679" s="46"/>
      <c r="C679" t="str">
        <f t="shared" si="185"/>
        <v/>
      </c>
      <c r="D679" s="63" t="str">
        <f t="shared" si="186"/>
        <v/>
      </c>
      <c r="E679" t="str">
        <f t="shared" si="187"/>
        <v/>
      </c>
      <c r="F679" t="str">
        <f t="shared" si="188"/>
        <v/>
      </c>
      <c r="G679">
        <f t="shared" si="189"/>
        <v>13.2138364779874</v>
      </c>
    </row>
    <row r="680" spans="2:7">
      <c r="B680" s="46"/>
      <c r="C680" t="str">
        <f t="shared" si="185"/>
        <v/>
      </c>
      <c r="D680" s="63" t="str">
        <f t="shared" si="186"/>
        <v/>
      </c>
      <c r="E680" t="str">
        <f t="shared" si="187"/>
        <v/>
      </c>
      <c r="F680" t="str">
        <f t="shared" si="188"/>
        <v/>
      </c>
      <c r="G680">
        <f t="shared" si="189"/>
        <v>14.7243186582809</v>
      </c>
    </row>
    <row r="681" spans="2:7">
      <c r="B681" s="46"/>
      <c r="C681" t="str">
        <f t="shared" si="185"/>
        <v/>
      </c>
      <c r="D681" s="63" t="str">
        <f t="shared" si="186"/>
        <v/>
      </c>
      <c r="E681" t="str">
        <f t="shared" si="187"/>
        <v/>
      </c>
      <c r="F681">
        <f t="shared" si="188"/>
        <v>9.17630385487529</v>
      </c>
      <c r="G681" t="str">
        <f t="shared" si="189"/>
        <v/>
      </c>
    </row>
    <row r="682" spans="2:7">
      <c r="B682" s="46"/>
      <c r="C682" t="str">
        <f t="shared" si="185"/>
        <v/>
      </c>
      <c r="D682" s="63" t="str">
        <f t="shared" si="186"/>
        <v/>
      </c>
      <c r="E682" t="str">
        <f t="shared" si="187"/>
        <v/>
      </c>
      <c r="F682">
        <f t="shared" si="188"/>
        <v>12.328231292517</v>
      </c>
      <c r="G682" t="str">
        <f t="shared" si="189"/>
        <v/>
      </c>
    </row>
    <row r="683" spans="2:7">
      <c r="B683" s="46"/>
      <c r="C683" t="str">
        <f t="shared" si="185"/>
        <v/>
      </c>
      <c r="D683" s="63" t="str">
        <f t="shared" si="186"/>
        <v/>
      </c>
      <c r="E683" t="str">
        <f t="shared" si="187"/>
        <v/>
      </c>
      <c r="F683">
        <f t="shared" si="188"/>
        <v>15.0017006802721</v>
      </c>
      <c r="G683" t="str">
        <f t="shared" si="189"/>
        <v/>
      </c>
    </row>
    <row r="684" spans="2:7">
      <c r="B684" s="46"/>
      <c r="C684">
        <f t="shared" si="185"/>
        <v>10.328125</v>
      </c>
      <c r="D684" s="63" t="str">
        <f t="shared" si="186"/>
        <v/>
      </c>
      <c r="E684" t="str">
        <f t="shared" si="187"/>
        <v/>
      </c>
      <c r="F684" t="str">
        <f t="shared" si="188"/>
        <v/>
      </c>
      <c r="G684" t="str">
        <f t="shared" si="189"/>
        <v/>
      </c>
    </row>
    <row r="685" spans="2:7">
      <c r="B685" s="46"/>
      <c r="C685">
        <f t="shared" si="185"/>
        <v>14.5908564814815</v>
      </c>
      <c r="D685" s="63" t="str">
        <f t="shared" si="186"/>
        <v/>
      </c>
      <c r="E685" t="str">
        <f t="shared" si="187"/>
        <v/>
      </c>
      <c r="F685" t="str">
        <f t="shared" si="188"/>
        <v/>
      </c>
      <c r="G685" t="str">
        <f t="shared" si="189"/>
        <v/>
      </c>
    </row>
    <row r="686" ht="15.75" spans="2:7">
      <c r="B686" s="46"/>
      <c r="C686">
        <f t="shared" si="185"/>
        <v>14.9409722222222</v>
      </c>
      <c r="D686" s="63" t="str">
        <f t="shared" si="186"/>
        <v/>
      </c>
      <c r="E686" t="str">
        <f t="shared" si="187"/>
        <v/>
      </c>
      <c r="F686" t="str">
        <f t="shared" si="188"/>
        <v/>
      </c>
      <c r="G686" t="str">
        <f t="shared" si="189"/>
        <v/>
      </c>
    </row>
    <row r="687" spans="2:7">
      <c r="B687" s="74" t="s">
        <v>269</v>
      </c>
      <c r="C687" s="75">
        <f>MAX(C660:C686)</f>
        <v>14.9409722222222</v>
      </c>
      <c r="D687" s="75">
        <f t="shared" ref="D687:G687" si="190">MAX(D660:D686)</f>
        <v>10.268779342723</v>
      </c>
      <c r="E687" s="75">
        <f t="shared" si="190"/>
        <v>14.5833333333333</v>
      </c>
      <c r="F687" s="75">
        <f t="shared" si="190"/>
        <v>15.0017006802721</v>
      </c>
      <c r="G687" s="75">
        <f t="shared" si="190"/>
        <v>14.7243186582809</v>
      </c>
    </row>
    <row r="688" spans="2:7">
      <c r="B688" s="76" t="s">
        <v>270</v>
      </c>
      <c r="C688" s="77">
        <v>1</v>
      </c>
      <c r="D688" s="78">
        <v>2</v>
      </c>
      <c r="E688">
        <v>3</v>
      </c>
      <c r="F688">
        <v>4</v>
      </c>
      <c r="G688">
        <v>5</v>
      </c>
    </row>
    <row r="689" spans="2:7">
      <c r="B689" s="79" t="s">
        <v>271</v>
      </c>
      <c r="C689" s="72">
        <f>HLOOKUP(MIN(C687:G687),C687:G688,2,FALSE)</f>
        <v>2</v>
      </c>
      <c r="D689" s="80"/>
    </row>
    <row r="691" ht="15.75" spans="2:7">
      <c r="B691" s="43" t="s">
        <v>300</v>
      </c>
      <c r="C691" s="44"/>
      <c r="D691" s="45"/>
    </row>
    <row r="692" spans="2:7">
      <c r="B692" s="46"/>
      <c r="C692" s="61" t="s">
        <v>264</v>
      </c>
      <c r="D692" s="61" t="s">
        <v>265</v>
      </c>
      <c r="E692" s="62" t="s">
        <v>286</v>
      </c>
      <c r="F692" s="62" t="s">
        <v>287</v>
      </c>
      <c r="G692" s="62" t="s">
        <v>288</v>
      </c>
    </row>
    <row r="693" spans="2:7">
      <c r="B693" s="46"/>
      <c r="C693">
        <f t="shared" ref="C693:C720" si="191">IF(J8=1,S8,"")</f>
        <v>0.700231481481482</v>
      </c>
      <c r="D693" s="63" t="str">
        <f t="shared" ref="D693:D720" si="192">IF(J8=2,S8,"")</f>
        <v/>
      </c>
      <c r="E693" t="str">
        <f t="shared" ref="E693:E720" si="193">IF(J8=3,S8,"")</f>
        <v/>
      </c>
      <c r="F693" t="str">
        <f t="shared" ref="F693:F720" si="194">IF(J8=4,S8,"")</f>
        <v/>
      </c>
      <c r="G693" t="str">
        <f t="shared" ref="G693:G720" si="195">IF(J8=5,S8,"")</f>
        <v/>
      </c>
    </row>
    <row r="694" spans="2:7">
      <c r="B694" s="46"/>
      <c r="C694" t="str">
        <f t="shared" si="191"/>
        <v/>
      </c>
      <c r="D694" s="63">
        <f t="shared" si="192"/>
        <v>0.734154929577465</v>
      </c>
      <c r="E694" t="str">
        <f t="shared" si="193"/>
        <v/>
      </c>
      <c r="F694" t="str">
        <f t="shared" si="194"/>
        <v/>
      </c>
      <c r="G694" t="str">
        <f t="shared" si="195"/>
        <v/>
      </c>
    </row>
    <row r="695" spans="2:7">
      <c r="B695" s="46"/>
      <c r="C695" t="str">
        <f t="shared" si="191"/>
        <v/>
      </c>
      <c r="D695" s="63" t="str">
        <f t="shared" si="192"/>
        <v/>
      </c>
      <c r="E695">
        <f t="shared" si="193"/>
        <v>1.83823529411765</v>
      </c>
      <c r="F695" t="str">
        <f t="shared" si="194"/>
        <v/>
      </c>
      <c r="G695" t="str">
        <f t="shared" si="195"/>
        <v/>
      </c>
    </row>
    <row r="696" spans="2:7">
      <c r="B696" s="46"/>
      <c r="C696" t="str">
        <f t="shared" si="191"/>
        <v/>
      </c>
      <c r="D696" s="63" t="str">
        <f t="shared" si="192"/>
        <v/>
      </c>
      <c r="E696" t="str">
        <f t="shared" si="193"/>
        <v/>
      </c>
      <c r="F696">
        <f t="shared" si="194"/>
        <v>4.28571428571429</v>
      </c>
      <c r="G696" t="str">
        <f t="shared" si="195"/>
        <v/>
      </c>
    </row>
    <row r="697" spans="2:7">
      <c r="B697" s="46"/>
      <c r="C697" t="str">
        <f t="shared" si="191"/>
        <v/>
      </c>
      <c r="D697" s="63" t="str">
        <f t="shared" si="192"/>
        <v/>
      </c>
      <c r="E697" t="str">
        <f t="shared" si="193"/>
        <v/>
      </c>
      <c r="F697" t="str">
        <f t="shared" si="194"/>
        <v/>
      </c>
      <c r="G697">
        <f t="shared" si="195"/>
        <v>3.43396226415094</v>
      </c>
    </row>
    <row r="698" spans="2:7">
      <c r="B698" s="46"/>
      <c r="C698" t="str">
        <f t="shared" si="191"/>
        <v/>
      </c>
      <c r="D698" s="63" t="str">
        <f t="shared" si="192"/>
        <v/>
      </c>
      <c r="E698">
        <f t="shared" si="193"/>
        <v>14.5833333333333</v>
      </c>
      <c r="F698" t="str">
        <f t="shared" si="194"/>
        <v/>
      </c>
      <c r="G698" t="str">
        <f t="shared" si="195"/>
        <v/>
      </c>
    </row>
    <row r="699" spans="2:7">
      <c r="B699" s="46"/>
      <c r="C699" t="str">
        <f t="shared" si="191"/>
        <v/>
      </c>
      <c r="D699" s="63" t="str">
        <f t="shared" si="192"/>
        <v/>
      </c>
      <c r="E699" t="str">
        <f t="shared" si="193"/>
        <v/>
      </c>
      <c r="F699">
        <f t="shared" si="194"/>
        <v>6.42857142857143</v>
      </c>
      <c r="G699" t="str">
        <f t="shared" si="195"/>
        <v/>
      </c>
    </row>
    <row r="700" spans="2:7">
      <c r="B700" s="46"/>
      <c r="C700" t="str">
        <f t="shared" si="191"/>
        <v/>
      </c>
      <c r="D700" s="63" t="str">
        <f t="shared" si="192"/>
        <v/>
      </c>
      <c r="E700" t="str">
        <f t="shared" si="193"/>
        <v/>
      </c>
      <c r="F700" t="str">
        <f t="shared" si="194"/>
        <v/>
      </c>
      <c r="G700">
        <f t="shared" si="195"/>
        <v>3.84591194968553</v>
      </c>
    </row>
    <row r="701" spans="2:7">
      <c r="B701" s="46"/>
      <c r="C701">
        <f t="shared" si="191"/>
        <v>0.844907407407407</v>
      </c>
      <c r="D701" s="63" t="str">
        <f t="shared" si="192"/>
        <v/>
      </c>
      <c r="E701" t="str">
        <f t="shared" si="193"/>
        <v/>
      </c>
      <c r="F701" t="str">
        <f t="shared" si="194"/>
        <v/>
      </c>
      <c r="G701" t="str">
        <f t="shared" si="195"/>
        <v/>
      </c>
    </row>
    <row r="702" spans="2:7">
      <c r="B702" s="46"/>
      <c r="C702">
        <f t="shared" si="191"/>
        <v>6.79803240740741</v>
      </c>
      <c r="D702" s="63" t="str">
        <f t="shared" si="192"/>
        <v/>
      </c>
      <c r="E702" t="str">
        <f t="shared" si="193"/>
        <v/>
      </c>
      <c r="F702" t="str">
        <f t="shared" si="194"/>
        <v/>
      </c>
      <c r="G702" t="str">
        <f t="shared" si="195"/>
        <v/>
      </c>
    </row>
    <row r="703" spans="2:7">
      <c r="B703" s="46"/>
      <c r="C703">
        <f t="shared" si="191"/>
        <v>6.79803240740741</v>
      </c>
      <c r="D703" s="63" t="str">
        <f t="shared" si="192"/>
        <v/>
      </c>
      <c r="E703" t="str">
        <f t="shared" si="193"/>
        <v/>
      </c>
      <c r="F703" t="str">
        <f t="shared" si="194"/>
        <v/>
      </c>
      <c r="G703" t="str">
        <f t="shared" si="195"/>
        <v/>
      </c>
    </row>
    <row r="704" spans="2:7">
      <c r="B704" s="46"/>
      <c r="C704">
        <f t="shared" si="191"/>
        <v>7.52719907407408</v>
      </c>
      <c r="D704" s="63" t="str">
        <f t="shared" si="192"/>
        <v/>
      </c>
      <c r="E704" t="str">
        <f t="shared" si="193"/>
        <v/>
      </c>
      <c r="F704" t="str">
        <f t="shared" si="194"/>
        <v/>
      </c>
      <c r="G704" t="str">
        <f t="shared" si="195"/>
        <v/>
      </c>
    </row>
    <row r="705" spans="2:7">
      <c r="B705" s="46"/>
      <c r="C705" t="str">
        <f t="shared" si="191"/>
        <v/>
      </c>
      <c r="D705" s="63">
        <f t="shared" si="192"/>
        <v>2.7881455399061</v>
      </c>
      <c r="E705" t="str">
        <f t="shared" si="193"/>
        <v/>
      </c>
      <c r="F705" t="str">
        <f t="shared" si="194"/>
        <v/>
      </c>
      <c r="G705" t="str">
        <f t="shared" si="195"/>
        <v/>
      </c>
    </row>
    <row r="706" spans="2:7">
      <c r="B706" s="46"/>
      <c r="C706" t="str">
        <f t="shared" si="191"/>
        <v/>
      </c>
      <c r="D706" s="63">
        <f t="shared" si="192"/>
        <v>4.47535211267606</v>
      </c>
      <c r="E706" t="str">
        <f t="shared" si="193"/>
        <v/>
      </c>
      <c r="F706" t="str">
        <f t="shared" si="194"/>
        <v/>
      </c>
      <c r="G706" t="str">
        <f t="shared" si="195"/>
        <v/>
      </c>
    </row>
    <row r="707" spans="2:7">
      <c r="B707" s="46"/>
      <c r="C707" t="str">
        <f t="shared" si="191"/>
        <v/>
      </c>
      <c r="D707" s="63">
        <f t="shared" si="192"/>
        <v>6.10680751173709</v>
      </c>
      <c r="E707" t="str">
        <f t="shared" si="193"/>
        <v/>
      </c>
      <c r="F707" t="str">
        <f t="shared" si="194"/>
        <v/>
      </c>
      <c r="G707" t="str">
        <f t="shared" si="195"/>
        <v/>
      </c>
    </row>
    <row r="708" spans="2:7">
      <c r="B708" s="46"/>
      <c r="C708" t="str">
        <f t="shared" si="191"/>
        <v/>
      </c>
      <c r="D708" s="63">
        <f t="shared" si="192"/>
        <v>8.50821596244131</v>
      </c>
      <c r="E708" t="str">
        <f t="shared" si="193"/>
        <v/>
      </c>
      <c r="F708" t="str">
        <f t="shared" si="194"/>
        <v/>
      </c>
      <c r="G708" t="str">
        <f t="shared" si="195"/>
        <v/>
      </c>
    </row>
    <row r="709" spans="2:7">
      <c r="B709" s="46"/>
      <c r="C709" t="str">
        <f t="shared" si="191"/>
        <v/>
      </c>
      <c r="D709" s="63">
        <f t="shared" si="192"/>
        <v>10.268779342723</v>
      </c>
      <c r="E709" t="str">
        <f t="shared" si="193"/>
        <v/>
      </c>
      <c r="F709" t="str">
        <f t="shared" si="194"/>
        <v/>
      </c>
      <c r="G709" t="str">
        <f t="shared" si="195"/>
        <v/>
      </c>
    </row>
    <row r="710" spans="2:7">
      <c r="B710" s="46"/>
      <c r="C710" t="str">
        <f t="shared" si="191"/>
        <v/>
      </c>
      <c r="D710" s="63" t="str">
        <f t="shared" si="192"/>
        <v/>
      </c>
      <c r="E710" t="str">
        <f t="shared" si="193"/>
        <v/>
      </c>
      <c r="F710" t="str">
        <f t="shared" si="194"/>
        <v/>
      </c>
      <c r="G710">
        <f t="shared" si="195"/>
        <v>7.67610062893082</v>
      </c>
    </row>
    <row r="711" spans="2:7">
      <c r="B711" s="46"/>
      <c r="C711" t="str">
        <f t="shared" si="191"/>
        <v/>
      </c>
      <c r="D711" s="63" t="str">
        <f t="shared" si="192"/>
        <v/>
      </c>
      <c r="E711" t="str">
        <f t="shared" si="193"/>
        <v/>
      </c>
      <c r="F711" t="str">
        <f t="shared" si="194"/>
        <v/>
      </c>
      <c r="G711">
        <f t="shared" si="195"/>
        <v>10.3836477987421</v>
      </c>
    </row>
    <row r="712" spans="2:7">
      <c r="B712" s="46"/>
      <c r="C712" t="str">
        <f t="shared" si="191"/>
        <v/>
      </c>
      <c r="D712" s="63" t="str">
        <f t="shared" si="192"/>
        <v/>
      </c>
      <c r="E712" t="str">
        <f t="shared" si="193"/>
        <v/>
      </c>
      <c r="F712" t="str">
        <f t="shared" si="194"/>
        <v/>
      </c>
      <c r="G712">
        <f t="shared" si="195"/>
        <v>13.2138364779874</v>
      </c>
    </row>
    <row r="713" spans="2:7">
      <c r="B713" s="46"/>
      <c r="C713" t="str">
        <f t="shared" si="191"/>
        <v/>
      </c>
      <c r="D713" s="63" t="str">
        <f t="shared" si="192"/>
        <v/>
      </c>
      <c r="E713" t="str">
        <f t="shared" si="193"/>
        <v/>
      </c>
      <c r="F713" t="str">
        <f t="shared" si="194"/>
        <v/>
      </c>
      <c r="G713">
        <f t="shared" si="195"/>
        <v>14.7243186582809</v>
      </c>
    </row>
    <row r="714" spans="2:7">
      <c r="B714" s="46"/>
      <c r="C714" t="str">
        <f t="shared" si="191"/>
        <v/>
      </c>
      <c r="D714" s="63" t="str">
        <f t="shared" si="192"/>
        <v/>
      </c>
      <c r="E714" t="str">
        <f t="shared" si="193"/>
        <v/>
      </c>
      <c r="F714">
        <f t="shared" si="194"/>
        <v>9.17630385487529</v>
      </c>
      <c r="G714" t="str">
        <f t="shared" si="195"/>
        <v/>
      </c>
    </row>
    <row r="715" spans="2:7">
      <c r="B715" s="46"/>
      <c r="C715" t="str">
        <f t="shared" si="191"/>
        <v/>
      </c>
      <c r="D715" s="63" t="str">
        <f t="shared" si="192"/>
        <v/>
      </c>
      <c r="E715" t="str">
        <f t="shared" si="193"/>
        <v/>
      </c>
      <c r="F715">
        <f t="shared" si="194"/>
        <v>12.328231292517</v>
      </c>
      <c r="G715" t="str">
        <f t="shared" si="195"/>
        <v/>
      </c>
    </row>
    <row r="716" spans="2:7">
      <c r="B716" s="46"/>
      <c r="C716" t="str">
        <f t="shared" si="191"/>
        <v/>
      </c>
      <c r="D716" s="63" t="str">
        <f t="shared" si="192"/>
        <v/>
      </c>
      <c r="E716" t="str">
        <f t="shared" si="193"/>
        <v/>
      </c>
      <c r="F716">
        <f t="shared" si="194"/>
        <v>15.0017006802721</v>
      </c>
      <c r="G716" t="str">
        <f t="shared" si="195"/>
        <v/>
      </c>
    </row>
    <row r="717" spans="2:7">
      <c r="B717" s="46"/>
      <c r="C717">
        <f t="shared" si="191"/>
        <v>10.328125</v>
      </c>
      <c r="D717" s="63" t="str">
        <f t="shared" si="192"/>
        <v/>
      </c>
      <c r="E717" t="str">
        <f t="shared" si="193"/>
        <v/>
      </c>
      <c r="F717" t="str">
        <f t="shared" si="194"/>
        <v/>
      </c>
      <c r="G717" t="str">
        <f t="shared" si="195"/>
        <v/>
      </c>
    </row>
    <row r="718" spans="2:7">
      <c r="B718" s="46"/>
      <c r="C718">
        <f t="shared" si="191"/>
        <v>14.5908564814815</v>
      </c>
      <c r="D718" s="63" t="str">
        <f t="shared" si="192"/>
        <v/>
      </c>
      <c r="E718" t="str">
        <f t="shared" si="193"/>
        <v/>
      </c>
      <c r="F718" t="str">
        <f t="shared" si="194"/>
        <v/>
      </c>
      <c r="G718" t="str">
        <f t="shared" si="195"/>
        <v/>
      </c>
    </row>
    <row r="719" spans="2:7">
      <c r="B719" s="46"/>
      <c r="C719">
        <f t="shared" si="191"/>
        <v>14.9409722222222</v>
      </c>
      <c r="D719" s="63" t="str">
        <f t="shared" si="192"/>
        <v/>
      </c>
      <c r="E719" t="str">
        <f t="shared" si="193"/>
        <v/>
      </c>
      <c r="F719" t="str">
        <f t="shared" si="194"/>
        <v/>
      </c>
      <c r="G719" t="str">
        <f t="shared" si="195"/>
        <v/>
      </c>
    </row>
    <row r="720" ht="15.75" spans="2:7">
      <c r="B720" s="46"/>
      <c r="C720">
        <f t="shared" si="191"/>
        <v>19.2465277777778</v>
      </c>
      <c r="D720" s="63" t="str">
        <f t="shared" si="192"/>
        <v/>
      </c>
      <c r="E720" t="str">
        <f t="shared" si="193"/>
        <v/>
      </c>
      <c r="F720" t="str">
        <f t="shared" si="194"/>
        <v/>
      </c>
      <c r="G720" t="str">
        <f t="shared" si="195"/>
        <v/>
      </c>
    </row>
    <row r="721" spans="2:7">
      <c r="B721" s="74" t="s">
        <v>269</v>
      </c>
      <c r="C721" s="75">
        <f>MAX(C693:C720)</f>
        <v>19.2465277777778</v>
      </c>
      <c r="D721" s="75">
        <f t="shared" ref="D721:G721" si="196">MAX(D693:D720)</f>
        <v>10.268779342723</v>
      </c>
      <c r="E721" s="75">
        <f t="shared" si="196"/>
        <v>14.5833333333333</v>
      </c>
      <c r="F721" s="75">
        <f t="shared" si="196"/>
        <v>15.0017006802721</v>
      </c>
      <c r="G721" s="75">
        <f t="shared" si="196"/>
        <v>14.7243186582809</v>
      </c>
    </row>
    <row r="722" spans="2:7">
      <c r="B722" s="76" t="s">
        <v>270</v>
      </c>
      <c r="C722" s="77">
        <v>1</v>
      </c>
      <c r="D722" s="78">
        <v>2</v>
      </c>
      <c r="E722">
        <v>3</v>
      </c>
      <c r="F722">
        <v>4</v>
      </c>
      <c r="G722">
        <v>5</v>
      </c>
    </row>
    <row r="723" spans="2:7">
      <c r="B723" s="79" t="s">
        <v>271</v>
      </c>
      <c r="C723" s="72">
        <f>HLOOKUP(MIN(C721:G721),C721:G722,2,FALSE)</f>
        <v>2</v>
      </c>
      <c r="D723" s="80"/>
    </row>
    <row r="725" ht="15.75" spans="2:7">
      <c r="B725" s="43" t="s">
        <v>301</v>
      </c>
      <c r="C725" s="44"/>
      <c r="D725" s="45"/>
    </row>
    <row r="726" spans="2:7">
      <c r="B726" s="46"/>
      <c r="C726" s="61" t="s">
        <v>264</v>
      </c>
      <c r="D726" s="61" t="s">
        <v>265</v>
      </c>
      <c r="E726" s="62" t="s">
        <v>286</v>
      </c>
      <c r="F726" s="62" t="s">
        <v>287</v>
      </c>
      <c r="G726" s="62" t="s">
        <v>288</v>
      </c>
    </row>
    <row r="727" spans="2:7">
      <c r="B727" s="46"/>
      <c r="C727">
        <f t="shared" ref="C727:C755" si="197">IF(J8=1,S8,"")</f>
        <v>0.700231481481482</v>
      </c>
      <c r="D727" s="63" t="str">
        <f t="shared" ref="D727:D755" si="198">IF(J8=2,S8,"")</f>
        <v/>
      </c>
      <c r="E727" t="str">
        <f t="shared" ref="E727:E755" si="199">IF(J8=3,S8,"")</f>
        <v/>
      </c>
      <c r="F727" t="str">
        <f t="shared" ref="F727:F755" si="200">IF(J8=4,S8,"")</f>
        <v/>
      </c>
      <c r="G727" t="str">
        <f t="shared" ref="G727:G755" si="201">IF(J8=5,S8,"")</f>
        <v/>
      </c>
    </row>
    <row r="728" spans="2:7">
      <c r="B728" s="46"/>
      <c r="C728" t="str">
        <f t="shared" si="197"/>
        <v/>
      </c>
      <c r="D728" s="63">
        <f t="shared" si="198"/>
        <v>0.734154929577465</v>
      </c>
      <c r="E728" t="str">
        <f t="shared" si="199"/>
        <v/>
      </c>
      <c r="F728" t="str">
        <f t="shared" si="200"/>
        <v/>
      </c>
      <c r="G728" t="str">
        <f t="shared" si="201"/>
        <v/>
      </c>
    </row>
    <row r="729" spans="2:7">
      <c r="B729" s="46"/>
      <c r="C729" t="str">
        <f t="shared" si="197"/>
        <v/>
      </c>
      <c r="D729" s="63" t="str">
        <f t="shared" si="198"/>
        <v/>
      </c>
      <c r="E729">
        <f t="shared" si="199"/>
        <v>1.83823529411765</v>
      </c>
      <c r="F729" t="str">
        <f t="shared" si="200"/>
        <v/>
      </c>
      <c r="G729" t="str">
        <f t="shared" si="201"/>
        <v/>
      </c>
    </row>
    <row r="730" spans="2:7">
      <c r="B730" s="46"/>
      <c r="C730" t="str">
        <f t="shared" si="197"/>
        <v/>
      </c>
      <c r="D730" s="63" t="str">
        <f t="shared" si="198"/>
        <v/>
      </c>
      <c r="E730" t="str">
        <f t="shared" si="199"/>
        <v/>
      </c>
      <c r="F730">
        <f t="shared" si="200"/>
        <v>4.28571428571429</v>
      </c>
      <c r="G730" t="str">
        <f t="shared" si="201"/>
        <v/>
      </c>
    </row>
    <row r="731" spans="2:7">
      <c r="B731" s="46"/>
      <c r="C731" t="str">
        <f t="shared" si="197"/>
        <v/>
      </c>
      <c r="D731" s="63" t="str">
        <f t="shared" si="198"/>
        <v/>
      </c>
      <c r="E731" t="str">
        <f t="shared" si="199"/>
        <v/>
      </c>
      <c r="F731" t="str">
        <f t="shared" si="200"/>
        <v/>
      </c>
      <c r="G731">
        <f t="shared" si="201"/>
        <v>3.43396226415094</v>
      </c>
    </row>
    <row r="732" spans="2:7">
      <c r="B732" s="46"/>
      <c r="C732" t="str">
        <f t="shared" si="197"/>
        <v/>
      </c>
      <c r="D732" s="63" t="str">
        <f t="shared" si="198"/>
        <v/>
      </c>
      <c r="E732">
        <f t="shared" si="199"/>
        <v>14.5833333333333</v>
      </c>
      <c r="F732" t="str">
        <f t="shared" si="200"/>
        <v/>
      </c>
      <c r="G732" t="str">
        <f t="shared" si="201"/>
        <v/>
      </c>
    </row>
    <row r="733" spans="2:7">
      <c r="B733" s="46"/>
      <c r="C733" t="str">
        <f t="shared" si="197"/>
        <v/>
      </c>
      <c r="D733" s="63" t="str">
        <f t="shared" si="198"/>
        <v/>
      </c>
      <c r="E733" t="str">
        <f t="shared" si="199"/>
        <v/>
      </c>
      <c r="F733">
        <f t="shared" si="200"/>
        <v>6.42857142857143</v>
      </c>
      <c r="G733" t="str">
        <f t="shared" si="201"/>
        <v/>
      </c>
    </row>
    <row r="734" spans="2:7">
      <c r="B734" s="46"/>
      <c r="C734" t="str">
        <f t="shared" si="197"/>
        <v/>
      </c>
      <c r="D734" s="63" t="str">
        <f t="shared" si="198"/>
        <v/>
      </c>
      <c r="E734" t="str">
        <f t="shared" si="199"/>
        <v/>
      </c>
      <c r="F734" t="str">
        <f t="shared" si="200"/>
        <v/>
      </c>
      <c r="G734">
        <f t="shared" si="201"/>
        <v>3.84591194968553</v>
      </c>
    </row>
    <row r="735" spans="2:7">
      <c r="B735" s="46"/>
      <c r="C735">
        <f t="shared" si="197"/>
        <v>0.844907407407407</v>
      </c>
      <c r="D735" s="63" t="str">
        <f t="shared" si="198"/>
        <v/>
      </c>
      <c r="E735" t="str">
        <f t="shared" si="199"/>
        <v/>
      </c>
      <c r="F735" t="str">
        <f t="shared" si="200"/>
        <v/>
      </c>
      <c r="G735" t="str">
        <f t="shared" si="201"/>
        <v/>
      </c>
    </row>
    <row r="736" spans="2:7">
      <c r="B736" s="46"/>
      <c r="C736">
        <f t="shared" si="197"/>
        <v>6.79803240740741</v>
      </c>
      <c r="D736" s="63" t="str">
        <f t="shared" si="198"/>
        <v/>
      </c>
      <c r="E736" t="str">
        <f t="shared" si="199"/>
        <v/>
      </c>
      <c r="F736" t="str">
        <f t="shared" si="200"/>
        <v/>
      </c>
      <c r="G736" t="str">
        <f t="shared" si="201"/>
        <v/>
      </c>
    </row>
    <row r="737" spans="2:7">
      <c r="B737" s="46"/>
      <c r="C737">
        <f t="shared" si="197"/>
        <v>6.79803240740741</v>
      </c>
      <c r="D737" s="63" t="str">
        <f t="shared" si="198"/>
        <v/>
      </c>
      <c r="E737" t="str">
        <f t="shared" si="199"/>
        <v/>
      </c>
      <c r="F737" t="str">
        <f t="shared" si="200"/>
        <v/>
      </c>
      <c r="G737" t="str">
        <f t="shared" si="201"/>
        <v/>
      </c>
    </row>
    <row r="738" spans="2:7">
      <c r="B738" s="46"/>
      <c r="C738">
        <f t="shared" si="197"/>
        <v>7.52719907407408</v>
      </c>
      <c r="D738" s="63" t="str">
        <f t="shared" si="198"/>
        <v/>
      </c>
      <c r="E738" t="str">
        <f t="shared" si="199"/>
        <v/>
      </c>
      <c r="F738" t="str">
        <f t="shared" si="200"/>
        <v/>
      </c>
      <c r="G738" t="str">
        <f t="shared" si="201"/>
        <v/>
      </c>
    </row>
    <row r="739" spans="2:7">
      <c r="B739" s="46"/>
      <c r="C739" t="str">
        <f t="shared" si="197"/>
        <v/>
      </c>
      <c r="D739" s="63">
        <f t="shared" si="198"/>
        <v>2.7881455399061</v>
      </c>
      <c r="E739" t="str">
        <f t="shared" si="199"/>
        <v/>
      </c>
      <c r="F739" t="str">
        <f t="shared" si="200"/>
        <v/>
      </c>
      <c r="G739" t="str">
        <f t="shared" si="201"/>
        <v/>
      </c>
    </row>
    <row r="740" spans="2:7">
      <c r="B740" s="46"/>
      <c r="C740" t="str">
        <f t="shared" si="197"/>
        <v/>
      </c>
      <c r="D740" s="63">
        <f t="shared" si="198"/>
        <v>4.47535211267606</v>
      </c>
      <c r="E740" t="str">
        <f t="shared" si="199"/>
        <v/>
      </c>
      <c r="F740" t="str">
        <f t="shared" si="200"/>
        <v/>
      </c>
      <c r="G740" t="str">
        <f t="shared" si="201"/>
        <v/>
      </c>
    </row>
    <row r="741" spans="2:7">
      <c r="B741" s="46"/>
      <c r="C741" t="str">
        <f t="shared" si="197"/>
        <v/>
      </c>
      <c r="D741" s="63">
        <f t="shared" si="198"/>
        <v>6.10680751173709</v>
      </c>
      <c r="E741" t="str">
        <f t="shared" si="199"/>
        <v/>
      </c>
      <c r="F741" t="str">
        <f t="shared" si="200"/>
        <v/>
      </c>
      <c r="G741" t="str">
        <f t="shared" si="201"/>
        <v/>
      </c>
    </row>
    <row r="742" spans="2:7">
      <c r="B742" s="46"/>
      <c r="C742" t="str">
        <f t="shared" si="197"/>
        <v/>
      </c>
      <c r="D742" s="63">
        <f t="shared" si="198"/>
        <v>8.50821596244131</v>
      </c>
      <c r="E742" t="str">
        <f t="shared" si="199"/>
        <v/>
      </c>
      <c r="F742" t="str">
        <f t="shared" si="200"/>
        <v/>
      </c>
      <c r="G742" t="str">
        <f t="shared" si="201"/>
        <v/>
      </c>
    </row>
    <row r="743" spans="2:7">
      <c r="B743" s="46"/>
      <c r="C743" t="str">
        <f t="shared" si="197"/>
        <v/>
      </c>
      <c r="D743" s="63">
        <f t="shared" si="198"/>
        <v>10.268779342723</v>
      </c>
      <c r="E743" t="str">
        <f t="shared" si="199"/>
        <v/>
      </c>
      <c r="F743" t="str">
        <f t="shared" si="200"/>
        <v/>
      </c>
      <c r="G743" t="str">
        <f t="shared" si="201"/>
        <v/>
      </c>
    </row>
    <row r="744" spans="2:7">
      <c r="B744" s="46"/>
      <c r="C744" t="str">
        <f t="shared" si="197"/>
        <v/>
      </c>
      <c r="D744" s="63" t="str">
        <f t="shared" si="198"/>
        <v/>
      </c>
      <c r="E744" t="str">
        <f t="shared" si="199"/>
        <v/>
      </c>
      <c r="F744" t="str">
        <f t="shared" si="200"/>
        <v/>
      </c>
      <c r="G744">
        <f t="shared" si="201"/>
        <v>7.67610062893082</v>
      </c>
    </row>
    <row r="745" spans="2:7">
      <c r="B745" s="46"/>
      <c r="C745" t="str">
        <f t="shared" si="197"/>
        <v/>
      </c>
      <c r="D745" s="63" t="str">
        <f t="shared" si="198"/>
        <v/>
      </c>
      <c r="E745" t="str">
        <f t="shared" si="199"/>
        <v/>
      </c>
      <c r="F745" t="str">
        <f t="shared" si="200"/>
        <v/>
      </c>
      <c r="G745">
        <f t="shared" si="201"/>
        <v>10.3836477987421</v>
      </c>
    </row>
    <row r="746" spans="2:7">
      <c r="B746" s="46"/>
      <c r="C746" t="str">
        <f t="shared" si="197"/>
        <v/>
      </c>
      <c r="D746" s="63" t="str">
        <f t="shared" si="198"/>
        <v/>
      </c>
      <c r="E746" t="str">
        <f t="shared" si="199"/>
        <v/>
      </c>
      <c r="F746" t="str">
        <f t="shared" si="200"/>
        <v/>
      </c>
      <c r="G746">
        <f t="shared" si="201"/>
        <v>13.2138364779874</v>
      </c>
    </row>
    <row r="747" spans="2:7">
      <c r="B747" s="46"/>
      <c r="C747" t="str">
        <f t="shared" si="197"/>
        <v/>
      </c>
      <c r="D747" s="63" t="str">
        <f t="shared" si="198"/>
        <v/>
      </c>
      <c r="E747" t="str">
        <f t="shared" si="199"/>
        <v/>
      </c>
      <c r="F747" t="str">
        <f t="shared" si="200"/>
        <v/>
      </c>
      <c r="G747">
        <f t="shared" si="201"/>
        <v>14.7243186582809</v>
      </c>
    </row>
    <row r="748" spans="2:7">
      <c r="B748" s="46"/>
      <c r="C748" t="str">
        <f t="shared" si="197"/>
        <v/>
      </c>
      <c r="D748" s="63" t="str">
        <f t="shared" si="198"/>
        <v/>
      </c>
      <c r="E748" t="str">
        <f t="shared" si="199"/>
        <v/>
      </c>
      <c r="F748">
        <f t="shared" si="200"/>
        <v>9.17630385487529</v>
      </c>
      <c r="G748" t="str">
        <f t="shared" si="201"/>
        <v/>
      </c>
    </row>
    <row r="749" spans="2:7">
      <c r="B749" s="46"/>
      <c r="C749" t="str">
        <f t="shared" si="197"/>
        <v/>
      </c>
      <c r="D749" s="63" t="str">
        <f t="shared" si="198"/>
        <v/>
      </c>
      <c r="E749" t="str">
        <f t="shared" si="199"/>
        <v/>
      </c>
      <c r="F749">
        <f t="shared" si="200"/>
        <v>12.328231292517</v>
      </c>
      <c r="G749" t="str">
        <f t="shared" si="201"/>
        <v/>
      </c>
    </row>
    <row r="750" spans="2:7">
      <c r="B750" s="46"/>
      <c r="C750" t="str">
        <f t="shared" si="197"/>
        <v/>
      </c>
      <c r="D750" s="63" t="str">
        <f t="shared" si="198"/>
        <v/>
      </c>
      <c r="E750" t="str">
        <f t="shared" si="199"/>
        <v/>
      </c>
      <c r="F750">
        <f t="shared" si="200"/>
        <v>15.0017006802721</v>
      </c>
      <c r="G750" t="str">
        <f t="shared" si="201"/>
        <v/>
      </c>
    </row>
    <row r="751" spans="2:7">
      <c r="B751" s="46"/>
      <c r="C751">
        <f t="shared" si="197"/>
        <v>10.328125</v>
      </c>
      <c r="D751" s="63" t="str">
        <f t="shared" si="198"/>
        <v/>
      </c>
      <c r="E751" t="str">
        <f t="shared" si="199"/>
        <v/>
      </c>
      <c r="F751" t="str">
        <f t="shared" si="200"/>
        <v/>
      </c>
      <c r="G751" t="str">
        <f t="shared" si="201"/>
        <v/>
      </c>
    </row>
    <row r="752" spans="2:7">
      <c r="B752" s="46"/>
      <c r="C752">
        <f t="shared" si="197"/>
        <v>14.5908564814815</v>
      </c>
      <c r="D752" s="63" t="str">
        <f t="shared" si="198"/>
        <v/>
      </c>
      <c r="E752" t="str">
        <f t="shared" si="199"/>
        <v/>
      </c>
      <c r="F752" t="str">
        <f t="shared" si="200"/>
        <v/>
      </c>
      <c r="G752" t="str">
        <f t="shared" si="201"/>
        <v/>
      </c>
    </row>
    <row r="753" spans="2:7">
      <c r="B753" s="46"/>
      <c r="C753">
        <f t="shared" si="197"/>
        <v>14.9409722222222</v>
      </c>
      <c r="D753" s="63" t="str">
        <f t="shared" si="198"/>
        <v/>
      </c>
      <c r="E753" t="str">
        <f t="shared" si="199"/>
        <v/>
      </c>
      <c r="F753" t="str">
        <f t="shared" si="200"/>
        <v/>
      </c>
      <c r="G753" t="str">
        <f t="shared" si="201"/>
        <v/>
      </c>
    </row>
    <row r="754" spans="2:7">
      <c r="B754" s="46"/>
      <c r="C754">
        <f t="shared" si="197"/>
        <v>19.2465277777778</v>
      </c>
      <c r="D754" s="63" t="str">
        <f t="shared" si="198"/>
        <v/>
      </c>
      <c r="E754" t="str">
        <f t="shared" si="199"/>
        <v/>
      </c>
      <c r="F754" t="str">
        <f t="shared" si="200"/>
        <v/>
      </c>
      <c r="G754" t="str">
        <f t="shared" si="201"/>
        <v/>
      </c>
    </row>
    <row r="755" ht="15.75" spans="2:7">
      <c r="B755" s="46"/>
      <c r="C755" t="str">
        <f t="shared" si="197"/>
        <v/>
      </c>
      <c r="D755" s="63">
        <f t="shared" si="198"/>
        <v>15.0340375586854</v>
      </c>
      <c r="E755" t="str">
        <f t="shared" si="199"/>
        <v/>
      </c>
      <c r="F755" t="str">
        <f t="shared" si="200"/>
        <v/>
      </c>
      <c r="G755" t="str">
        <f t="shared" si="201"/>
        <v/>
      </c>
    </row>
    <row r="756" spans="2:7">
      <c r="B756" s="74" t="s">
        <v>269</v>
      </c>
      <c r="C756" s="75">
        <f>MAX(C727:C755)</f>
        <v>19.2465277777778</v>
      </c>
      <c r="D756" s="75">
        <f t="shared" ref="D756:G756" si="202">MAX(D727:D755)</f>
        <v>15.0340375586854</v>
      </c>
      <c r="E756" s="75">
        <f t="shared" si="202"/>
        <v>14.5833333333333</v>
      </c>
      <c r="F756" s="75">
        <f t="shared" si="202"/>
        <v>15.0017006802721</v>
      </c>
      <c r="G756" s="75">
        <f t="shared" si="202"/>
        <v>14.7243186582809</v>
      </c>
    </row>
    <row r="757" spans="2:7">
      <c r="B757" s="76" t="s">
        <v>270</v>
      </c>
      <c r="C757" s="77">
        <v>1</v>
      </c>
      <c r="D757" s="78">
        <v>2</v>
      </c>
      <c r="E757">
        <v>3</v>
      </c>
      <c r="F757">
        <v>4</v>
      </c>
      <c r="G757">
        <v>5</v>
      </c>
    </row>
    <row r="758" spans="2:7">
      <c r="B758" s="79" t="s">
        <v>271</v>
      </c>
      <c r="C758" s="72">
        <f>HLOOKUP(MIN(C756:G756),C756:G757,2,FALSE)</f>
        <v>3</v>
      </c>
      <c r="D758" s="80"/>
    </row>
    <row r="760" ht="15.75" spans="2:7">
      <c r="B760" s="43" t="s">
        <v>302</v>
      </c>
      <c r="C760" s="44"/>
      <c r="D760" s="45"/>
    </row>
    <row r="761" spans="2:7">
      <c r="B761" s="46"/>
      <c r="C761" s="61" t="s">
        <v>264</v>
      </c>
      <c r="D761" s="61" t="s">
        <v>265</v>
      </c>
      <c r="E761" s="62" t="s">
        <v>286</v>
      </c>
      <c r="F761" s="62" t="s">
        <v>287</v>
      </c>
      <c r="G761" s="62" t="s">
        <v>288</v>
      </c>
    </row>
    <row r="762" spans="2:7">
      <c r="B762" s="46"/>
      <c r="C762">
        <f>IF(J8=1,S8,"")</f>
        <v>0.700231481481482</v>
      </c>
      <c r="D762" s="63" t="str">
        <f>IF(J8=2,S8,"")</f>
        <v/>
      </c>
      <c r="E762" t="str">
        <f>IF(J8=3,S8,"")</f>
        <v/>
      </c>
      <c r="F762" t="str">
        <f>IF(J8=4,S8,"")</f>
        <v/>
      </c>
      <c r="G762" t="str">
        <f>IF(J8=5,S8,"")</f>
        <v/>
      </c>
    </row>
    <row r="763" spans="2:7">
      <c r="B763" s="46"/>
      <c r="C763" t="str">
        <f t="shared" ref="C763:C791" si="203">IF(J9=1,S9,"")</f>
        <v/>
      </c>
      <c r="D763" s="63">
        <f t="shared" ref="D763:D791" si="204">IF(J9=2,S9,"")</f>
        <v>0.734154929577465</v>
      </c>
      <c r="E763" t="str">
        <f t="shared" ref="E763:E791" si="205">IF(J9=3,S9,"")</f>
        <v/>
      </c>
      <c r="F763" t="str">
        <f t="shared" ref="F763:F791" si="206">IF(J9=4,S9,"")</f>
        <v/>
      </c>
      <c r="G763" t="str">
        <f t="shared" ref="G763:G791" si="207">IF(J9=5,S9,"")</f>
        <v/>
      </c>
    </row>
    <row r="764" spans="2:7">
      <c r="B764" s="46"/>
      <c r="C764" t="str">
        <f t="shared" si="203"/>
        <v/>
      </c>
      <c r="D764" s="63" t="str">
        <f t="shared" si="204"/>
        <v/>
      </c>
      <c r="E764">
        <f t="shared" si="205"/>
        <v>1.83823529411765</v>
      </c>
      <c r="F764" t="str">
        <f t="shared" si="206"/>
        <v/>
      </c>
      <c r="G764" t="str">
        <f t="shared" si="207"/>
        <v/>
      </c>
    </row>
    <row r="765" spans="2:7">
      <c r="B765" s="46"/>
      <c r="C765" t="str">
        <f t="shared" si="203"/>
        <v/>
      </c>
      <c r="D765" s="63" t="str">
        <f t="shared" si="204"/>
        <v/>
      </c>
      <c r="E765" t="str">
        <f t="shared" si="205"/>
        <v/>
      </c>
      <c r="F765">
        <f t="shared" si="206"/>
        <v>4.28571428571429</v>
      </c>
      <c r="G765" t="str">
        <f t="shared" si="207"/>
        <v/>
      </c>
    </row>
    <row r="766" spans="2:7">
      <c r="B766" s="46"/>
      <c r="C766" t="str">
        <f t="shared" si="203"/>
        <v/>
      </c>
      <c r="D766" s="63" t="str">
        <f t="shared" si="204"/>
        <v/>
      </c>
      <c r="E766" t="str">
        <f t="shared" si="205"/>
        <v/>
      </c>
      <c r="F766" t="str">
        <f t="shared" si="206"/>
        <v/>
      </c>
      <c r="G766">
        <f t="shared" si="207"/>
        <v>3.43396226415094</v>
      </c>
    </row>
    <row r="767" spans="2:7">
      <c r="B767" s="46"/>
      <c r="C767" t="str">
        <f t="shared" si="203"/>
        <v/>
      </c>
      <c r="D767" s="63" t="str">
        <f t="shared" si="204"/>
        <v/>
      </c>
      <c r="E767">
        <f t="shared" si="205"/>
        <v>14.5833333333333</v>
      </c>
      <c r="F767" t="str">
        <f t="shared" si="206"/>
        <v/>
      </c>
      <c r="G767" t="str">
        <f t="shared" si="207"/>
        <v/>
      </c>
    </row>
    <row r="768" spans="2:7">
      <c r="B768" s="46"/>
      <c r="C768" t="str">
        <f t="shared" si="203"/>
        <v/>
      </c>
      <c r="D768" s="63" t="str">
        <f t="shared" si="204"/>
        <v/>
      </c>
      <c r="E768" t="str">
        <f t="shared" si="205"/>
        <v/>
      </c>
      <c r="F768">
        <f t="shared" si="206"/>
        <v>6.42857142857143</v>
      </c>
      <c r="G768" t="str">
        <f t="shared" si="207"/>
        <v/>
      </c>
    </row>
    <row r="769" spans="2:7">
      <c r="B769" s="46"/>
      <c r="C769" t="str">
        <f t="shared" si="203"/>
        <v/>
      </c>
      <c r="D769" s="63" t="str">
        <f t="shared" si="204"/>
        <v/>
      </c>
      <c r="E769" t="str">
        <f t="shared" si="205"/>
        <v/>
      </c>
      <c r="F769" t="str">
        <f t="shared" si="206"/>
        <v/>
      </c>
      <c r="G769">
        <f t="shared" si="207"/>
        <v>3.84591194968553</v>
      </c>
    </row>
    <row r="770" spans="2:7">
      <c r="B770" s="46"/>
      <c r="C770">
        <f t="shared" si="203"/>
        <v>0.844907407407407</v>
      </c>
      <c r="D770" s="63" t="str">
        <f t="shared" si="204"/>
        <v/>
      </c>
      <c r="E770" t="str">
        <f t="shared" si="205"/>
        <v/>
      </c>
      <c r="F770" t="str">
        <f t="shared" si="206"/>
        <v/>
      </c>
      <c r="G770" t="str">
        <f t="shared" si="207"/>
        <v/>
      </c>
    </row>
    <row r="771" spans="2:7">
      <c r="B771" s="46"/>
      <c r="C771">
        <f t="shared" si="203"/>
        <v>6.79803240740741</v>
      </c>
      <c r="D771" s="63" t="str">
        <f t="shared" si="204"/>
        <v/>
      </c>
      <c r="E771" t="str">
        <f t="shared" si="205"/>
        <v/>
      </c>
      <c r="F771" t="str">
        <f t="shared" si="206"/>
        <v/>
      </c>
      <c r="G771" t="str">
        <f t="shared" si="207"/>
        <v/>
      </c>
    </row>
    <row r="772" spans="2:7">
      <c r="B772" s="46"/>
      <c r="C772">
        <f t="shared" si="203"/>
        <v>6.79803240740741</v>
      </c>
      <c r="D772" s="63" t="str">
        <f t="shared" si="204"/>
        <v/>
      </c>
      <c r="E772" t="str">
        <f t="shared" si="205"/>
        <v/>
      </c>
      <c r="F772" t="str">
        <f t="shared" si="206"/>
        <v/>
      </c>
      <c r="G772" t="str">
        <f t="shared" si="207"/>
        <v/>
      </c>
    </row>
    <row r="773" spans="2:7">
      <c r="B773" s="46"/>
      <c r="C773">
        <f t="shared" si="203"/>
        <v>7.52719907407408</v>
      </c>
      <c r="D773" s="63" t="str">
        <f t="shared" si="204"/>
        <v/>
      </c>
      <c r="E773" t="str">
        <f t="shared" si="205"/>
        <v/>
      </c>
      <c r="F773" t="str">
        <f t="shared" si="206"/>
        <v/>
      </c>
      <c r="G773" t="str">
        <f t="shared" si="207"/>
        <v/>
      </c>
    </row>
    <row r="774" spans="2:7">
      <c r="B774" s="46"/>
      <c r="C774" t="str">
        <f t="shared" si="203"/>
        <v/>
      </c>
      <c r="D774" s="63">
        <f t="shared" si="204"/>
        <v>2.7881455399061</v>
      </c>
      <c r="E774" t="str">
        <f t="shared" si="205"/>
        <v/>
      </c>
      <c r="F774" t="str">
        <f t="shared" si="206"/>
        <v/>
      </c>
      <c r="G774" t="str">
        <f t="shared" si="207"/>
        <v/>
      </c>
    </row>
    <row r="775" spans="2:7">
      <c r="B775" s="46"/>
      <c r="C775" t="str">
        <f t="shared" si="203"/>
        <v/>
      </c>
      <c r="D775" s="63">
        <f t="shared" si="204"/>
        <v>4.47535211267606</v>
      </c>
      <c r="E775" t="str">
        <f t="shared" si="205"/>
        <v/>
      </c>
      <c r="F775" t="str">
        <f t="shared" si="206"/>
        <v/>
      </c>
      <c r="G775" t="str">
        <f t="shared" si="207"/>
        <v/>
      </c>
    </row>
    <row r="776" spans="2:7">
      <c r="B776" s="46"/>
      <c r="C776" t="str">
        <f t="shared" si="203"/>
        <v/>
      </c>
      <c r="D776" s="63">
        <f t="shared" si="204"/>
        <v>6.10680751173709</v>
      </c>
      <c r="E776" t="str">
        <f t="shared" si="205"/>
        <v/>
      </c>
      <c r="F776" t="str">
        <f t="shared" si="206"/>
        <v/>
      </c>
      <c r="G776" t="str">
        <f t="shared" si="207"/>
        <v/>
      </c>
    </row>
    <row r="777" spans="2:7">
      <c r="B777" s="46"/>
      <c r="C777" t="str">
        <f t="shared" si="203"/>
        <v/>
      </c>
      <c r="D777" s="63">
        <f t="shared" si="204"/>
        <v>8.50821596244131</v>
      </c>
      <c r="E777" t="str">
        <f t="shared" si="205"/>
        <v/>
      </c>
      <c r="F777" t="str">
        <f t="shared" si="206"/>
        <v/>
      </c>
      <c r="G777" t="str">
        <f t="shared" si="207"/>
        <v/>
      </c>
    </row>
    <row r="778" spans="2:7">
      <c r="B778" s="46"/>
      <c r="C778" t="str">
        <f t="shared" si="203"/>
        <v/>
      </c>
      <c r="D778" s="63">
        <f t="shared" si="204"/>
        <v>10.268779342723</v>
      </c>
      <c r="E778" t="str">
        <f t="shared" si="205"/>
        <v/>
      </c>
      <c r="F778" t="str">
        <f t="shared" si="206"/>
        <v/>
      </c>
      <c r="G778" t="str">
        <f t="shared" si="207"/>
        <v/>
      </c>
    </row>
    <row r="779" spans="2:7">
      <c r="B779" s="46"/>
      <c r="C779" t="str">
        <f t="shared" si="203"/>
        <v/>
      </c>
      <c r="D779" s="63" t="str">
        <f t="shared" si="204"/>
        <v/>
      </c>
      <c r="E779" t="str">
        <f t="shared" si="205"/>
        <v/>
      </c>
      <c r="F779" t="str">
        <f t="shared" si="206"/>
        <v/>
      </c>
      <c r="G779">
        <f t="shared" si="207"/>
        <v>7.67610062893082</v>
      </c>
    </row>
    <row r="780" spans="2:7">
      <c r="B780" s="46"/>
      <c r="C780" t="str">
        <f t="shared" si="203"/>
        <v/>
      </c>
      <c r="D780" s="63" t="str">
        <f t="shared" si="204"/>
        <v/>
      </c>
      <c r="E780" t="str">
        <f t="shared" si="205"/>
        <v/>
      </c>
      <c r="F780" t="str">
        <f t="shared" si="206"/>
        <v/>
      </c>
      <c r="G780">
        <f t="shared" si="207"/>
        <v>10.3836477987421</v>
      </c>
    </row>
    <row r="781" spans="2:7">
      <c r="B781" s="46"/>
      <c r="C781" t="str">
        <f t="shared" si="203"/>
        <v/>
      </c>
      <c r="D781" s="63" t="str">
        <f t="shared" si="204"/>
        <v/>
      </c>
      <c r="E781" t="str">
        <f t="shared" si="205"/>
        <v/>
      </c>
      <c r="F781" t="str">
        <f t="shared" si="206"/>
        <v/>
      </c>
      <c r="G781">
        <f t="shared" si="207"/>
        <v>13.2138364779874</v>
      </c>
    </row>
    <row r="782" spans="2:7">
      <c r="B782" s="46"/>
      <c r="C782" t="str">
        <f t="shared" si="203"/>
        <v/>
      </c>
      <c r="D782" s="63" t="str">
        <f t="shared" si="204"/>
        <v/>
      </c>
      <c r="E782" t="str">
        <f t="shared" si="205"/>
        <v/>
      </c>
      <c r="F782" t="str">
        <f t="shared" si="206"/>
        <v/>
      </c>
      <c r="G782">
        <f t="shared" si="207"/>
        <v>14.7243186582809</v>
      </c>
    </row>
    <row r="783" spans="2:7">
      <c r="B783" s="46"/>
      <c r="C783" t="str">
        <f t="shared" si="203"/>
        <v/>
      </c>
      <c r="D783" s="63" t="str">
        <f t="shared" si="204"/>
        <v/>
      </c>
      <c r="E783" t="str">
        <f t="shared" si="205"/>
        <v/>
      </c>
      <c r="F783">
        <f t="shared" si="206"/>
        <v>9.17630385487529</v>
      </c>
      <c r="G783" t="str">
        <f t="shared" si="207"/>
        <v/>
      </c>
    </row>
    <row r="784" spans="2:7">
      <c r="B784" s="46"/>
      <c r="C784" t="str">
        <f t="shared" si="203"/>
        <v/>
      </c>
      <c r="D784" s="63" t="str">
        <f t="shared" si="204"/>
        <v/>
      </c>
      <c r="E784" t="str">
        <f t="shared" si="205"/>
        <v/>
      </c>
      <c r="F784">
        <f t="shared" si="206"/>
        <v>12.328231292517</v>
      </c>
      <c r="G784" t="str">
        <f t="shared" si="207"/>
        <v/>
      </c>
    </row>
    <row r="785" spans="2:7">
      <c r="B785" s="46"/>
      <c r="C785" t="str">
        <f t="shared" si="203"/>
        <v/>
      </c>
      <c r="D785" s="63" t="str">
        <f t="shared" si="204"/>
        <v/>
      </c>
      <c r="E785" t="str">
        <f t="shared" si="205"/>
        <v/>
      </c>
      <c r="F785">
        <f t="shared" si="206"/>
        <v>15.0017006802721</v>
      </c>
      <c r="G785" t="str">
        <f t="shared" si="207"/>
        <v/>
      </c>
    </row>
    <row r="786" spans="2:7">
      <c r="B786" s="46"/>
      <c r="C786">
        <f t="shared" si="203"/>
        <v>10.328125</v>
      </c>
      <c r="D786" s="63" t="str">
        <f t="shared" si="204"/>
        <v/>
      </c>
      <c r="E786" t="str">
        <f t="shared" si="205"/>
        <v/>
      </c>
      <c r="F786" t="str">
        <f t="shared" si="206"/>
        <v/>
      </c>
      <c r="G786" t="str">
        <f t="shared" si="207"/>
        <v/>
      </c>
    </row>
    <row r="787" spans="2:7">
      <c r="B787" s="46"/>
      <c r="C787">
        <f t="shared" si="203"/>
        <v>14.5908564814815</v>
      </c>
      <c r="D787" s="63" t="str">
        <f t="shared" si="204"/>
        <v/>
      </c>
      <c r="E787" t="str">
        <f t="shared" si="205"/>
        <v/>
      </c>
      <c r="F787" t="str">
        <f t="shared" si="206"/>
        <v/>
      </c>
      <c r="G787" t="str">
        <f t="shared" si="207"/>
        <v/>
      </c>
    </row>
    <row r="788" spans="2:7">
      <c r="B788" s="46"/>
      <c r="C788">
        <f t="shared" si="203"/>
        <v>14.9409722222222</v>
      </c>
      <c r="D788" s="63" t="str">
        <f t="shared" si="204"/>
        <v/>
      </c>
      <c r="E788" t="str">
        <f t="shared" si="205"/>
        <v/>
      </c>
      <c r="F788" t="str">
        <f t="shared" si="206"/>
        <v/>
      </c>
      <c r="G788" t="str">
        <f t="shared" si="207"/>
        <v/>
      </c>
    </row>
    <row r="789" spans="2:7">
      <c r="B789" s="46"/>
      <c r="C789">
        <f t="shared" si="203"/>
        <v>19.2465277777778</v>
      </c>
      <c r="D789" s="63" t="str">
        <f t="shared" si="204"/>
        <v/>
      </c>
      <c r="E789" t="str">
        <f t="shared" si="205"/>
        <v/>
      </c>
      <c r="F789" t="str">
        <f t="shared" si="206"/>
        <v/>
      </c>
      <c r="G789" t="str">
        <f t="shared" si="207"/>
        <v/>
      </c>
    </row>
    <row r="790" spans="2:7">
      <c r="B790" s="46"/>
      <c r="C790" t="str">
        <f t="shared" si="203"/>
        <v/>
      </c>
      <c r="D790" s="63">
        <f t="shared" si="204"/>
        <v>15.0340375586854</v>
      </c>
      <c r="E790" t="str">
        <f t="shared" si="205"/>
        <v/>
      </c>
      <c r="F790" t="str">
        <f t="shared" si="206"/>
        <v/>
      </c>
      <c r="G790" t="str">
        <f t="shared" si="207"/>
        <v/>
      </c>
    </row>
    <row r="791" ht="15.75" spans="2:7">
      <c r="B791" s="46"/>
      <c r="C791" t="str">
        <f t="shared" si="203"/>
        <v/>
      </c>
      <c r="D791" s="63">
        <f t="shared" si="204"/>
        <v>15.0340375586854</v>
      </c>
      <c r="E791" t="str">
        <f t="shared" si="205"/>
        <v/>
      </c>
      <c r="F791" t="str">
        <f t="shared" si="206"/>
        <v/>
      </c>
      <c r="G791" t="str">
        <f t="shared" si="207"/>
        <v/>
      </c>
    </row>
    <row r="792" ht="15.75" spans="2:7">
      <c r="B792" s="74" t="s">
        <v>269</v>
      </c>
      <c r="C792" s="75">
        <f>MAX(C763:C791)</f>
        <v>19.2465277777778</v>
      </c>
      <c r="D792" s="75">
        <f>MAX(D763:D791)</f>
        <v>15.0340375586854</v>
      </c>
      <c r="E792" s="53">
        <f>MAX(E763:E791)</f>
        <v>14.5833333333333</v>
      </c>
      <c r="F792" s="53">
        <f>MAX(F763:F791)</f>
        <v>15.0017006802721</v>
      </c>
      <c r="G792" s="53">
        <f>MAX(G762:G791)</f>
        <v>14.7243186582809</v>
      </c>
    </row>
    <row r="793" spans="2:7">
      <c r="B793" s="76" t="s">
        <v>270</v>
      </c>
      <c r="C793" s="77">
        <v>1</v>
      </c>
      <c r="D793" s="78">
        <v>2</v>
      </c>
      <c r="E793">
        <v>3</v>
      </c>
      <c r="F793">
        <v>4</v>
      </c>
      <c r="G793">
        <v>5</v>
      </c>
    </row>
    <row r="794" spans="2:7">
      <c r="B794" s="79" t="s">
        <v>271</v>
      </c>
      <c r="C794" s="72">
        <f>HLOOKUP(MIN(C792:G792),C792:G793,2,FALSE)</f>
        <v>3</v>
      </c>
      <c r="D794" s="80"/>
    </row>
    <row r="797" ht="15.75" spans="2:7">
      <c r="B797" s="43" t="s">
        <v>303</v>
      </c>
      <c r="C797" s="44"/>
      <c r="D797" s="45"/>
    </row>
    <row r="798" spans="2:7">
      <c r="B798" s="46"/>
      <c r="C798" s="61" t="s">
        <v>264</v>
      </c>
      <c r="D798" s="61" t="s">
        <v>265</v>
      </c>
      <c r="E798" s="62" t="s">
        <v>286</v>
      </c>
      <c r="F798" s="62" t="s">
        <v>287</v>
      </c>
      <c r="G798" s="62" t="s">
        <v>288</v>
      </c>
    </row>
    <row r="799" spans="2:7">
      <c r="B799" s="46"/>
      <c r="C799">
        <f t="shared" ref="C799:C829" si="208">IF(J8=1,S8,"")</f>
        <v>0.700231481481482</v>
      </c>
      <c r="D799" s="63" t="str">
        <f t="shared" ref="D799:D829" si="209">IF(J8=2,S8,"")</f>
        <v/>
      </c>
      <c r="E799" t="str">
        <f t="shared" ref="E799:E829" si="210">IF(J8=3,S8,"")</f>
        <v/>
      </c>
      <c r="F799" t="str">
        <f t="shared" ref="F799:F829" si="211">IF(J8=4,S8,"")</f>
        <v/>
      </c>
      <c r="G799" t="str">
        <f t="shared" ref="G799:G829" si="212">IF(J8=5,S8,"")</f>
        <v/>
      </c>
    </row>
    <row r="800" spans="2:7">
      <c r="B800" s="46"/>
      <c r="C800" t="str">
        <f t="shared" si="208"/>
        <v/>
      </c>
      <c r="D800" s="63">
        <f t="shared" si="209"/>
        <v>0.734154929577465</v>
      </c>
      <c r="E800" t="str">
        <f t="shared" si="210"/>
        <v/>
      </c>
      <c r="F800" t="str">
        <f t="shared" si="211"/>
        <v/>
      </c>
      <c r="G800" t="str">
        <f t="shared" si="212"/>
        <v/>
      </c>
    </row>
    <row r="801" spans="2:7">
      <c r="B801" s="46"/>
      <c r="C801" t="str">
        <f t="shared" si="208"/>
        <v/>
      </c>
      <c r="D801" s="63" t="str">
        <f t="shared" si="209"/>
        <v/>
      </c>
      <c r="E801">
        <f t="shared" si="210"/>
        <v>1.83823529411765</v>
      </c>
      <c r="F801" t="str">
        <f t="shared" si="211"/>
        <v/>
      </c>
      <c r="G801" t="str">
        <f t="shared" si="212"/>
        <v/>
      </c>
    </row>
    <row r="802" spans="2:7">
      <c r="B802" s="46"/>
      <c r="C802" t="str">
        <f t="shared" si="208"/>
        <v/>
      </c>
      <c r="D802" s="63" t="str">
        <f t="shared" si="209"/>
        <v/>
      </c>
      <c r="E802" t="str">
        <f t="shared" si="210"/>
        <v/>
      </c>
      <c r="F802">
        <f t="shared" si="211"/>
        <v>4.28571428571429</v>
      </c>
      <c r="G802" t="str">
        <f t="shared" si="212"/>
        <v/>
      </c>
    </row>
    <row r="803" spans="2:7">
      <c r="B803" s="46"/>
      <c r="C803" t="str">
        <f t="shared" si="208"/>
        <v/>
      </c>
      <c r="D803" s="63" t="str">
        <f t="shared" si="209"/>
        <v/>
      </c>
      <c r="E803" t="str">
        <f t="shared" si="210"/>
        <v/>
      </c>
      <c r="F803" t="str">
        <f t="shared" si="211"/>
        <v/>
      </c>
      <c r="G803">
        <f t="shared" si="212"/>
        <v>3.43396226415094</v>
      </c>
    </row>
    <row r="804" spans="2:7">
      <c r="B804" s="46"/>
      <c r="C804" t="str">
        <f t="shared" si="208"/>
        <v/>
      </c>
      <c r="D804" s="63" t="str">
        <f t="shared" si="209"/>
        <v/>
      </c>
      <c r="E804">
        <f t="shared" si="210"/>
        <v>14.5833333333333</v>
      </c>
      <c r="F804" t="str">
        <f t="shared" si="211"/>
        <v/>
      </c>
      <c r="G804" t="str">
        <f t="shared" si="212"/>
        <v/>
      </c>
    </row>
    <row r="805" spans="2:7">
      <c r="B805" s="46"/>
      <c r="C805" t="str">
        <f t="shared" si="208"/>
        <v/>
      </c>
      <c r="D805" s="63" t="str">
        <f t="shared" si="209"/>
        <v/>
      </c>
      <c r="E805" t="str">
        <f t="shared" si="210"/>
        <v/>
      </c>
      <c r="F805">
        <f t="shared" si="211"/>
        <v>6.42857142857143</v>
      </c>
      <c r="G805" t="str">
        <f t="shared" si="212"/>
        <v/>
      </c>
    </row>
    <row r="806" spans="2:7">
      <c r="B806" s="46"/>
      <c r="C806" t="str">
        <f t="shared" si="208"/>
        <v/>
      </c>
      <c r="D806" s="63" t="str">
        <f t="shared" si="209"/>
        <v/>
      </c>
      <c r="E806" t="str">
        <f t="shared" si="210"/>
        <v/>
      </c>
      <c r="F806" t="str">
        <f t="shared" si="211"/>
        <v/>
      </c>
      <c r="G806">
        <f t="shared" si="212"/>
        <v>3.84591194968553</v>
      </c>
    </row>
    <row r="807" spans="2:7">
      <c r="B807" s="46"/>
      <c r="C807">
        <f t="shared" si="208"/>
        <v>0.844907407407407</v>
      </c>
      <c r="D807" s="63" t="str">
        <f t="shared" si="209"/>
        <v/>
      </c>
      <c r="E807" t="str">
        <f t="shared" si="210"/>
        <v/>
      </c>
      <c r="F807" t="str">
        <f t="shared" si="211"/>
        <v/>
      </c>
      <c r="G807" t="str">
        <f t="shared" si="212"/>
        <v/>
      </c>
    </row>
    <row r="808" spans="2:7">
      <c r="B808" s="46"/>
      <c r="C808">
        <f t="shared" si="208"/>
        <v>6.79803240740741</v>
      </c>
      <c r="D808" s="63" t="str">
        <f t="shared" si="209"/>
        <v/>
      </c>
      <c r="E808" t="str">
        <f t="shared" si="210"/>
        <v/>
      </c>
      <c r="F808" t="str">
        <f t="shared" si="211"/>
        <v/>
      </c>
      <c r="G808" t="str">
        <f t="shared" si="212"/>
        <v/>
      </c>
    </row>
    <row r="809" spans="2:7">
      <c r="B809" s="46"/>
      <c r="C809">
        <f t="shared" si="208"/>
        <v>6.79803240740741</v>
      </c>
      <c r="D809" s="63" t="str">
        <f t="shared" si="209"/>
        <v/>
      </c>
      <c r="E809" t="str">
        <f t="shared" si="210"/>
        <v/>
      </c>
      <c r="F809" t="str">
        <f t="shared" si="211"/>
        <v/>
      </c>
      <c r="G809" t="str">
        <f t="shared" si="212"/>
        <v/>
      </c>
    </row>
    <row r="810" spans="2:7">
      <c r="B810" s="46"/>
      <c r="C810">
        <f t="shared" si="208"/>
        <v>7.52719907407408</v>
      </c>
      <c r="D810" s="63" t="str">
        <f t="shared" si="209"/>
        <v/>
      </c>
      <c r="E810" t="str">
        <f t="shared" si="210"/>
        <v/>
      </c>
      <c r="F810" t="str">
        <f t="shared" si="211"/>
        <v/>
      </c>
      <c r="G810" t="str">
        <f t="shared" si="212"/>
        <v/>
      </c>
    </row>
    <row r="811" spans="2:7">
      <c r="B811" s="46"/>
      <c r="C811" t="str">
        <f t="shared" si="208"/>
        <v/>
      </c>
      <c r="D811" s="63">
        <f t="shared" si="209"/>
        <v>2.7881455399061</v>
      </c>
      <c r="E811" t="str">
        <f t="shared" si="210"/>
        <v/>
      </c>
      <c r="F811" t="str">
        <f t="shared" si="211"/>
        <v/>
      </c>
      <c r="G811" t="str">
        <f t="shared" si="212"/>
        <v/>
      </c>
    </row>
    <row r="812" spans="2:7">
      <c r="B812" s="46"/>
      <c r="C812" t="str">
        <f t="shared" si="208"/>
        <v/>
      </c>
      <c r="D812" s="63">
        <f t="shared" si="209"/>
        <v>4.47535211267606</v>
      </c>
      <c r="E812" t="str">
        <f t="shared" si="210"/>
        <v/>
      </c>
      <c r="F812" t="str">
        <f t="shared" si="211"/>
        <v/>
      </c>
      <c r="G812" t="str">
        <f t="shared" si="212"/>
        <v/>
      </c>
    </row>
    <row r="813" spans="2:7">
      <c r="B813" s="46"/>
      <c r="C813" t="str">
        <f t="shared" si="208"/>
        <v/>
      </c>
      <c r="D813" s="63">
        <f t="shared" si="209"/>
        <v>6.10680751173709</v>
      </c>
      <c r="E813" t="str">
        <f t="shared" si="210"/>
        <v/>
      </c>
      <c r="F813" t="str">
        <f t="shared" si="211"/>
        <v/>
      </c>
      <c r="G813" t="str">
        <f t="shared" si="212"/>
        <v/>
      </c>
    </row>
    <row r="814" spans="2:7">
      <c r="B814" s="46"/>
      <c r="C814" t="str">
        <f t="shared" si="208"/>
        <v/>
      </c>
      <c r="D814" s="63">
        <f t="shared" si="209"/>
        <v>8.50821596244131</v>
      </c>
      <c r="E814" t="str">
        <f t="shared" si="210"/>
        <v/>
      </c>
      <c r="F814" t="str">
        <f t="shared" si="211"/>
        <v/>
      </c>
      <c r="G814" t="str">
        <f t="shared" si="212"/>
        <v/>
      </c>
    </row>
    <row r="815" spans="2:7">
      <c r="B815" s="46"/>
      <c r="C815" t="str">
        <f t="shared" si="208"/>
        <v/>
      </c>
      <c r="D815" s="63">
        <f t="shared" si="209"/>
        <v>10.268779342723</v>
      </c>
      <c r="E815" t="str">
        <f t="shared" si="210"/>
        <v/>
      </c>
      <c r="F815" t="str">
        <f t="shared" si="211"/>
        <v/>
      </c>
      <c r="G815" t="str">
        <f t="shared" si="212"/>
        <v/>
      </c>
    </row>
    <row r="816" spans="2:7">
      <c r="B816" s="46"/>
      <c r="C816" t="str">
        <f t="shared" si="208"/>
        <v/>
      </c>
      <c r="D816" s="63" t="str">
        <f t="shared" si="209"/>
        <v/>
      </c>
      <c r="E816" t="str">
        <f t="shared" si="210"/>
        <v/>
      </c>
      <c r="F816" t="str">
        <f t="shared" si="211"/>
        <v/>
      </c>
      <c r="G816">
        <f t="shared" si="212"/>
        <v>7.67610062893082</v>
      </c>
    </row>
    <row r="817" spans="2:7">
      <c r="B817" s="46"/>
      <c r="C817" t="str">
        <f t="shared" si="208"/>
        <v/>
      </c>
      <c r="D817" s="63" t="str">
        <f t="shared" si="209"/>
        <v/>
      </c>
      <c r="E817" t="str">
        <f t="shared" si="210"/>
        <v/>
      </c>
      <c r="F817" t="str">
        <f t="shared" si="211"/>
        <v/>
      </c>
      <c r="G817">
        <f t="shared" si="212"/>
        <v>10.3836477987421</v>
      </c>
    </row>
    <row r="818" spans="2:7">
      <c r="B818" s="46"/>
      <c r="C818" t="str">
        <f t="shared" si="208"/>
        <v/>
      </c>
      <c r="D818" s="63" t="str">
        <f t="shared" si="209"/>
        <v/>
      </c>
      <c r="E818" t="str">
        <f t="shared" si="210"/>
        <v/>
      </c>
      <c r="F818" t="str">
        <f t="shared" si="211"/>
        <v/>
      </c>
      <c r="G818">
        <f t="shared" si="212"/>
        <v>13.2138364779874</v>
      </c>
    </row>
    <row r="819" spans="2:7">
      <c r="B819" s="46"/>
      <c r="C819" t="str">
        <f t="shared" si="208"/>
        <v/>
      </c>
      <c r="D819" s="63" t="str">
        <f t="shared" si="209"/>
        <v/>
      </c>
      <c r="E819" t="str">
        <f t="shared" si="210"/>
        <v/>
      </c>
      <c r="F819" t="str">
        <f t="shared" si="211"/>
        <v/>
      </c>
      <c r="G819">
        <f t="shared" si="212"/>
        <v>14.7243186582809</v>
      </c>
    </row>
    <row r="820" spans="2:7">
      <c r="B820" s="46"/>
      <c r="C820" t="str">
        <f t="shared" si="208"/>
        <v/>
      </c>
      <c r="D820" s="63" t="str">
        <f t="shared" si="209"/>
        <v/>
      </c>
      <c r="E820" t="str">
        <f t="shared" si="210"/>
        <v/>
      </c>
      <c r="F820">
        <f t="shared" si="211"/>
        <v>9.17630385487529</v>
      </c>
      <c r="G820" t="str">
        <f t="shared" si="212"/>
        <v/>
      </c>
    </row>
    <row r="821" spans="2:7">
      <c r="B821" s="46"/>
      <c r="C821" t="str">
        <f t="shared" si="208"/>
        <v/>
      </c>
      <c r="D821" s="63" t="str">
        <f t="shared" si="209"/>
        <v/>
      </c>
      <c r="E821" t="str">
        <f t="shared" si="210"/>
        <v/>
      </c>
      <c r="F821">
        <f t="shared" si="211"/>
        <v>12.328231292517</v>
      </c>
      <c r="G821" t="str">
        <f t="shared" si="212"/>
        <v/>
      </c>
    </row>
    <row r="822" spans="2:7">
      <c r="B822" s="46"/>
      <c r="C822" t="str">
        <f t="shared" si="208"/>
        <v/>
      </c>
      <c r="D822" s="63" t="str">
        <f t="shared" si="209"/>
        <v/>
      </c>
      <c r="E822" t="str">
        <f t="shared" si="210"/>
        <v/>
      </c>
      <c r="F822">
        <f t="shared" si="211"/>
        <v>15.0017006802721</v>
      </c>
      <c r="G822" t="str">
        <f t="shared" si="212"/>
        <v/>
      </c>
    </row>
    <row r="823" spans="2:7">
      <c r="B823" s="46"/>
      <c r="C823">
        <f t="shared" si="208"/>
        <v>10.328125</v>
      </c>
      <c r="D823" s="63" t="str">
        <f t="shared" si="209"/>
        <v/>
      </c>
      <c r="E823" t="str">
        <f t="shared" si="210"/>
        <v/>
      </c>
      <c r="F823" t="str">
        <f t="shared" si="211"/>
        <v/>
      </c>
      <c r="G823" t="str">
        <f t="shared" si="212"/>
        <v/>
      </c>
    </row>
    <row r="824" spans="2:7">
      <c r="B824" s="46"/>
      <c r="C824">
        <f t="shared" si="208"/>
        <v>14.5908564814815</v>
      </c>
      <c r="D824" s="63" t="str">
        <f t="shared" si="209"/>
        <v/>
      </c>
      <c r="E824" t="str">
        <f t="shared" si="210"/>
        <v/>
      </c>
      <c r="F824" t="str">
        <f t="shared" si="211"/>
        <v/>
      </c>
      <c r="G824" t="str">
        <f t="shared" si="212"/>
        <v/>
      </c>
    </row>
    <row r="825" spans="2:7">
      <c r="B825" s="46"/>
      <c r="C825">
        <f t="shared" si="208"/>
        <v>14.9409722222222</v>
      </c>
      <c r="D825" s="63" t="str">
        <f t="shared" si="209"/>
        <v/>
      </c>
      <c r="E825" t="str">
        <f t="shared" si="210"/>
        <v/>
      </c>
      <c r="F825" t="str">
        <f t="shared" si="211"/>
        <v/>
      </c>
      <c r="G825" t="str">
        <f t="shared" si="212"/>
        <v/>
      </c>
    </row>
    <row r="826" spans="2:7">
      <c r="B826" s="46"/>
      <c r="C826">
        <f t="shared" si="208"/>
        <v>19.2465277777778</v>
      </c>
      <c r="D826" s="63" t="str">
        <f t="shared" si="209"/>
        <v/>
      </c>
      <c r="E826" t="str">
        <f t="shared" si="210"/>
        <v/>
      </c>
      <c r="F826" t="str">
        <f t="shared" si="211"/>
        <v/>
      </c>
      <c r="G826" t="str">
        <f t="shared" si="212"/>
        <v/>
      </c>
    </row>
    <row r="827" spans="2:7">
      <c r="B827" s="46"/>
      <c r="C827" t="str">
        <f t="shared" si="208"/>
        <v/>
      </c>
      <c r="D827" s="63">
        <f t="shared" si="209"/>
        <v>15.0340375586854</v>
      </c>
      <c r="E827" t="str">
        <f t="shared" si="210"/>
        <v/>
      </c>
      <c r="F827" t="str">
        <f t="shared" si="211"/>
        <v/>
      </c>
      <c r="G827" t="str">
        <f t="shared" si="212"/>
        <v/>
      </c>
    </row>
    <row r="828" spans="2:7">
      <c r="B828" s="46"/>
      <c r="C828" t="str">
        <f t="shared" si="208"/>
        <v/>
      </c>
      <c r="D828" s="63">
        <f t="shared" si="209"/>
        <v>15.0340375586854</v>
      </c>
      <c r="E828" t="str">
        <f t="shared" si="210"/>
        <v/>
      </c>
      <c r="F828" t="str">
        <f t="shared" si="211"/>
        <v/>
      </c>
      <c r="G828" t="str">
        <f t="shared" si="212"/>
        <v/>
      </c>
    </row>
    <row r="829" ht="15.75" spans="2:7">
      <c r="B829" s="46"/>
      <c r="C829" t="str">
        <f t="shared" si="208"/>
        <v/>
      </c>
      <c r="D829" s="63">
        <f t="shared" si="209"/>
        <v>16.1343896713615</v>
      </c>
      <c r="E829" t="str">
        <f t="shared" si="210"/>
        <v/>
      </c>
      <c r="F829" t="str">
        <f t="shared" si="211"/>
        <v/>
      </c>
      <c r="G829" t="str">
        <f t="shared" si="212"/>
        <v/>
      </c>
    </row>
    <row r="830" spans="2:7">
      <c r="B830" s="74" t="s">
        <v>269</v>
      </c>
      <c r="C830" s="75">
        <f>MAX(C799:C829)</f>
        <v>19.2465277777778</v>
      </c>
      <c r="D830" s="75">
        <f>MAX(D799:D829)</f>
        <v>16.1343896713615</v>
      </c>
      <c r="E830" s="75">
        <f>MAX(E799:E829)</f>
        <v>14.5833333333333</v>
      </c>
      <c r="F830" s="75">
        <f t="shared" ref="D830:G831" si="213">MAX(F799:F829)</f>
        <v>15.0017006802721</v>
      </c>
      <c r="G830" s="75">
        <f>MAX(G799:G829)</f>
        <v>14.7243186582809</v>
      </c>
    </row>
    <row r="831" spans="2:7">
      <c r="B831" s="76" t="s">
        <v>270</v>
      </c>
      <c r="C831" s="77">
        <v>1</v>
      </c>
      <c r="D831" s="78">
        <v>2</v>
      </c>
      <c r="E831">
        <v>3</v>
      </c>
      <c r="F831">
        <v>4</v>
      </c>
      <c r="G831">
        <v>5</v>
      </c>
    </row>
    <row r="832" spans="2:7">
      <c r="B832" s="79" t="s">
        <v>271</v>
      </c>
      <c r="C832" s="72">
        <f>HLOOKUP(MIN(C830:G830),C830:G831,2,FALSE)</f>
        <v>3</v>
      </c>
      <c r="D832" s="80"/>
    </row>
    <row r="835" ht="15.75" spans="2:7">
      <c r="B835" s="43" t="s">
        <v>304</v>
      </c>
      <c r="C835" s="44"/>
      <c r="D835" s="45"/>
    </row>
    <row r="836" spans="2:7">
      <c r="B836" s="46"/>
      <c r="C836" s="61" t="s">
        <v>264</v>
      </c>
      <c r="D836" s="61" t="s">
        <v>265</v>
      </c>
      <c r="E836" s="62" t="s">
        <v>286</v>
      </c>
      <c r="F836" s="62" t="s">
        <v>287</v>
      </c>
      <c r="G836" s="62" t="s">
        <v>288</v>
      </c>
    </row>
    <row r="837" spans="2:7">
      <c r="B837" s="46"/>
      <c r="C837">
        <f>IF(J8=1,S8,"")</f>
        <v>0.700231481481482</v>
      </c>
      <c r="D837" s="63" t="str">
        <f>IF(J8=2,S8,"")</f>
        <v/>
      </c>
      <c r="E837" t="str">
        <f>IF(J8=3,S8,"")</f>
        <v/>
      </c>
      <c r="F837" t="str">
        <f>IF(J8=4,S8,"")</f>
        <v/>
      </c>
      <c r="G837" t="str">
        <f>IF(J8=5,S8,"")</f>
        <v/>
      </c>
    </row>
    <row r="838" spans="2:7">
      <c r="B838" s="46"/>
      <c r="C838" t="str">
        <f t="shared" ref="C838:C868" si="214">IF(J9=1,S9,"")</f>
        <v/>
      </c>
      <c r="D838" s="63">
        <f t="shared" ref="D838:D868" si="215">IF(J9=2,S9,"")</f>
        <v>0.734154929577465</v>
      </c>
      <c r="E838" t="str">
        <f t="shared" ref="E838:E868" si="216">IF(J9=3,S9,"")</f>
        <v/>
      </c>
      <c r="F838" t="str">
        <f t="shared" ref="F838:F868" si="217">IF(J9=4,S9,"")</f>
        <v/>
      </c>
      <c r="G838" t="str">
        <f t="shared" ref="G838:G868" si="218">IF(J9=5,S9,"")</f>
        <v/>
      </c>
    </row>
    <row r="839" spans="2:7">
      <c r="B839" s="46"/>
      <c r="C839" t="str">
        <f t="shared" si="214"/>
        <v/>
      </c>
      <c r="D839" s="63" t="str">
        <f t="shared" si="215"/>
        <v/>
      </c>
      <c r="E839">
        <f t="shared" si="216"/>
        <v>1.83823529411765</v>
      </c>
      <c r="F839" t="str">
        <f t="shared" si="217"/>
        <v/>
      </c>
      <c r="G839" t="str">
        <f t="shared" si="218"/>
        <v/>
      </c>
    </row>
    <row r="840" spans="2:7">
      <c r="B840" s="46"/>
      <c r="C840" t="str">
        <f t="shared" si="214"/>
        <v/>
      </c>
      <c r="D840" s="63" t="str">
        <f t="shared" si="215"/>
        <v/>
      </c>
      <c r="E840" t="str">
        <f t="shared" si="216"/>
        <v/>
      </c>
      <c r="F840">
        <f t="shared" si="217"/>
        <v>4.28571428571429</v>
      </c>
      <c r="G840" t="str">
        <f t="shared" si="218"/>
        <v/>
      </c>
    </row>
    <row r="841" spans="2:7">
      <c r="B841" s="46"/>
      <c r="C841" t="str">
        <f t="shared" si="214"/>
        <v/>
      </c>
      <c r="D841" s="63" t="str">
        <f t="shared" si="215"/>
        <v/>
      </c>
      <c r="E841" t="str">
        <f t="shared" si="216"/>
        <v/>
      </c>
      <c r="F841" t="str">
        <f t="shared" si="217"/>
        <v/>
      </c>
      <c r="G841">
        <f t="shared" si="218"/>
        <v>3.43396226415094</v>
      </c>
    </row>
    <row r="842" spans="2:7">
      <c r="B842" s="46"/>
      <c r="C842" t="str">
        <f t="shared" si="214"/>
        <v/>
      </c>
      <c r="D842" s="63" t="str">
        <f t="shared" si="215"/>
        <v/>
      </c>
      <c r="E842">
        <f t="shared" si="216"/>
        <v>14.5833333333333</v>
      </c>
      <c r="F842" t="str">
        <f t="shared" si="217"/>
        <v/>
      </c>
      <c r="G842" t="str">
        <f t="shared" si="218"/>
        <v/>
      </c>
    </row>
    <row r="843" spans="2:7">
      <c r="B843" s="46"/>
      <c r="C843" t="str">
        <f t="shared" si="214"/>
        <v/>
      </c>
      <c r="D843" s="63" t="str">
        <f t="shared" si="215"/>
        <v/>
      </c>
      <c r="E843" t="str">
        <f t="shared" si="216"/>
        <v/>
      </c>
      <c r="F843">
        <f t="shared" si="217"/>
        <v>6.42857142857143</v>
      </c>
      <c r="G843" t="str">
        <f t="shared" si="218"/>
        <v/>
      </c>
    </row>
    <row r="844" spans="2:7">
      <c r="B844" s="46"/>
      <c r="C844" t="str">
        <f t="shared" si="214"/>
        <v/>
      </c>
      <c r="D844" s="63" t="str">
        <f t="shared" si="215"/>
        <v/>
      </c>
      <c r="E844" t="str">
        <f t="shared" si="216"/>
        <v/>
      </c>
      <c r="F844" t="str">
        <f t="shared" si="217"/>
        <v/>
      </c>
      <c r="G844">
        <f t="shared" si="218"/>
        <v>3.84591194968553</v>
      </c>
    </row>
    <row r="845" spans="2:7">
      <c r="B845" s="46"/>
      <c r="C845">
        <f t="shared" si="214"/>
        <v>0.844907407407407</v>
      </c>
      <c r="D845" s="63" t="str">
        <f t="shared" si="215"/>
        <v/>
      </c>
      <c r="E845" t="str">
        <f t="shared" si="216"/>
        <v/>
      </c>
      <c r="F845" t="str">
        <f t="shared" si="217"/>
        <v/>
      </c>
      <c r="G845" t="str">
        <f t="shared" si="218"/>
        <v/>
      </c>
    </row>
    <row r="846" spans="2:7">
      <c r="B846" s="46"/>
      <c r="C846">
        <f t="shared" si="214"/>
        <v>6.79803240740741</v>
      </c>
      <c r="D846" s="63" t="str">
        <f t="shared" si="215"/>
        <v/>
      </c>
      <c r="E846" t="str">
        <f t="shared" si="216"/>
        <v/>
      </c>
      <c r="F846" t="str">
        <f t="shared" si="217"/>
        <v/>
      </c>
      <c r="G846" t="str">
        <f t="shared" si="218"/>
        <v/>
      </c>
    </row>
    <row r="847" spans="2:7">
      <c r="B847" s="46"/>
      <c r="C847">
        <f t="shared" si="214"/>
        <v>6.79803240740741</v>
      </c>
      <c r="D847" s="63" t="str">
        <f t="shared" si="215"/>
        <v/>
      </c>
      <c r="E847" t="str">
        <f t="shared" si="216"/>
        <v/>
      </c>
      <c r="F847" t="str">
        <f t="shared" si="217"/>
        <v/>
      </c>
      <c r="G847" t="str">
        <f t="shared" si="218"/>
        <v/>
      </c>
    </row>
    <row r="848" spans="2:7">
      <c r="B848" s="46"/>
      <c r="C848">
        <f t="shared" si="214"/>
        <v>7.52719907407408</v>
      </c>
      <c r="D848" s="63" t="str">
        <f t="shared" si="215"/>
        <v/>
      </c>
      <c r="E848" t="str">
        <f t="shared" si="216"/>
        <v/>
      </c>
      <c r="F848" t="str">
        <f t="shared" si="217"/>
        <v/>
      </c>
      <c r="G848" t="str">
        <f t="shared" si="218"/>
        <v/>
      </c>
    </row>
    <row r="849" spans="2:7">
      <c r="B849" s="46"/>
      <c r="C849" t="str">
        <f t="shared" si="214"/>
        <v/>
      </c>
      <c r="D849" s="63">
        <f t="shared" si="215"/>
        <v>2.7881455399061</v>
      </c>
      <c r="E849" t="str">
        <f t="shared" si="216"/>
        <v/>
      </c>
      <c r="F849" t="str">
        <f t="shared" si="217"/>
        <v/>
      </c>
      <c r="G849" t="str">
        <f t="shared" si="218"/>
        <v/>
      </c>
    </row>
    <row r="850" spans="2:7">
      <c r="B850" s="46"/>
      <c r="C850" t="str">
        <f t="shared" si="214"/>
        <v/>
      </c>
      <c r="D850" s="63">
        <f t="shared" si="215"/>
        <v>4.47535211267606</v>
      </c>
      <c r="E850" t="str">
        <f t="shared" si="216"/>
        <v/>
      </c>
      <c r="F850" t="str">
        <f t="shared" si="217"/>
        <v/>
      </c>
      <c r="G850" t="str">
        <f t="shared" si="218"/>
        <v/>
      </c>
    </row>
    <row r="851" spans="2:7">
      <c r="B851" s="46"/>
      <c r="C851" t="str">
        <f t="shared" si="214"/>
        <v/>
      </c>
      <c r="D851" s="63">
        <f t="shared" si="215"/>
        <v>6.10680751173709</v>
      </c>
      <c r="E851" t="str">
        <f t="shared" si="216"/>
        <v/>
      </c>
      <c r="F851" t="str">
        <f t="shared" si="217"/>
        <v/>
      </c>
      <c r="G851" t="str">
        <f t="shared" si="218"/>
        <v/>
      </c>
    </row>
    <row r="852" spans="2:7">
      <c r="B852" s="46"/>
      <c r="C852" t="str">
        <f t="shared" si="214"/>
        <v/>
      </c>
      <c r="D852" s="63">
        <f t="shared" si="215"/>
        <v>8.50821596244131</v>
      </c>
      <c r="E852" t="str">
        <f t="shared" si="216"/>
        <v/>
      </c>
      <c r="F852" t="str">
        <f t="shared" si="217"/>
        <v/>
      </c>
      <c r="G852" t="str">
        <f t="shared" si="218"/>
        <v/>
      </c>
    </row>
    <row r="853" spans="2:7">
      <c r="B853" s="46"/>
      <c r="C853" t="str">
        <f t="shared" si="214"/>
        <v/>
      </c>
      <c r="D853" s="63">
        <f t="shared" si="215"/>
        <v>10.268779342723</v>
      </c>
      <c r="E853" t="str">
        <f t="shared" si="216"/>
        <v/>
      </c>
      <c r="F853" t="str">
        <f t="shared" si="217"/>
        <v/>
      </c>
      <c r="G853" t="str">
        <f t="shared" si="218"/>
        <v/>
      </c>
    </row>
    <row r="854" spans="2:7">
      <c r="B854" s="46"/>
      <c r="C854" t="str">
        <f t="shared" si="214"/>
        <v/>
      </c>
      <c r="D854" s="63" t="str">
        <f t="shared" si="215"/>
        <v/>
      </c>
      <c r="E854" t="str">
        <f t="shared" si="216"/>
        <v/>
      </c>
      <c r="F854" t="str">
        <f t="shared" si="217"/>
        <v/>
      </c>
      <c r="G854">
        <f t="shared" si="218"/>
        <v>7.67610062893082</v>
      </c>
    </row>
    <row r="855" spans="2:7">
      <c r="B855" s="46"/>
      <c r="C855" t="str">
        <f t="shared" si="214"/>
        <v/>
      </c>
      <c r="D855" s="63" t="str">
        <f t="shared" si="215"/>
        <v/>
      </c>
      <c r="E855" t="str">
        <f t="shared" si="216"/>
        <v/>
      </c>
      <c r="F855" t="str">
        <f t="shared" si="217"/>
        <v/>
      </c>
      <c r="G855">
        <f t="shared" si="218"/>
        <v>10.3836477987421</v>
      </c>
    </row>
    <row r="856" spans="2:7">
      <c r="B856" s="46"/>
      <c r="C856" t="str">
        <f t="shared" si="214"/>
        <v/>
      </c>
      <c r="D856" s="63" t="str">
        <f t="shared" si="215"/>
        <v/>
      </c>
      <c r="E856" t="str">
        <f t="shared" si="216"/>
        <v/>
      </c>
      <c r="F856" t="str">
        <f t="shared" si="217"/>
        <v/>
      </c>
      <c r="G856">
        <f t="shared" si="218"/>
        <v>13.2138364779874</v>
      </c>
    </row>
    <row r="857" spans="2:7">
      <c r="B857" s="46"/>
      <c r="C857" t="str">
        <f t="shared" si="214"/>
        <v/>
      </c>
      <c r="D857" s="63" t="str">
        <f t="shared" si="215"/>
        <v/>
      </c>
      <c r="E857" t="str">
        <f t="shared" si="216"/>
        <v/>
      </c>
      <c r="F857" t="str">
        <f t="shared" si="217"/>
        <v/>
      </c>
      <c r="G857">
        <f t="shared" si="218"/>
        <v>14.7243186582809</v>
      </c>
    </row>
    <row r="858" spans="2:7">
      <c r="B858" s="46"/>
      <c r="C858" t="str">
        <f t="shared" si="214"/>
        <v/>
      </c>
      <c r="D858" s="63" t="str">
        <f t="shared" si="215"/>
        <v/>
      </c>
      <c r="E858" t="str">
        <f t="shared" si="216"/>
        <v/>
      </c>
      <c r="F858">
        <f t="shared" si="217"/>
        <v>9.17630385487529</v>
      </c>
      <c r="G858" t="str">
        <f t="shared" si="218"/>
        <v/>
      </c>
    </row>
    <row r="859" spans="2:7">
      <c r="B859" s="46"/>
      <c r="C859" t="str">
        <f t="shared" si="214"/>
        <v/>
      </c>
      <c r="D859" s="63" t="str">
        <f t="shared" si="215"/>
        <v/>
      </c>
      <c r="E859" t="str">
        <f t="shared" si="216"/>
        <v/>
      </c>
      <c r="F859">
        <f t="shared" si="217"/>
        <v>12.328231292517</v>
      </c>
      <c r="G859" t="str">
        <f t="shared" si="218"/>
        <v/>
      </c>
    </row>
    <row r="860" spans="2:7">
      <c r="B860" s="46"/>
      <c r="C860" t="str">
        <f t="shared" si="214"/>
        <v/>
      </c>
      <c r="D860" s="63" t="str">
        <f t="shared" si="215"/>
        <v/>
      </c>
      <c r="E860" t="str">
        <f t="shared" si="216"/>
        <v/>
      </c>
      <c r="F860">
        <f t="shared" si="217"/>
        <v>15.0017006802721</v>
      </c>
      <c r="G860" t="str">
        <f t="shared" si="218"/>
        <v/>
      </c>
    </row>
    <row r="861" spans="2:7">
      <c r="B861" s="46"/>
      <c r="C861">
        <f t="shared" si="214"/>
        <v>10.328125</v>
      </c>
      <c r="D861" s="63" t="str">
        <f t="shared" si="215"/>
        <v/>
      </c>
      <c r="E861" t="str">
        <f t="shared" si="216"/>
        <v/>
      </c>
      <c r="F861" t="str">
        <f t="shared" si="217"/>
        <v/>
      </c>
      <c r="G861" t="str">
        <f t="shared" si="218"/>
        <v/>
      </c>
    </row>
    <row r="862" spans="2:7">
      <c r="B862" s="46"/>
      <c r="C862">
        <f t="shared" si="214"/>
        <v>14.5908564814815</v>
      </c>
      <c r="D862" s="63" t="str">
        <f t="shared" si="215"/>
        <v/>
      </c>
      <c r="E862" t="str">
        <f t="shared" si="216"/>
        <v/>
      </c>
      <c r="F862" t="str">
        <f t="shared" si="217"/>
        <v/>
      </c>
      <c r="G862" t="str">
        <f t="shared" si="218"/>
        <v/>
      </c>
    </row>
    <row r="863" spans="2:7">
      <c r="B863" s="46"/>
      <c r="C863">
        <f t="shared" si="214"/>
        <v>14.9409722222222</v>
      </c>
      <c r="D863" s="63" t="str">
        <f t="shared" si="215"/>
        <v/>
      </c>
      <c r="E863" t="str">
        <f t="shared" si="216"/>
        <v/>
      </c>
      <c r="F863" t="str">
        <f t="shared" si="217"/>
        <v/>
      </c>
      <c r="G863" t="str">
        <f t="shared" si="218"/>
        <v/>
      </c>
    </row>
    <row r="864" spans="2:7">
      <c r="B864" s="46"/>
      <c r="C864">
        <f t="shared" si="214"/>
        <v>19.2465277777778</v>
      </c>
      <c r="D864" s="63" t="str">
        <f t="shared" si="215"/>
        <v/>
      </c>
      <c r="E864" t="str">
        <f t="shared" si="216"/>
        <v/>
      </c>
      <c r="F864" t="str">
        <f t="shared" si="217"/>
        <v/>
      </c>
      <c r="G864" t="str">
        <f t="shared" si="218"/>
        <v/>
      </c>
    </row>
    <row r="865" spans="2:7">
      <c r="B865" s="46"/>
      <c r="C865" t="str">
        <f t="shared" si="214"/>
        <v/>
      </c>
      <c r="D865" s="63">
        <f t="shared" si="215"/>
        <v>15.0340375586854</v>
      </c>
      <c r="E865" t="str">
        <f t="shared" si="216"/>
        <v/>
      </c>
      <c r="F865" t="str">
        <f t="shared" si="217"/>
        <v/>
      </c>
      <c r="G865" t="str">
        <f t="shared" si="218"/>
        <v/>
      </c>
    </row>
    <row r="866" spans="2:7">
      <c r="B866" s="46"/>
      <c r="C866" t="str">
        <f t="shared" si="214"/>
        <v/>
      </c>
      <c r="D866" s="63">
        <f t="shared" si="215"/>
        <v>15.0340375586854</v>
      </c>
      <c r="E866" t="str">
        <f t="shared" si="216"/>
        <v/>
      </c>
      <c r="F866" t="str">
        <f t="shared" si="217"/>
        <v/>
      </c>
      <c r="G866" t="str">
        <f t="shared" si="218"/>
        <v/>
      </c>
    </row>
    <row r="867" spans="2:7">
      <c r="B867" s="46"/>
      <c r="C867" t="str">
        <f t="shared" si="214"/>
        <v/>
      </c>
      <c r="D867" s="63">
        <f t="shared" si="215"/>
        <v>16.1343896713615</v>
      </c>
      <c r="E867" t="str">
        <f t="shared" si="216"/>
        <v/>
      </c>
      <c r="F867" t="str">
        <f t="shared" si="217"/>
        <v/>
      </c>
      <c r="G867" t="str">
        <f t="shared" si="218"/>
        <v/>
      </c>
    </row>
    <row r="868" ht="15.75" spans="2:7">
      <c r="B868" s="46"/>
      <c r="C868" t="str">
        <f t="shared" si="214"/>
        <v/>
      </c>
      <c r="D868" s="63">
        <f t="shared" si="215"/>
        <v>16.8620892018779</v>
      </c>
      <c r="E868" t="str">
        <f t="shared" si="216"/>
        <v/>
      </c>
      <c r="F868" t="str">
        <f t="shared" si="217"/>
        <v/>
      </c>
      <c r="G868" t="str">
        <f t="shared" si="218"/>
        <v/>
      </c>
    </row>
    <row r="869" spans="2:7">
      <c r="B869" s="74" t="s">
        <v>269</v>
      </c>
      <c r="C869" s="75">
        <f>MAX(C837:C868)</f>
        <v>19.2465277777778</v>
      </c>
      <c r="D869" s="75">
        <f>MAX(D837:D868)</f>
        <v>16.8620892018779</v>
      </c>
      <c r="E869" s="75">
        <f>MAX(E837:E868)</f>
        <v>14.5833333333333</v>
      </c>
      <c r="F869" s="75">
        <f>MAX(F837:F868)</f>
        <v>15.0017006802721</v>
      </c>
      <c r="G869" s="75">
        <f>MAX(G837:G868)</f>
        <v>14.7243186582809</v>
      </c>
    </row>
    <row r="870" spans="2:7">
      <c r="B870" s="76" t="s">
        <v>270</v>
      </c>
      <c r="C870" s="77">
        <v>1</v>
      </c>
      <c r="D870" s="78">
        <v>2</v>
      </c>
      <c r="E870">
        <v>3</v>
      </c>
      <c r="F870">
        <v>4</v>
      </c>
      <c r="G870">
        <v>5</v>
      </c>
    </row>
    <row r="871" spans="2:7">
      <c r="B871" s="79" t="s">
        <v>271</v>
      </c>
      <c r="C871" s="72">
        <f>HLOOKUP(MIN(C869:G869),C869:G870,2,FALSE)</f>
        <v>3</v>
      </c>
      <c r="D871" s="80"/>
    </row>
    <row r="873" ht="15.75" spans="2:7">
      <c r="B873" s="43" t="s">
        <v>305</v>
      </c>
      <c r="C873" s="44"/>
      <c r="D873" s="45"/>
    </row>
    <row r="874" spans="2:7">
      <c r="B874" s="46"/>
      <c r="C874" s="61" t="s">
        <v>264</v>
      </c>
      <c r="D874" s="61" t="s">
        <v>265</v>
      </c>
      <c r="E874" s="62" t="s">
        <v>286</v>
      </c>
      <c r="F874" s="62" t="s">
        <v>287</v>
      </c>
      <c r="G874" s="62" t="s">
        <v>288</v>
      </c>
    </row>
    <row r="875" spans="2:7">
      <c r="B875" s="46"/>
      <c r="C875" s="63" t="str">
        <f t="shared" ref="C875:C907" si="219">IF(J8=2,S8,"")</f>
        <v/>
      </c>
      <c r="D875" s="63" t="str">
        <f t="shared" ref="D875:D907" si="220">IF(J8=2,S8,"")</f>
        <v/>
      </c>
      <c r="E875" t="str">
        <f t="shared" ref="E875:E907" si="221">IF(J8=3,S8,"")</f>
        <v/>
      </c>
      <c r="F875" t="str">
        <f t="shared" ref="F875:F907" si="222">IF(J8=4,S8,"")</f>
        <v/>
      </c>
      <c r="G875" t="str">
        <f t="shared" ref="G875:G907" si="223">IF(J8=5,S8,"")</f>
        <v/>
      </c>
    </row>
    <row r="876" spans="2:7">
      <c r="B876" s="46"/>
      <c r="C876" s="63">
        <f t="shared" si="219"/>
        <v>0.734154929577465</v>
      </c>
      <c r="D876" s="63">
        <f t="shared" si="220"/>
        <v>0.734154929577465</v>
      </c>
      <c r="E876" t="str">
        <f t="shared" si="221"/>
        <v/>
      </c>
      <c r="F876" t="str">
        <f t="shared" si="222"/>
        <v/>
      </c>
      <c r="G876" t="str">
        <f t="shared" si="223"/>
        <v/>
      </c>
    </row>
    <row r="877" spans="2:7">
      <c r="B877" s="46"/>
      <c r="C877" s="63" t="str">
        <f t="shared" si="219"/>
        <v/>
      </c>
      <c r="D877" s="63" t="str">
        <f t="shared" si="220"/>
        <v/>
      </c>
      <c r="E877">
        <f t="shared" si="221"/>
        <v>1.83823529411765</v>
      </c>
      <c r="F877" t="str">
        <f t="shared" si="222"/>
        <v/>
      </c>
      <c r="G877" t="str">
        <f t="shared" si="223"/>
        <v/>
      </c>
    </row>
    <row r="878" spans="2:7">
      <c r="B878" s="46"/>
      <c r="C878" s="63" t="str">
        <f t="shared" si="219"/>
        <v/>
      </c>
      <c r="D878" s="63" t="str">
        <f t="shared" si="220"/>
        <v/>
      </c>
      <c r="E878" t="str">
        <f t="shared" si="221"/>
        <v/>
      </c>
      <c r="F878">
        <f t="shared" si="222"/>
        <v>4.28571428571429</v>
      </c>
      <c r="G878" t="str">
        <f t="shared" si="223"/>
        <v/>
      </c>
    </row>
    <row r="879" spans="2:7">
      <c r="B879" s="46"/>
      <c r="C879" s="63" t="str">
        <f t="shared" si="219"/>
        <v/>
      </c>
      <c r="D879" s="63" t="str">
        <f t="shared" si="220"/>
        <v/>
      </c>
      <c r="E879" t="str">
        <f t="shared" si="221"/>
        <v/>
      </c>
      <c r="F879" t="str">
        <f t="shared" si="222"/>
        <v/>
      </c>
      <c r="G879">
        <f t="shared" si="223"/>
        <v>3.43396226415094</v>
      </c>
    </row>
    <row r="880" spans="2:7">
      <c r="B880" s="46"/>
      <c r="C880" s="63" t="str">
        <f t="shared" si="219"/>
        <v/>
      </c>
      <c r="D880" s="63" t="str">
        <f t="shared" si="220"/>
        <v/>
      </c>
      <c r="E880">
        <f t="shared" si="221"/>
        <v>14.5833333333333</v>
      </c>
      <c r="F880" t="str">
        <f t="shared" si="222"/>
        <v/>
      </c>
      <c r="G880" t="str">
        <f t="shared" si="223"/>
        <v/>
      </c>
    </row>
    <row r="881" spans="2:7">
      <c r="B881" s="46"/>
      <c r="C881" s="63" t="str">
        <f t="shared" si="219"/>
        <v/>
      </c>
      <c r="D881" s="63" t="str">
        <f t="shared" si="220"/>
        <v/>
      </c>
      <c r="E881" t="str">
        <f t="shared" si="221"/>
        <v/>
      </c>
      <c r="F881">
        <f t="shared" si="222"/>
        <v>6.42857142857143</v>
      </c>
      <c r="G881" t="str">
        <f t="shared" si="223"/>
        <v/>
      </c>
    </row>
    <row r="882" spans="2:7">
      <c r="B882" s="46"/>
      <c r="C882" s="63" t="str">
        <f t="shared" si="219"/>
        <v/>
      </c>
      <c r="D882" s="63" t="str">
        <f t="shared" si="220"/>
        <v/>
      </c>
      <c r="E882" t="str">
        <f t="shared" si="221"/>
        <v/>
      </c>
      <c r="F882" t="str">
        <f t="shared" si="222"/>
        <v/>
      </c>
      <c r="G882">
        <f t="shared" si="223"/>
        <v>3.84591194968553</v>
      </c>
    </row>
    <row r="883" spans="2:7">
      <c r="B883" s="46"/>
      <c r="C883" s="63" t="str">
        <f t="shared" si="219"/>
        <v/>
      </c>
      <c r="D883" s="63" t="str">
        <f t="shared" si="220"/>
        <v/>
      </c>
      <c r="E883" t="str">
        <f t="shared" si="221"/>
        <v/>
      </c>
      <c r="F883" t="str">
        <f t="shared" si="222"/>
        <v/>
      </c>
      <c r="G883" t="str">
        <f t="shared" si="223"/>
        <v/>
      </c>
    </row>
    <row r="884" spans="2:7">
      <c r="B884" s="46"/>
      <c r="C884" s="63" t="str">
        <f t="shared" si="219"/>
        <v/>
      </c>
      <c r="D884" s="63" t="str">
        <f t="shared" si="220"/>
        <v/>
      </c>
      <c r="E884" t="str">
        <f t="shared" si="221"/>
        <v/>
      </c>
      <c r="F884" t="str">
        <f t="shared" si="222"/>
        <v/>
      </c>
      <c r="G884" t="str">
        <f t="shared" si="223"/>
        <v/>
      </c>
    </row>
    <row r="885" spans="2:7">
      <c r="B885" s="46"/>
      <c r="C885" s="63" t="str">
        <f t="shared" si="219"/>
        <v/>
      </c>
      <c r="D885" s="63" t="str">
        <f t="shared" si="220"/>
        <v/>
      </c>
      <c r="E885" t="str">
        <f t="shared" si="221"/>
        <v/>
      </c>
      <c r="F885" t="str">
        <f t="shared" si="222"/>
        <v/>
      </c>
      <c r="G885" t="str">
        <f t="shared" si="223"/>
        <v/>
      </c>
    </row>
    <row r="886" spans="2:7">
      <c r="B886" s="46"/>
      <c r="C886" s="63" t="str">
        <f t="shared" si="219"/>
        <v/>
      </c>
      <c r="D886" s="63" t="str">
        <f t="shared" si="220"/>
        <v/>
      </c>
      <c r="E886" t="str">
        <f t="shared" si="221"/>
        <v/>
      </c>
      <c r="F886" t="str">
        <f t="shared" si="222"/>
        <v/>
      </c>
      <c r="G886" t="str">
        <f t="shared" si="223"/>
        <v/>
      </c>
    </row>
    <row r="887" spans="2:7">
      <c r="B887" s="46"/>
      <c r="C887" s="63">
        <f t="shared" si="219"/>
        <v>2.7881455399061</v>
      </c>
      <c r="D887" s="63">
        <f t="shared" si="220"/>
        <v>2.7881455399061</v>
      </c>
      <c r="E887" t="str">
        <f t="shared" si="221"/>
        <v/>
      </c>
      <c r="F887" t="str">
        <f t="shared" si="222"/>
        <v/>
      </c>
      <c r="G887" t="str">
        <f t="shared" si="223"/>
        <v/>
      </c>
    </row>
    <row r="888" spans="2:7">
      <c r="B888" s="46"/>
      <c r="C888" s="63">
        <f t="shared" si="219"/>
        <v>4.47535211267606</v>
      </c>
      <c r="D888" s="63">
        <f t="shared" si="220"/>
        <v>4.47535211267606</v>
      </c>
      <c r="E888" t="str">
        <f t="shared" si="221"/>
        <v/>
      </c>
      <c r="F888" t="str">
        <f t="shared" si="222"/>
        <v/>
      </c>
      <c r="G888" t="str">
        <f t="shared" si="223"/>
        <v/>
      </c>
    </row>
    <row r="889" spans="2:7">
      <c r="B889" s="46"/>
      <c r="C889" s="63">
        <f t="shared" si="219"/>
        <v>6.10680751173709</v>
      </c>
      <c r="D889" s="63">
        <f t="shared" si="220"/>
        <v>6.10680751173709</v>
      </c>
      <c r="E889" t="str">
        <f t="shared" si="221"/>
        <v/>
      </c>
      <c r="F889" t="str">
        <f t="shared" si="222"/>
        <v/>
      </c>
      <c r="G889" t="str">
        <f t="shared" si="223"/>
        <v/>
      </c>
    </row>
    <row r="890" spans="2:7">
      <c r="B890" s="46"/>
      <c r="C890" s="63">
        <f t="shared" si="219"/>
        <v>8.50821596244131</v>
      </c>
      <c r="D890" s="63">
        <f t="shared" si="220"/>
        <v>8.50821596244131</v>
      </c>
      <c r="E890" t="str">
        <f t="shared" si="221"/>
        <v/>
      </c>
      <c r="F890" t="str">
        <f t="shared" si="222"/>
        <v/>
      </c>
      <c r="G890" t="str">
        <f t="shared" si="223"/>
        <v/>
      </c>
    </row>
    <row r="891" spans="2:7">
      <c r="B891" s="46"/>
      <c r="C891" s="63">
        <f t="shared" si="219"/>
        <v>10.268779342723</v>
      </c>
      <c r="D891" s="63">
        <f t="shared" si="220"/>
        <v>10.268779342723</v>
      </c>
      <c r="E891" t="str">
        <f t="shared" si="221"/>
        <v/>
      </c>
      <c r="F891" t="str">
        <f t="shared" si="222"/>
        <v/>
      </c>
      <c r="G891" t="str">
        <f t="shared" si="223"/>
        <v/>
      </c>
    </row>
    <row r="892" spans="2:7">
      <c r="B892" s="46"/>
      <c r="C892" s="63" t="str">
        <f t="shared" si="219"/>
        <v/>
      </c>
      <c r="D892" s="63" t="str">
        <f t="shared" si="220"/>
        <v/>
      </c>
      <c r="E892" t="str">
        <f t="shared" si="221"/>
        <v/>
      </c>
      <c r="F892" t="str">
        <f t="shared" si="222"/>
        <v/>
      </c>
      <c r="G892">
        <f t="shared" si="223"/>
        <v>7.67610062893082</v>
      </c>
    </row>
    <row r="893" spans="2:7">
      <c r="B893" s="46"/>
      <c r="C893" s="63" t="str">
        <f t="shared" si="219"/>
        <v/>
      </c>
      <c r="D893" s="63" t="str">
        <f t="shared" si="220"/>
        <v/>
      </c>
      <c r="E893" t="str">
        <f t="shared" si="221"/>
        <v/>
      </c>
      <c r="F893" t="str">
        <f t="shared" si="222"/>
        <v/>
      </c>
      <c r="G893">
        <f t="shared" si="223"/>
        <v>10.3836477987421</v>
      </c>
    </row>
    <row r="894" spans="2:7">
      <c r="B894" s="46"/>
      <c r="C894" s="63" t="str">
        <f t="shared" si="219"/>
        <v/>
      </c>
      <c r="D894" s="63" t="str">
        <f t="shared" si="220"/>
        <v/>
      </c>
      <c r="E894" t="str">
        <f t="shared" si="221"/>
        <v/>
      </c>
      <c r="F894" t="str">
        <f t="shared" si="222"/>
        <v/>
      </c>
      <c r="G894">
        <f t="shared" si="223"/>
        <v>13.2138364779874</v>
      </c>
    </row>
    <row r="895" spans="2:7">
      <c r="B895" s="46"/>
      <c r="C895" s="63" t="str">
        <f t="shared" si="219"/>
        <v/>
      </c>
      <c r="D895" s="63" t="str">
        <f t="shared" si="220"/>
        <v/>
      </c>
      <c r="E895" t="str">
        <f t="shared" si="221"/>
        <v/>
      </c>
      <c r="F895" t="str">
        <f t="shared" si="222"/>
        <v/>
      </c>
      <c r="G895">
        <f t="shared" si="223"/>
        <v>14.7243186582809</v>
      </c>
    </row>
    <row r="896" spans="2:7">
      <c r="B896" s="46"/>
      <c r="C896" s="63" t="str">
        <f t="shared" si="219"/>
        <v/>
      </c>
      <c r="D896" s="63" t="str">
        <f t="shared" si="220"/>
        <v/>
      </c>
      <c r="E896" t="str">
        <f t="shared" si="221"/>
        <v/>
      </c>
      <c r="F896">
        <f t="shared" si="222"/>
        <v>9.17630385487529</v>
      </c>
      <c r="G896" t="str">
        <f t="shared" si="223"/>
        <v/>
      </c>
    </row>
    <row r="897" spans="2:7">
      <c r="B897" s="46"/>
      <c r="C897" s="63" t="str">
        <f t="shared" si="219"/>
        <v/>
      </c>
      <c r="D897" s="63" t="str">
        <f t="shared" si="220"/>
        <v/>
      </c>
      <c r="E897" t="str">
        <f t="shared" si="221"/>
        <v/>
      </c>
      <c r="F897">
        <f t="shared" si="222"/>
        <v>12.328231292517</v>
      </c>
      <c r="G897" t="str">
        <f t="shared" si="223"/>
        <v/>
      </c>
    </row>
    <row r="898" spans="2:7">
      <c r="B898" s="46"/>
      <c r="C898" s="63" t="str">
        <f t="shared" si="219"/>
        <v/>
      </c>
      <c r="D898" s="63" t="str">
        <f t="shared" si="220"/>
        <v/>
      </c>
      <c r="E898" t="str">
        <f t="shared" si="221"/>
        <v/>
      </c>
      <c r="F898">
        <f t="shared" si="222"/>
        <v>15.0017006802721</v>
      </c>
      <c r="G898" t="str">
        <f t="shared" si="223"/>
        <v/>
      </c>
    </row>
    <row r="899" spans="2:7">
      <c r="B899" s="46"/>
      <c r="C899" s="63" t="str">
        <f t="shared" si="219"/>
        <v/>
      </c>
      <c r="D899" s="63" t="str">
        <f t="shared" si="220"/>
        <v/>
      </c>
      <c r="E899" t="str">
        <f t="shared" si="221"/>
        <v/>
      </c>
      <c r="F899" t="str">
        <f t="shared" si="222"/>
        <v/>
      </c>
      <c r="G899" t="str">
        <f t="shared" si="223"/>
        <v/>
      </c>
    </row>
    <row r="900" spans="2:7">
      <c r="B900" s="46"/>
      <c r="C900" s="63" t="str">
        <f t="shared" si="219"/>
        <v/>
      </c>
      <c r="D900" s="63" t="str">
        <f t="shared" si="220"/>
        <v/>
      </c>
      <c r="E900" t="str">
        <f t="shared" si="221"/>
        <v/>
      </c>
      <c r="F900" t="str">
        <f t="shared" si="222"/>
        <v/>
      </c>
      <c r="G900" t="str">
        <f t="shared" si="223"/>
        <v/>
      </c>
    </row>
    <row r="901" spans="2:7">
      <c r="B901" s="46"/>
      <c r="C901" s="63" t="str">
        <f t="shared" si="219"/>
        <v/>
      </c>
      <c r="D901" s="63" t="str">
        <f t="shared" si="220"/>
        <v/>
      </c>
      <c r="E901" t="str">
        <f t="shared" si="221"/>
        <v/>
      </c>
      <c r="F901" t="str">
        <f t="shared" si="222"/>
        <v/>
      </c>
      <c r="G901" t="str">
        <f t="shared" si="223"/>
        <v/>
      </c>
    </row>
    <row r="902" spans="2:7">
      <c r="B902" s="46"/>
      <c r="C902" s="63" t="str">
        <f t="shared" si="219"/>
        <v/>
      </c>
      <c r="D902" s="63" t="str">
        <f t="shared" si="220"/>
        <v/>
      </c>
      <c r="E902" t="str">
        <f t="shared" si="221"/>
        <v/>
      </c>
      <c r="F902" t="str">
        <f t="shared" si="222"/>
        <v/>
      </c>
      <c r="G902" t="str">
        <f t="shared" si="223"/>
        <v/>
      </c>
    </row>
    <row r="903" spans="2:7">
      <c r="B903" s="46"/>
      <c r="C903" s="63">
        <f t="shared" si="219"/>
        <v>15.0340375586854</v>
      </c>
      <c r="D903" s="63">
        <f t="shared" si="220"/>
        <v>15.0340375586854</v>
      </c>
      <c r="E903" t="str">
        <f t="shared" si="221"/>
        <v/>
      </c>
      <c r="F903" t="str">
        <f t="shared" si="222"/>
        <v/>
      </c>
      <c r="G903" t="str">
        <f t="shared" si="223"/>
        <v/>
      </c>
    </row>
    <row r="904" spans="2:7">
      <c r="B904" s="46"/>
      <c r="C904" s="63">
        <f t="shared" si="219"/>
        <v>15.0340375586854</v>
      </c>
      <c r="D904" s="63">
        <f t="shared" si="220"/>
        <v>15.0340375586854</v>
      </c>
      <c r="E904" t="str">
        <f t="shared" si="221"/>
        <v/>
      </c>
      <c r="F904" t="str">
        <f t="shared" si="222"/>
        <v/>
      </c>
      <c r="G904" t="str">
        <f t="shared" si="223"/>
        <v/>
      </c>
    </row>
    <row r="905" spans="2:7">
      <c r="B905" s="46"/>
      <c r="C905" s="63">
        <f t="shared" si="219"/>
        <v>16.1343896713615</v>
      </c>
      <c r="D905" s="63">
        <f t="shared" si="220"/>
        <v>16.1343896713615</v>
      </c>
      <c r="E905" t="str">
        <f t="shared" si="221"/>
        <v/>
      </c>
      <c r="F905" t="str">
        <f t="shared" si="222"/>
        <v/>
      </c>
      <c r="G905" t="str">
        <f t="shared" si="223"/>
        <v/>
      </c>
    </row>
    <row r="906" spans="2:7">
      <c r="B906" s="46"/>
      <c r="C906" s="63">
        <f t="shared" si="219"/>
        <v>16.8620892018779</v>
      </c>
      <c r="D906" s="63">
        <f t="shared" si="220"/>
        <v>16.8620892018779</v>
      </c>
      <c r="E906" t="str">
        <f t="shared" si="221"/>
        <v/>
      </c>
      <c r="F906" t="str">
        <f t="shared" si="222"/>
        <v/>
      </c>
      <c r="G906" t="str">
        <f t="shared" si="223"/>
        <v/>
      </c>
    </row>
    <row r="907" ht="15.75" spans="2:7">
      <c r="B907" s="46"/>
      <c r="C907" s="63" t="str">
        <f t="shared" si="219"/>
        <v/>
      </c>
      <c r="D907" s="63" t="str">
        <f t="shared" si="220"/>
        <v/>
      </c>
      <c r="E907">
        <f t="shared" si="221"/>
        <v>16.1245098039216</v>
      </c>
      <c r="F907" t="str">
        <f t="shared" si="222"/>
        <v/>
      </c>
      <c r="G907" t="str">
        <f t="shared" si="223"/>
        <v/>
      </c>
    </row>
    <row r="908" ht="15.75" spans="2:7">
      <c r="B908" s="74" t="s">
        <v>269</v>
      </c>
      <c r="C908" s="75">
        <f>MAX(C875:C907)</f>
        <v>16.8620892018779</v>
      </c>
      <c r="D908" s="75">
        <f>MAX(D875:D907)</f>
        <v>16.8620892018779</v>
      </c>
      <c r="E908" s="53">
        <f>MAX(E875:E907)</f>
        <v>16.1245098039216</v>
      </c>
      <c r="F908" s="53">
        <f>MAX(F875:F907)</f>
        <v>15.0017006802721</v>
      </c>
      <c r="G908" s="53">
        <f>MAX(G875:G907)</f>
        <v>14.7243186582809</v>
      </c>
    </row>
    <row r="909" spans="2:7">
      <c r="B909" s="76" t="s">
        <v>270</v>
      </c>
      <c r="C909" s="77">
        <v>1</v>
      </c>
      <c r="D909" s="78">
        <v>2</v>
      </c>
      <c r="E909">
        <v>3</v>
      </c>
      <c r="F909">
        <v>4</v>
      </c>
      <c r="G909">
        <v>5</v>
      </c>
    </row>
    <row r="910" spans="2:7">
      <c r="B910" s="79" t="s">
        <v>271</v>
      </c>
      <c r="C910" s="72">
        <f>HLOOKUP(MIN(C908:G908),C908:G909,2,FALSE)</f>
        <v>5</v>
      </c>
      <c r="D910" s="80"/>
    </row>
    <row r="913" ht="15.75" spans="2:7">
      <c r="B913" s="43" t="s">
        <v>306</v>
      </c>
      <c r="D913" s="45"/>
    </row>
    <row r="914" spans="2:7">
      <c r="B914" s="46"/>
      <c r="C914" s="61" t="s">
        <v>264</v>
      </c>
      <c r="D914" s="61" t="s">
        <v>265</v>
      </c>
      <c r="E914" s="62" t="s">
        <v>286</v>
      </c>
      <c r="F914" s="62" t="s">
        <v>287</v>
      </c>
      <c r="G914" s="62" t="s">
        <v>288</v>
      </c>
    </row>
    <row r="915" spans="2:7">
      <c r="B915" s="46"/>
      <c r="C915">
        <f>IF(J8=1,S8,"")</f>
        <v>0.700231481481482</v>
      </c>
      <c r="D915" s="63" t="str">
        <f>IF(J8=2,S8,"")</f>
        <v/>
      </c>
      <c r="E915" t="str">
        <f>IF(J8=3,S8,"")</f>
        <v/>
      </c>
      <c r="F915" t="str">
        <f>IF(J8=4,S8,"")</f>
        <v/>
      </c>
      <c r="G915" t="str">
        <f>IF(J8=5,S8,"")</f>
        <v/>
      </c>
    </row>
    <row r="916" spans="2:7">
      <c r="B916" s="46"/>
      <c r="C916" t="str">
        <f t="shared" ref="C916:C948" si="224">IF(J9=1,S9,"")</f>
        <v/>
      </c>
      <c r="D916" s="63">
        <f t="shared" ref="D916:D948" si="225">IF(J9=2,S9,"")</f>
        <v>0.734154929577465</v>
      </c>
      <c r="E916" t="str">
        <f t="shared" ref="E916:E948" si="226">IF(J9=3,S9,"")</f>
        <v/>
      </c>
      <c r="F916" t="str">
        <f t="shared" ref="F916:F948" si="227">IF(J9=4,S9,"")</f>
        <v/>
      </c>
      <c r="G916" t="str">
        <f t="shared" ref="G916:G948" si="228">IF(J9=5,S9,"")</f>
        <v/>
      </c>
    </row>
    <row r="917" spans="2:7">
      <c r="B917" s="46"/>
      <c r="C917" t="str">
        <f t="shared" si="224"/>
        <v/>
      </c>
      <c r="D917" s="63" t="str">
        <f t="shared" si="225"/>
        <v/>
      </c>
      <c r="E917">
        <f t="shared" si="226"/>
        <v>1.83823529411765</v>
      </c>
      <c r="F917" t="str">
        <f t="shared" si="227"/>
        <v/>
      </c>
      <c r="G917" t="str">
        <f t="shared" si="228"/>
        <v/>
      </c>
    </row>
    <row r="918" spans="2:7">
      <c r="B918" s="46"/>
      <c r="C918" t="str">
        <f t="shared" si="224"/>
        <v/>
      </c>
      <c r="D918" s="63" t="str">
        <f t="shared" si="225"/>
        <v/>
      </c>
      <c r="E918" t="str">
        <f t="shared" si="226"/>
        <v/>
      </c>
      <c r="F918">
        <f t="shared" si="227"/>
        <v>4.28571428571429</v>
      </c>
      <c r="G918" t="str">
        <f t="shared" si="228"/>
        <v/>
      </c>
    </row>
    <row r="919" spans="2:7">
      <c r="B919" s="46"/>
      <c r="C919" t="str">
        <f t="shared" si="224"/>
        <v/>
      </c>
      <c r="D919" s="63" t="str">
        <f t="shared" si="225"/>
        <v/>
      </c>
      <c r="E919" t="str">
        <f t="shared" si="226"/>
        <v/>
      </c>
      <c r="F919" t="str">
        <f t="shared" si="227"/>
        <v/>
      </c>
      <c r="G919">
        <f t="shared" si="228"/>
        <v>3.43396226415094</v>
      </c>
    </row>
    <row r="920" spans="2:7">
      <c r="B920" s="46"/>
      <c r="C920" t="str">
        <f t="shared" si="224"/>
        <v/>
      </c>
      <c r="D920" s="63" t="str">
        <f t="shared" si="225"/>
        <v/>
      </c>
      <c r="E920">
        <f t="shared" si="226"/>
        <v>14.5833333333333</v>
      </c>
      <c r="F920" t="str">
        <f t="shared" si="227"/>
        <v/>
      </c>
      <c r="G920" t="str">
        <f t="shared" si="228"/>
        <v/>
      </c>
    </row>
    <row r="921" spans="2:7">
      <c r="B921" s="46"/>
      <c r="C921" t="str">
        <f t="shared" si="224"/>
        <v/>
      </c>
      <c r="D921" s="63" t="str">
        <f t="shared" si="225"/>
        <v/>
      </c>
      <c r="E921" t="str">
        <f t="shared" si="226"/>
        <v/>
      </c>
      <c r="F921">
        <f t="shared" si="227"/>
        <v>6.42857142857143</v>
      </c>
      <c r="G921" t="str">
        <f t="shared" si="228"/>
        <v/>
      </c>
    </row>
    <row r="922" spans="2:7">
      <c r="B922" s="46"/>
      <c r="C922" t="str">
        <f t="shared" si="224"/>
        <v/>
      </c>
      <c r="D922" s="63" t="str">
        <f t="shared" si="225"/>
        <v/>
      </c>
      <c r="E922" t="str">
        <f t="shared" si="226"/>
        <v/>
      </c>
      <c r="F922" t="str">
        <f t="shared" si="227"/>
        <v/>
      </c>
      <c r="G922">
        <f t="shared" si="228"/>
        <v>3.84591194968553</v>
      </c>
    </row>
    <row r="923" spans="2:7">
      <c r="B923" s="46"/>
      <c r="C923">
        <f t="shared" si="224"/>
        <v>0.844907407407407</v>
      </c>
      <c r="D923" s="63" t="str">
        <f t="shared" si="225"/>
        <v/>
      </c>
      <c r="E923" t="str">
        <f t="shared" si="226"/>
        <v/>
      </c>
      <c r="F923" t="str">
        <f t="shared" si="227"/>
        <v/>
      </c>
      <c r="G923" t="str">
        <f t="shared" si="228"/>
        <v/>
      </c>
    </row>
    <row r="924" spans="2:7">
      <c r="B924" s="46"/>
      <c r="C924">
        <f t="shared" si="224"/>
        <v>6.79803240740741</v>
      </c>
      <c r="D924" s="63" t="str">
        <f t="shared" si="225"/>
        <v/>
      </c>
      <c r="E924" t="str">
        <f t="shared" si="226"/>
        <v/>
      </c>
      <c r="F924" t="str">
        <f t="shared" si="227"/>
        <v/>
      </c>
      <c r="G924" t="str">
        <f t="shared" si="228"/>
        <v/>
      </c>
    </row>
    <row r="925" spans="2:7">
      <c r="B925" s="46"/>
      <c r="C925">
        <f t="shared" si="224"/>
        <v>6.79803240740741</v>
      </c>
      <c r="D925" s="63" t="str">
        <f t="shared" si="225"/>
        <v/>
      </c>
      <c r="E925" t="str">
        <f t="shared" si="226"/>
        <v/>
      </c>
      <c r="F925" t="str">
        <f t="shared" si="227"/>
        <v/>
      </c>
      <c r="G925" t="str">
        <f t="shared" si="228"/>
        <v/>
      </c>
    </row>
    <row r="926" spans="2:7">
      <c r="B926" s="46"/>
      <c r="C926">
        <f t="shared" si="224"/>
        <v>7.52719907407408</v>
      </c>
      <c r="D926" s="63" t="str">
        <f t="shared" si="225"/>
        <v/>
      </c>
      <c r="E926" t="str">
        <f t="shared" si="226"/>
        <v/>
      </c>
      <c r="F926" t="str">
        <f t="shared" si="227"/>
        <v/>
      </c>
      <c r="G926" t="str">
        <f t="shared" si="228"/>
        <v/>
      </c>
    </row>
    <row r="927" spans="2:7">
      <c r="B927" s="46"/>
      <c r="C927" t="str">
        <f t="shared" si="224"/>
        <v/>
      </c>
      <c r="D927" s="63">
        <f t="shared" si="225"/>
        <v>2.7881455399061</v>
      </c>
      <c r="E927" t="str">
        <f t="shared" si="226"/>
        <v/>
      </c>
      <c r="F927" t="str">
        <f t="shared" si="227"/>
        <v/>
      </c>
      <c r="G927" t="str">
        <f t="shared" si="228"/>
        <v/>
      </c>
    </row>
    <row r="928" spans="2:7">
      <c r="B928" s="46"/>
      <c r="C928" t="str">
        <f t="shared" si="224"/>
        <v/>
      </c>
      <c r="D928" s="63">
        <f t="shared" si="225"/>
        <v>4.47535211267606</v>
      </c>
      <c r="E928" t="str">
        <f t="shared" si="226"/>
        <v/>
      </c>
      <c r="F928" t="str">
        <f t="shared" si="227"/>
        <v/>
      </c>
      <c r="G928" t="str">
        <f t="shared" si="228"/>
        <v/>
      </c>
    </row>
    <row r="929" spans="2:7">
      <c r="B929" s="46"/>
      <c r="C929" t="str">
        <f t="shared" si="224"/>
        <v/>
      </c>
      <c r="D929" s="63">
        <f t="shared" si="225"/>
        <v>6.10680751173709</v>
      </c>
      <c r="E929" t="str">
        <f t="shared" si="226"/>
        <v/>
      </c>
      <c r="F929" t="str">
        <f t="shared" si="227"/>
        <v/>
      </c>
      <c r="G929" t="str">
        <f t="shared" si="228"/>
        <v/>
      </c>
    </row>
    <row r="930" spans="2:7">
      <c r="B930" s="46"/>
      <c r="C930" t="str">
        <f t="shared" si="224"/>
        <v/>
      </c>
      <c r="D930" s="63">
        <f t="shared" si="225"/>
        <v>8.50821596244131</v>
      </c>
      <c r="E930" t="str">
        <f t="shared" si="226"/>
        <v/>
      </c>
      <c r="F930" t="str">
        <f t="shared" si="227"/>
        <v/>
      </c>
      <c r="G930" t="str">
        <f t="shared" si="228"/>
        <v/>
      </c>
    </row>
    <row r="931" spans="2:7">
      <c r="B931" s="46"/>
      <c r="C931" t="str">
        <f t="shared" si="224"/>
        <v/>
      </c>
      <c r="D931" s="63">
        <f t="shared" si="225"/>
        <v>10.268779342723</v>
      </c>
      <c r="E931" t="str">
        <f t="shared" si="226"/>
        <v/>
      </c>
      <c r="F931" t="str">
        <f t="shared" si="227"/>
        <v/>
      </c>
      <c r="G931" t="str">
        <f t="shared" si="228"/>
        <v/>
      </c>
    </row>
    <row r="932" spans="2:7">
      <c r="B932" s="46"/>
      <c r="C932" t="str">
        <f t="shared" si="224"/>
        <v/>
      </c>
      <c r="D932" s="63" t="str">
        <f t="shared" si="225"/>
        <v/>
      </c>
      <c r="E932" t="str">
        <f t="shared" si="226"/>
        <v/>
      </c>
      <c r="F932" t="str">
        <f t="shared" si="227"/>
        <v/>
      </c>
      <c r="G932">
        <f t="shared" si="228"/>
        <v>7.67610062893082</v>
      </c>
    </row>
    <row r="933" spans="2:7">
      <c r="B933" s="46"/>
      <c r="C933" t="str">
        <f t="shared" si="224"/>
        <v/>
      </c>
      <c r="D933" s="63" t="str">
        <f t="shared" si="225"/>
        <v/>
      </c>
      <c r="E933" t="str">
        <f t="shared" si="226"/>
        <v/>
      </c>
      <c r="F933" t="str">
        <f t="shared" si="227"/>
        <v/>
      </c>
      <c r="G933">
        <f t="shared" si="228"/>
        <v>10.3836477987421</v>
      </c>
    </row>
    <row r="934" spans="2:7">
      <c r="B934" s="46"/>
      <c r="C934" t="str">
        <f t="shared" si="224"/>
        <v/>
      </c>
      <c r="D934" s="63" t="str">
        <f t="shared" si="225"/>
        <v/>
      </c>
      <c r="E934" t="str">
        <f t="shared" si="226"/>
        <v/>
      </c>
      <c r="F934" t="str">
        <f t="shared" si="227"/>
        <v/>
      </c>
      <c r="G934">
        <f t="shared" si="228"/>
        <v>13.2138364779874</v>
      </c>
    </row>
    <row r="935" spans="2:7">
      <c r="B935" s="46"/>
      <c r="C935" t="str">
        <f t="shared" si="224"/>
        <v/>
      </c>
      <c r="D935" s="63" t="str">
        <f t="shared" si="225"/>
        <v/>
      </c>
      <c r="E935" t="str">
        <f t="shared" si="226"/>
        <v/>
      </c>
      <c r="F935" t="str">
        <f t="shared" si="227"/>
        <v/>
      </c>
      <c r="G935">
        <f t="shared" si="228"/>
        <v>14.7243186582809</v>
      </c>
    </row>
    <row r="936" spans="2:7">
      <c r="B936" s="46"/>
      <c r="C936" t="str">
        <f t="shared" si="224"/>
        <v/>
      </c>
      <c r="D936" s="63" t="str">
        <f t="shared" si="225"/>
        <v/>
      </c>
      <c r="E936" t="str">
        <f t="shared" si="226"/>
        <v/>
      </c>
      <c r="F936">
        <f t="shared" si="227"/>
        <v>9.17630385487529</v>
      </c>
      <c r="G936" t="str">
        <f t="shared" si="228"/>
        <v/>
      </c>
    </row>
    <row r="937" spans="2:7">
      <c r="B937" s="46"/>
      <c r="C937" t="str">
        <f t="shared" si="224"/>
        <v/>
      </c>
      <c r="D937" s="63" t="str">
        <f t="shared" si="225"/>
        <v/>
      </c>
      <c r="E937" t="str">
        <f t="shared" si="226"/>
        <v/>
      </c>
      <c r="F937">
        <f t="shared" si="227"/>
        <v>12.328231292517</v>
      </c>
      <c r="G937" t="str">
        <f t="shared" si="228"/>
        <v/>
      </c>
    </row>
    <row r="938" spans="2:7">
      <c r="B938" s="46"/>
      <c r="C938" t="str">
        <f t="shared" si="224"/>
        <v/>
      </c>
      <c r="D938" s="63" t="str">
        <f t="shared" si="225"/>
        <v/>
      </c>
      <c r="E938" t="str">
        <f t="shared" si="226"/>
        <v/>
      </c>
      <c r="F938">
        <f t="shared" si="227"/>
        <v>15.0017006802721</v>
      </c>
      <c r="G938" t="str">
        <f t="shared" si="228"/>
        <v/>
      </c>
    </row>
    <row r="939" spans="2:7">
      <c r="B939" s="46"/>
      <c r="C939">
        <f t="shared" si="224"/>
        <v>10.328125</v>
      </c>
      <c r="D939" s="63" t="str">
        <f t="shared" si="225"/>
        <v/>
      </c>
      <c r="E939" t="str">
        <f t="shared" si="226"/>
        <v/>
      </c>
      <c r="F939" t="str">
        <f t="shared" si="227"/>
        <v/>
      </c>
      <c r="G939" t="str">
        <f t="shared" si="228"/>
        <v/>
      </c>
    </row>
    <row r="940" spans="2:7">
      <c r="B940" s="46"/>
      <c r="C940">
        <f t="shared" si="224"/>
        <v>14.5908564814815</v>
      </c>
      <c r="D940" s="63" t="str">
        <f t="shared" si="225"/>
        <v/>
      </c>
      <c r="E940" t="str">
        <f t="shared" si="226"/>
        <v/>
      </c>
      <c r="F940" t="str">
        <f t="shared" si="227"/>
        <v/>
      </c>
      <c r="G940" t="str">
        <f t="shared" si="228"/>
        <v/>
      </c>
    </row>
    <row r="941" spans="2:7">
      <c r="B941" s="46"/>
      <c r="C941">
        <f t="shared" si="224"/>
        <v>14.9409722222222</v>
      </c>
      <c r="D941" s="63" t="str">
        <f t="shared" si="225"/>
        <v/>
      </c>
      <c r="E941" t="str">
        <f t="shared" si="226"/>
        <v/>
      </c>
      <c r="F941" t="str">
        <f t="shared" si="227"/>
        <v/>
      </c>
      <c r="G941" t="str">
        <f t="shared" si="228"/>
        <v/>
      </c>
    </row>
    <row r="942" spans="2:7">
      <c r="B942" s="46"/>
      <c r="C942">
        <f t="shared" si="224"/>
        <v>19.2465277777778</v>
      </c>
      <c r="D942" s="63" t="str">
        <f t="shared" si="225"/>
        <v/>
      </c>
      <c r="E942" t="str">
        <f t="shared" si="226"/>
        <v/>
      </c>
      <c r="F942" t="str">
        <f t="shared" si="227"/>
        <v/>
      </c>
      <c r="G942" t="str">
        <f t="shared" si="228"/>
        <v/>
      </c>
    </row>
    <row r="943" spans="2:7">
      <c r="B943" s="46"/>
      <c r="C943" t="str">
        <f t="shared" si="224"/>
        <v/>
      </c>
      <c r="D943" s="63">
        <f t="shared" si="225"/>
        <v>15.0340375586854</v>
      </c>
      <c r="E943" t="str">
        <f t="shared" si="226"/>
        <v/>
      </c>
      <c r="F943" t="str">
        <f t="shared" si="227"/>
        <v/>
      </c>
      <c r="G943" t="str">
        <f t="shared" si="228"/>
        <v/>
      </c>
    </row>
    <row r="944" spans="2:7">
      <c r="B944" s="46"/>
      <c r="C944" t="str">
        <f t="shared" si="224"/>
        <v/>
      </c>
      <c r="D944" s="63">
        <f t="shared" si="225"/>
        <v>15.0340375586854</v>
      </c>
      <c r="E944" t="str">
        <f t="shared" si="226"/>
        <v/>
      </c>
      <c r="F944" t="str">
        <f t="shared" si="227"/>
        <v/>
      </c>
      <c r="G944" t="str">
        <f t="shared" si="228"/>
        <v/>
      </c>
    </row>
    <row r="945" spans="2:7">
      <c r="B945" s="46"/>
      <c r="C945" t="str">
        <f t="shared" si="224"/>
        <v/>
      </c>
      <c r="D945" s="63">
        <f t="shared" si="225"/>
        <v>16.1343896713615</v>
      </c>
      <c r="E945" t="str">
        <f t="shared" si="226"/>
        <v/>
      </c>
      <c r="F945" t="str">
        <f t="shared" si="227"/>
        <v/>
      </c>
      <c r="G945" t="str">
        <f t="shared" si="228"/>
        <v/>
      </c>
    </row>
    <row r="946" spans="2:7">
      <c r="B946" s="46"/>
      <c r="C946" t="str">
        <f t="shared" si="224"/>
        <v/>
      </c>
      <c r="D946" s="63">
        <f t="shared" si="225"/>
        <v>16.8620892018779</v>
      </c>
      <c r="E946" t="str">
        <f t="shared" si="226"/>
        <v/>
      </c>
      <c r="F946" t="str">
        <f t="shared" si="227"/>
        <v/>
      </c>
      <c r="G946" t="str">
        <f t="shared" si="228"/>
        <v/>
      </c>
    </row>
    <row r="947" spans="2:7">
      <c r="B947" s="46"/>
      <c r="C947" t="str">
        <f t="shared" si="224"/>
        <v/>
      </c>
      <c r="D947" s="63" t="str">
        <f t="shared" si="225"/>
        <v/>
      </c>
      <c r="E947">
        <f t="shared" si="226"/>
        <v>16.1245098039216</v>
      </c>
      <c r="F947" t="str">
        <f t="shared" si="227"/>
        <v/>
      </c>
      <c r="G947" t="str">
        <f t="shared" si="228"/>
        <v/>
      </c>
    </row>
    <row r="948" ht="15.75" spans="2:7">
      <c r="B948" s="46"/>
      <c r="C948" t="str">
        <f t="shared" si="224"/>
        <v/>
      </c>
      <c r="D948" s="63" t="str">
        <f t="shared" si="225"/>
        <v/>
      </c>
      <c r="E948">
        <f t="shared" si="226"/>
        <v>17.9225490196078</v>
      </c>
      <c r="F948" t="str">
        <f t="shared" si="227"/>
        <v/>
      </c>
      <c r="G948" t="str">
        <f t="shared" si="228"/>
        <v/>
      </c>
    </row>
    <row r="949" spans="2:7">
      <c r="B949" s="74" t="s">
        <v>269</v>
      </c>
      <c r="C949" s="75">
        <f>MAX(C915:C948)</f>
        <v>19.2465277777778</v>
      </c>
      <c r="D949" s="75">
        <f t="shared" ref="D949:G949" si="229">MAX(D915:D948)</f>
        <v>16.8620892018779</v>
      </c>
      <c r="E949" s="75">
        <f t="shared" si="229"/>
        <v>17.9225490196078</v>
      </c>
      <c r="F949" s="75">
        <f t="shared" si="229"/>
        <v>15.0017006802721</v>
      </c>
      <c r="G949" s="75">
        <f t="shared" si="229"/>
        <v>14.7243186582809</v>
      </c>
    </row>
    <row r="950" spans="2:7">
      <c r="B950" s="76" t="s">
        <v>270</v>
      </c>
      <c r="C950" s="77">
        <v>1</v>
      </c>
      <c r="D950" s="78">
        <v>2</v>
      </c>
      <c r="E950">
        <v>3</v>
      </c>
      <c r="F950">
        <v>4</v>
      </c>
      <c r="G950">
        <v>5</v>
      </c>
    </row>
    <row r="951" spans="2:7">
      <c r="B951" s="79" t="s">
        <v>271</v>
      </c>
      <c r="C951" s="72">
        <f>HLOOKUP(MIN(C949:G949),C949:G950,2,FALSE)</f>
        <v>5</v>
      </c>
      <c r="D951" s="80"/>
    </row>
    <row r="953" ht="15.75" spans="2:7">
      <c r="B953" s="43" t="s">
        <v>307</v>
      </c>
      <c r="C953" s="44"/>
      <c r="D953" s="45"/>
    </row>
    <row r="954" spans="2:7">
      <c r="B954" s="46"/>
      <c r="C954" s="61" t="s">
        <v>264</v>
      </c>
      <c r="D954" s="61" t="s">
        <v>265</v>
      </c>
      <c r="E954" s="62" t="s">
        <v>286</v>
      </c>
      <c r="F954" s="62" t="s">
        <v>287</v>
      </c>
      <c r="G954" s="62" t="s">
        <v>288</v>
      </c>
    </row>
    <row r="955" spans="2:7">
      <c r="B955" s="46"/>
      <c r="C955">
        <f t="shared" ref="C955:C989" si="230">IF(J8=1,S8,"")</f>
        <v>0.700231481481482</v>
      </c>
      <c r="D955" s="63" t="str">
        <f t="shared" ref="D955:D989" si="231">IF(J8=2,S8,"")</f>
        <v/>
      </c>
      <c r="E955" t="str">
        <f t="shared" ref="E955:E989" si="232">IF(J8=3,S8,"")</f>
        <v/>
      </c>
      <c r="F955" t="str">
        <f t="shared" ref="F955:F989" si="233">IF(J8=4,S8,"")</f>
        <v/>
      </c>
      <c r="G955" t="str">
        <f t="shared" ref="G955:G989" si="234">IF(J8=5,S8,"")</f>
        <v/>
      </c>
    </row>
    <row r="956" spans="2:7">
      <c r="B956" s="46"/>
      <c r="C956" t="str">
        <f t="shared" si="230"/>
        <v/>
      </c>
      <c r="D956" s="63">
        <f t="shared" si="231"/>
        <v>0.734154929577465</v>
      </c>
      <c r="E956" t="str">
        <f t="shared" si="232"/>
        <v/>
      </c>
      <c r="F956" t="str">
        <f t="shared" si="233"/>
        <v/>
      </c>
      <c r="G956" t="str">
        <f t="shared" si="234"/>
        <v/>
      </c>
    </row>
    <row r="957" spans="2:7">
      <c r="B957" s="46"/>
      <c r="C957" t="str">
        <f t="shared" si="230"/>
        <v/>
      </c>
      <c r="D957" s="63" t="str">
        <f t="shared" si="231"/>
        <v/>
      </c>
      <c r="E957">
        <f t="shared" si="232"/>
        <v>1.83823529411765</v>
      </c>
      <c r="F957" t="str">
        <f t="shared" si="233"/>
        <v/>
      </c>
      <c r="G957" t="str">
        <f t="shared" si="234"/>
        <v/>
      </c>
    </row>
    <row r="958" spans="2:7">
      <c r="B958" s="46"/>
      <c r="C958" t="str">
        <f t="shared" si="230"/>
        <v/>
      </c>
      <c r="D958" s="63" t="str">
        <f t="shared" si="231"/>
        <v/>
      </c>
      <c r="E958" t="str">
        <f t="shared" si="232"/>
        <v/>
      </c>
      <c r="F958">
        <f t="shared" si="233"/>
        <v>4.28571428571429</v>
      </c>
      <c r="G958" t="str">
        <f t="shared" si="234"/>
        <v/>
      </c>
    </row>
    <row r="959" spans="2:7">
      <c r="B959" s="46"/>
      <c r="C959" t="str">
        <f t="shared" si="230"/>
        <v/>
      </c>
      <c r="D959" s="63" t="str">
        <f t="shared" si="231"/>
        <v/>
      </c>
      <c r="E959" t="str">
        <f t="shared" si="232"/>
        <v/>
      </c>
      <c r="F959" t="str">
        <f t="shared" si="233"/>
        <v/>
      </c>
      <c r="G959">
        <f t="shared" si="234"/>
        <v>3.43396226415094</v>
      </c>
    </row>
    <row r="960" spans="2:7">
      <c r="B960" s="46"/>
      <c r="C960" t="str">
        <f t="shared" si="230"/>
        <v/>
      </c>
      <c r="D960" s="63" t="str">
        <f t="shared" si="231"/>
        <v/>
      </c>
      <c r="E960">
        <f t="shared" si="232"/>
        <v>14.5833333333333</v>
      </c>
      <c r="F960" t="str">
        <f t="shared" si="233"/>
        <v/>
      </c>
      <c r="G960" t="str">
        <f t="shared" si="234"/>
        <v/>
      </c>
    </row>
    <row r="961" spans="2:7">
      <c r="B961" s="46"/>
      <c r="C961" t="str">
        <f t="shared" si="230"/>
        <v/>
      </c>
      <c r="D961" s="63" t="str">
        <f t="shared" si="231"/>
        <v/>
      </c>
      <c r="E961" t="str">
        <f t="shared" si="232"/>
        <v/>
      </c>
      <c r="F961">
        <f t="shared" si="233"/>
        <v>6.42857142857143</v>
      </c>
      <c r="G961" t="str">
        <f t="shared" si="234"/>
        <v/>
      </c>
    </row>
    <row r="962" spans="2:7">
      <c r="B962" s="46"/>
      <c r="C962" t="str">
        <f t="shared" si="230"/>
        <v/>
      </c>
      <c r="D962" s="63" t="str">
        <f t="shared" si="231"/>
        <v/>
      </c>
      <c r="E962" t="str">
        <f t="shared" si="232"/>
        <v/>
      </c>
      <c r="F962" t="str">
        <f t="shared" si="233"/>
        <v/>
      </c>
      <c r="G962">
        <f t="shared" si="234"/>
        <v>3.84591194968553</v>
      </c>
    </row>
    <row r="963" spans="2:7">
      <c r="B963" s="46"/>
      <c r="C963">
        <f t="shared" si="230"/>
        <v>0.844907407407407</v>
      </c>
      <c r="D963" s="63" t="str">
        <f t="shared" si="231"/>
        <v/>
      </c>
      <c r="E963" t="str">
        <f t="shared" si="232"/>
        <v/>
      </c>
      <c r="F963" t="str">
        <f t="shared" si="233"/>
        <v/>
      </c>
      <c r="G963" t="str">
        <f t="shared" si="234"/>
        <v/>
      </c>
    </row>
    <row r="964" spans="2:7">
      <c r="B964" s="46"/>
      <c r="C964">
        <f t="shared" si="230"/>
        <v>6.79803240740741</v>
      </c>
      <c r="D964" s="63" t="str">
        <f t="shared" si="231"/>
        <v/>
      </c>
      <c r="E964" t="str">
        <f t="shared" si="232"/>
        <v/>
      </c>
      <c r="F964" t="str">
        <f t="shared" si="233"/>
        <v/>
      </c>
      <c r="G964" t="str">
        <f t="shared" si="234"/>
        <v/>
      </c>
    </row>
    <row r="965" spans="2:7">
      <c r="B965" s="46"/>
      <c r="C965">
        <f t="shared" si="230"/>
        <v>6.79803240740741</v>
      </c>
      <c r="D965" s="63" t="str">
        <f t="shared" si="231"/>
        <v/>
      </c>
      <c r="E965" t="str">
        <f t="shared" si="232"/>
        <v/>
      </c>
      <c r="F965" t="str">
        <f t="shared" si="233"/>
        <v/>
      </c>
      <c r="G965" t="str">
        <f t="shared" si="234"/>
        <v/>
      </c>
    </row>
    <row r="966" spans="2:7">
      <c r="B966" s="46"/>
      <c r="C966">
        <f t="shared" si="230"/>
        <v>7.52719907407408</v>
      </c>
      <c r="D966" s="63" t="str">
        <f t="shared" si="231"/>
        <v/>
      </c>
      <c r="E966" t="str">
        <f t="shared" si="232"/>
        <v/>
      </c>
      <c r="F966" t="str">
        <f t="shared" si="233"/>
        <v/>
      </c>
      <c r="G966" t="str">
        <f t="shared" si="234"/>
        <v/>
      </c>
    </row>
    <row r="967" spans="2:7">
      <c r="B967" s="46"/>
      <c r="C967" t="str">
        <f t="shared" si="230"/>
        <v/>
      </c>
      <c r="D967" s="63">
        <f t="shared" si="231"/>
        <v>2.7881455399061</v>
      </c>
      <c r="E967" t="str">
        <f t="shared" si="232"/>
        <v/>
      </c>
      <c r="F967" t="str">
        <f t="shared" si="233"/>
        <v/>
      </c>
      <c r="G967" t="str">
        <f t="shared" si="234"/>
        <v/>
      </c>
    </row>
    <row r="968" spans="2:7">
      <c r="B968" s="46"/>
      <c r="C968" t="str">
        <f t="shared" si="230"/>
        <v/>
      </c>
      <c r="D968" s="63">
        <f t="shared" si="231"/>
        <v>4.47535211267606</v>
      </c>
      <c r="E968" t="str">
        <f t="shared" si="232"/>
        <v/>
      </c>
      <c r="F968" t="str">
        <f t="shared" si="233"/>
        <v/>
      </c>
      <c r="G968" t="str">
        <f t="shared" si="234"/>
        <v/>
      </c>
    </row>
    <row r="969" spans="2:7">
      <c r="B969" s="46"/>
      <c r="C969" t="str">
        <f t="shared" si="230"/>
        <v/>
      </c>
      <c r="D969" s="63">
        <f t="shared" si="231"/>
        <v>6.10680751173709</v>
      </c>
      <c r="E969" t="str">
        <f t="shared" si="232"/>
        <v/>
      </c>
      <c r="F969" t="str">
        <f t="shared" si="233"/>
        <v/>
      </c>
      <c r="G969" t="str">
        <f t="shared" si="234"/>
        <v/>
      </c>
    </row>
    <row r="970" spans="2:7">
      <c r="B970" s="46"/>
      <c r="C970" t="str">
        <f t="shared" si="230"/>
        <v/>
      </c>
      <c r="D970" s="63">
        <f t="shared" si="231"/>
        <v>8.50821596244131</v>
      </c>
      <c r="E970" t="str">
        <f t="shared" si="232"/>
        <v/>
      </c>
      <c r="F970" t="str">
        <f t="shared" si="233"/>
        <v/>
      </c>
      <c r="G970" t="str">
        <f t="shared" si="234"/>
        <v/>
      </c>
    </row>
    <row r="971" spans="2:7">
      <c r="B971" s="46"/>
      <c r="C971" t="str">
        <f t="shared" si="230"/>
        <v/>
      </c>
      <c r="D971" s="63">
        <f t="shared" si="231"/>
        <v>10.268779342723</v>
      </c>
      <c r="E971" t="str">
        <f t="shared" si="232"/>
        <v/>
      </c>
      <c r="F971" t="str">
        <f t="shared" si="233"/>
        <v/>
      </c>
      <c r="G971" t="str">
        <f t="shared" si="234"/>
        <v/>
      </c>
    </row>
    <row r="972" spans="2:7">
      <c r="B972" s="46"/>
      <c r="C972" t="str">
        <f t="shared" si="230"/>
        <v/>
      </c>
      <c r="D972" s="63" t="str">
        <f t="shared" si="231"/>
        <v/>
      </c>
      <c r="E972" t="str">
        <f t="shared" si="232"/>
        <v/>
      </c>
      <c r="F972" t="str">
        <f t="shared" si="233"/>
        <v/>
      </c>
      <c r="G972">
        <f t="shared" si="234"/>
        <v>7.67610062893082</v>
      </c>
    </row>
    <row r="973" spans="2:7">
      <c r="B973" s="46"/>
      <c r="C973" t="str">
        <f t="shared" si="230"/>
        <v/>
      </c>
      <c r="D973" s="63" t="str">
        <f t="shared" si="231"/>
        <v/>
      </c>
      <c r="E973" t="str">
        <f t="shared" si="232"/>
        <v/>
      </c>
      <c r="F973" t="str">
        <f t="shared" si="233"/>
        <v/>
      </c>
      <c r="G973">
        <f t="shared" si="234"/>
        <v>10.3836477987421</v>
      </c>
    </row>
    <row r="974" spans="2:7">
      <c r="B974" s="46"/>
      <c r="C974" t="str">
        <f t="shared" si="230"/>
        <v/>
      </c>
      <c r="D974" s="63" t="str">
        <f t="shared" si="231"/>
        <v/>
      </c>
      <c r="E974" t="str">
        <f t="shared" si="232"/>
        <v/>
      </c>
      <c r="F974" t="str">
        <f t="shared" si="233"/>
        <v/>
      </c>
      <c r="G974">
        <f t="shared" si="234"/>
        <v>13.2138364779874</v>
      </c>
    </row>
    <row r="975" spans="2:7">
      <c r="B975" s="46"/>
      <c r="C975" t="str">
        <f t="shared" si="230"/>
        <v/>
      </c>
      <c r="D975" s="63" t="str">
        <f t="shared" si="231"/>
        <v/>
      </c>
      <c r="E975" t="str">
        <f t="shared" si="232"/>
        <v/>
      </c>
      <c r="F975" t="str">
        <f t="shared" si="233"/>
        <v/>
      </c>
      <c r="G975">
        <f t="shared" si="234"/>
        <v>14.7243186582809</v>
      </c>
    </row>
    <row r="976" spans="2:7">
      <c r="B976" s="46"/>
      <c r="C976" t="str">
        <f t="shared" si="230"/>
        <v/>
      </c>
      <c r="D976" s="63" t="str">
        <f t="shared" si="231"/>
        <v/>
      </c>
      <c r="E976" t="str">
        <f t="shared" si="232"/>
        <v/>
      </c>
      <c r="F976">
        <f t="shared" si="233"/>
        <v>9.17630385487529</v>
      </c>
      <c r="G976" t="str">
        <f t="shared" si="234"/>
        <v/>
      </c>
    </row>
    <row r="977" spans="2:7">
      <c r="B977" s="46"/>
      <c r="C977" t="str">
        <f t="shared" si="230"/>
        <v/>
      </c>
      <c r="D977" s="63" t="str">
        <f t="shared" si="231"/>
        <v/>
      </c>
      <c r="E977" t="str">
        <f t="shared" si="232"/>
        <v/>
      </c>
      <c r="F977">
        <f t="shared" si="233"/>
        <v>12.328231292517</v>
      </c>
      <c r="G977" t="str">
        <f t="shared" si="234"/>
        <v/>
      </c>
    </row>
    <row r="978" spans="2:7">
      <c r="B978" s="46"/>
      <c r="C978" t="str">
        <f t="shared" si="230"/>
        <v/>
      </c>
      <c r="D978" s="63" t="str">
        <f t="shared" si="231"/>
        <v/>
      </c>
      <c r="E978" t="str">
        <f t="shared" si="232"/>
        <v/>
      </c>
      <c r="F978">
        <f t="shared" si="233"/>
        <v>15.0017006802721</v>
      </c>
      <c r="G978" t="str">
        <f t="shared" si="234"/>
        <v/>
      </c>
    </row>
    <row r="979" spans="2:7">
      <c r="B979" s="46"/>
      <c r="C979">
        <f t="shared" si="230"/>
        <v>10.328125</v>
      </c>
      <c r="D979" s="63" t="str">
        <f t="shared" si="231"/>
        <v/>
      </c>
      <c r="E979" t="str">
        <f t="shared" si="232"/>
        <v/>
      </c>
      <c r="F979" t="str">
        <f t="shared" si="233"/>
        <v/>
      </c>
      <c r="G979" t="str">
        <f t="shared" si="234"/>
        <v/>
      </c>
    </row>
    <row r="980" spans="2:7">
      <c r="B980" s="46"/>
      <c r="C980">
        <f t="shared" si="230"/>
        <v>14.5908564814815</v>
      </c>
      <c r="D980" s="63" t="str">
        <f t="shared" si="231"/>
        <v/>
      </c>
      <c r="E980" t="str">
        <f t="shared" si="232"/>
        <v/>
      </c>
      <c r="F980" t="str">
        <f t="shared" si="233"/>
        <v/>
      </c>
      <c r="G980" t="str">
        <f t="shared" si="234"/>
        <v/>
      </c>
    </row>
    <row r="981" spans="2:7">
      <c r="B981" s="46"/>
      <c r="C981">
        <f t="shared" si="230"/>
        <v>14.9409722222222</v>
      </c>
      <c r="D981" s="63" t="str">
        <f t="shared" si="231"/>
        <v/>
      </c>
      <c r="E981" t="str">
        <f t="shared" si="232"/>
        <v/>
      </c>
      <c r="F981" t="str">
        <f t="shared" si="233"/>
        <v/>
      </c>
      <c r="G981" t="str">
        <f t="shared" si="234"/>
        <v/>
      </c>
    </row>
    <row r="982" spans="2:7">
      <c r="B982" s="46"/>
      <c r="C982">
        <f t="shared" si="230"/>
        <v>19.2465277777778</v>
      </c>
      <c r="D982" s="63" t="str">
        <f t="shared" si="231"/>
        <v/>
      </c>
      <c r="E982" t="str">
        <f t="shared" si="232"/>
        <v/>
      </c>
      <c r="F982" t="str">
        <f t="shared" si="233"/>
        <v/>
      </c>
      <c r="G982" t="str">
        <f t="shared" si="234"/>
        <v/>
      </c>
    </row>
    <row r="983" spans="2:7">
      <c r="B983" s="46"/>
      <c r="C983" t="str">
        <f t="shared" si="230"/>
        <v/>
      </c>
      <c r="D983" s="63">
        <f t="shared" si="231"/>
        <v>15.0340375586854</v>
      </c>
      <c r="E983" t="str">
        <f t="shared" si="232"/>
        <v/>
      </c>
      <c r="F983" t="str">
        <f t="shared" si="233"/>
        <v/>
      </c>
      <c r="G983" t="str">
        <f t="shared" si="234"/>
        <v/>
      </c>
    </row>
    <row r="984" spans="2:7">
      <c r="B984" s="46"/>
      <c r="C984" t="str">
        <f t="shared" si="230"/>
        <v/>
      </c>
      <c r="D984" s="63">
        <f t="shared" si="231"/>
        <v>15.0340375586854</v>
      </c>
      <c r="E984" t="str">
        <f t="shared" si="232"/>
        <v/>
      </c>
      <c r="F984" t="str">
        <f t="shared" si="233"/>
        <v/>
      </c>
      <c r="G984" t="str">
        <f t="shared" si="234"/>
        <v/>
      </c>
    </row>
    <row r="985" spans="2:7">
      <c r="B985" s="46"/>
      <c r="C985" t="str">
        <f t="shared" si="230"/>
        <v/>
      </c>
      <c r="D985" s="63">
        <f t="shared" si="231"/>
        <v>16.1343896713615</v>
      </c>
      <c r="E985" t="str">
        <f t="shared" si="232"/>
        <v/>
      </c>
      <c r="F985" t="str">
        <f t="shared" si="233"/>
        <v/>
      </c>
      <c r="G985" t="str">
        <f t="shared" si="234"/>
        <v/>
      </c>
    </row>
    <row r="986" spans="2:7">
      <c r="B986" s="46"/>
      <c r="C986" t="str">
        <f t="shared" si="230"/>
        <v/>
      </c>
      <c r="D986" s="63">
        <f t="shared" si="231"/>
        <v>16.8620892018779</v>
      </c>
      <c r="E986" t="str">
        <f t="shared" si="232"/>
        <v/>
      </c>
      <c r="F986" t="str">
        <f t="shared" si="233"/>
        <v/>
      </c>
      <c r="G986" t="str">
        <f t="shared" si="234"/>
        <v/>
      </c>
    </row>
    <row r="987" spans="2:7">
      <c r="B987" s="46"/>
      <c r="C987" t="str">
        <f t="shared" si="230"/>
        <v/>
      </c>
      <c r="D987" s="63" t="str">
        <f t="shared" si="231"/>
        <v/>
      </c>
      <c r="E987">
        <f t="shared" si="232"/>
        <v>16.1245098039216</v>
      </c>
      <c r="F987" t="str">
        <f t="shared" si="233"/>
        <v/>
      </c>
      <c r="G987" t="str">
        <f t="shared" si="234"/>
        <v/>
      </c>
    </row>
    <row r="988" spans="2:7">
      <c r="B988" s="46"/>
      <c r="C988" t="str">
        <f t="shared" si="230"/>
        <v/>
      </c>
      <c r="D988" s="63" t="str">
        <f t="shared" si="231"/>
        <v/>
      </c>
      <c r="E988">
        <f t="shared" si="232"/>
        <v>17.9225490196078</v>
      </c>
      <c r="F988" t="str">
        <f t="shared" si="233"/>
        <v/>
      </c>
      <c r="G988" t="str">
        <f t="shared" si="234"/>
        <v/>
      </c>
    </row>
    <row r="989" ht="15.75" spans="2:7">
      <c r="B989" s="46"/>
      <c r="C989" t="str">
        <f t="shared" si="230"/>
        <v/>
      </c>
      <c r="D989" s="63" t="str">
        <f t="shared" si="231"/>
        <v/>
      </c>
      <c r="E989">
        <f t="shared" si="232"/>
        <v>18.7166666666667</v>
      </c>
      <c r="F989" t="str">
        <f t="shared" si="233"/>
        <v/>
      </c>
      <c r="G989" t="str">
        <f t="shared" si="234"/>
        <v/>
      </c>
    </row>
    <row r="990" spans="2:7">
      <c r="B990" s="74" t="s">
        <v>269</v>
      </c>
      <c r="C990" s="75">
        <f>MAX(C955:C989)</f>
        <v>19.2465277777778</v>
      </c>
      <c r="D990" s="75">
        <f>MAX(D955:D989)</f>
        <v>16.8620892018779</v>
      </c>
      <c r="E990" s="75">
        <f t="shared" ref="E990:G990" si="235">MAX(E955:E989)</f>
        <v>18.7166666666667</v>
      </c>
      <c r="F990" s="75">
        <f t="shared" si="235"/>
        <v>15.0017006802721</v>
      </c>
      <c r="G990" s="75">
        <f t="shared" si="235"/>
        <v>14.7243186582809</v>
      </c>
    </row>
    <row r="991" spans="2:7">
      <c r="B991" s="76" t="s">
        <v>270</v>
      </c>
      <c r="C991" s="77">
        <v>1</v>
      </c>
      <c r="D991" s="78">
        <v>2</v>
      </c>
      <c r="E991">
        <v>3</v>
      </c>
      <c r="F991">
        <v>4</v>
      </c>
      <c r="G991">
        <v>5</v>
      </c>
    </row>
    <row r="992" spans="2:7">
      <c r="B992" s="79" t="s">
        <v>271</v>
      </c>
      <c r="C992" s="72">
        <f>HLOOKUP(MIN(C990:G990),C990:G991,2,FALSE)</f>
        <v>5</v>
      </c>
      <c r="D992" s="80"/>
    </row>
    <row r="994" ht="15.75" spans="2:7">
      <c r="B994" s="43" t="s">
        <v>308</v>
      </c>
      <c r="C994" s="44"/>
      <c r="D994" s="45"/>
    </row>
    <row r="995" spans="2:7">
      <c r="B995" s="46"/>
      <c r="C995" s="61" t="s">
        <v>264</v>
      </c>
      <c r="D995" s="61" t="s">
        <v>265</v>
      </c>
      <c r="E995" s="62" t="s">
        <v>286</v>
      </c>
      <c r="F995" s="62" t="s">
        <v>287</v>
      </c>
      <c r="G995" s="62" t="s">
        <v>288</v>
      </c>
    </row>
    <row r="996" spans="2:7">
      <c r="B996" s="46"/>
      <c r="C996">
        <f>IF(J8=1,S8,"")</f>
        <v>0.700231481481482</v>
      </c>
      <c r="D996" s="63" t="str">
        <f>IF(J8=2,S8,"")</f>
        <v/>
      </c>
      <c r="E996" t="str">
        <f>IF(J8=3,S8,"")</f>
        <v/>
      </c>
      <c r="F996" t="str">
        <f>IF(J8=4,S8,"")</f>
        <v/>
      </c>
      <c r="G996" t="str">
        <f>IF(J8=5,S8,"")</f>
        <v/>
      </c>
    </row>
    <row r="997" spans="2:7">
      <c r="B997" s="46"/>
      <c r="C997" t="str">
        <f t="shared" ref="C997:C1031" si="236">IF(J9=1,S9,"")</f>
        <v/>
      </c>
      <c r="D997" s="63">
        <f t="shared" ref="D997:D1031" si="237">IF(J9=2,S9,"")</f>
        <v>0.734154929577465</v>
      </c>
      <c r="E997" t="str">
        <f t="shared" ref="E997:E1031" si="238">IF(J9=3,S9,"")</f>
        <v/>
      </c>
      <c r="F997" t="str">
        <f t="shared" ref="F997:F1031" si="239">IF(J9=4,S9,"")</f>
        <v/>
      </c>
      <c r="G997" t="str">
        <f t="shared" ref="G997:G1031" si="240">IF(J9=5,S9,"")</f>
        <v/>
      </c>
    </row>
    <row r="998" spans="2:7">
      <c r="B998" s="46"/>
      <c r="C998" t="str">
        <f t="shared" si="236"/>
        <v/>
      </c>
      <c r="D998" s="63" t="str">
        <f t="shared" si="237"/>
        <v/>
      </c>
      <c r="E998">
        <f t="shared" si="238"/>
        <v>1.83823529411765</v>
      </c>
      <c r="F998" t="str">
        <f t="shared" si="239"/>
        <v/>
      </c>
      <c r="G998" t="str">
        <f t="shared" si="240"/>
        <v/>
      </c>
    </row>
    <row r="999" spans="2:7">
      <c r="B999" s="46"/>
      <c r="C999" t="str">
        <f t="shared" si="236"/>
        <v/>
      </c>
      <c r="D999" s="63" t="str">
        <f t="shared" si="237"/>
        <v/>
      </c>
      <c r="E999" t="str">
        <f t="shared" si="238"/>
        <v/>
      </c>
      <c r="F999">
        <f t="shared" si="239"/>
        <v>4.28571428571429</v>
      </c>
      <c r="G999" t="str">
        <f t="shared" si="240"/>
        <v/>
      </c>
    </row>
    <row r="1000" spans="2:7">
      <c r="B1000" s="46"/>
      <c r="C1000" t="str">
        <f t="shared" si="236"/>
        <v/>
      </c>
      <c r="D1000" s="63" t="str">
        <f t="shared" si="237"/>
        <v/>
      </c>
      <c r="E1000" t="str">
        <f t="shared" si="238"/>
        <v/>
      </c>
      <c r="F1000" t="str">
        <f t="shared" si="239"/>
        <v/>
      </c>
      <c r="G1000">
        <f t="shared" si="240"/>
        <v>3.43396226415094</v>
      </c>
    </row>
    <row r="1001" spans="2:7">
      <c r="B1001" s="46"/>
      <c r="C1001" t="str">
        <f t="shared" si="236"/>
        <v/>
      </c>
      <c r="D1001" s="63" t="str">
        <f t="shared" si="237"/>
        <v/>
      </c>
      <c r="E1001">
        <f t="shared" si="238"/>
        <v>14.5833333333333</v>
      </c>
      <c r="F1001" t="str">
        <f t="shared" si="239"/>
        <v/>
      </c>
      <c r="G1001" t="str">
        <f t="shared" si="240"/>
        <v/>
      </c>
    </row>
    <row r="1002" spans="2:7">
      <c r="B1002" s="46"/>
      <c r="C1002" t="str">
        <f t="shared" si="236"/>
        <v/>
      </c>
      <c r="D1002" s="63" t="str">
        <f t="shared" si="237"/>
        <v/>
      </c>
      <c r="E1002" t="str">
        <f t="shared" si="238"/>
        <v/>
      </c>
      <c r="F1002">
        <f t="shared" si="239"/>
        <v>6.42857142857143</v>
      </c>
      <c r="G1002" t="str">
        <f t="shared" si="240"/>
        <v/>
      </c>
    </row>
    <row r="1003" spans="2:7">
      <c r="B1003" s="46"/>
      <c r="C1003" t="str">
        <f t="shared" si="236"/>
        <v/>
      </c>
      <c r="D1003" s="63" t="str">
        <f t="shared" si="237"/>
        <v/>
      </c>
      <c r="E1003" t="str">
        <f t="shared" si="238"/>
        <v/>
      </c>
      <c r="F1003" t="str">
        <f t="shared" si="239"/>
        <v/>
      </c>
      <c r="G1003">
        <f t="shared" si="240"/>
        <v>3.84591194968553</v>
      </c>
    </row>
    <row r="1004" spans="2:7">
      <c r="B1004" s="46"/>
      <c r="C1004">
        <f t="shared" si="236"/>
        <v>0.844907407407407</v>
      </c>
      <c r="D1004" s="63" t="str">
        <f t="shared" si="237"/>
        <v/>
      </c>
      <c r="E1004" t="str">
        <f t="shared" si="238"/>
        <v/>
      </c>
      <c r="F1004" t="str">
        <f t="shared" si="239"/>
        <v/>
      </c>
      <c r="G1004" t="str">
        <f t="shared" si="240"/>
        <v/>
      </c>
    </row>
    <row r="1005" spans="2:7">
      <c r="B1005" s="46"/>
      <c r="C1005">
        <f t="shared" si="236"/>
        <v>6.79803240740741</v>
      </c>
      <c r="D1005" s="63" t="str">
        <f t="shared" si="237"/>
        <v/>
      </c>
      <c r="E1005" t="str">
        <f t="shared" si="238"/>
        <v/>
      </c>
      <c r="F1005" t="str">
        <f t="shared" si="239"/>
        <v/>
      </c>
      <c r="G1005" t="str">
        <f t="shared" si="240"/>
        <v/>
      </c>
    </row>
    <row r="1006" spans="2:7">
      <c r="B1006" s="46"/>
      <c r="C1006">
        <f t="shared" si="236"/>
        <v>6.79803240740741</v>
      </c>
      <c r="D1006" s="63" t="str">
        <f t="shared" si="237"/>
        <v/>
      </c>
      <c r="E1006" t="str">
        <f t="shared" si="238"/>
        <v/>
      </c>
      <c r="F1006" t="str">
        <f t="shared" si="239"/>
        <v/>
      </c>
      <c r="G1006" t="str">
        <f t="shared" si="240"/>
        <v/>
      </c>
    </row>
    <row r="1007" spans="2:7">
      <c r="B1007" s="46"/>
      <c r="C1007">
        <f t="shared" si="236"/>
        <v>7.52719907407408</v>
      </c>
      <c r="D1007" s="63" t="str">
        <f t="shared" si="237"/>
        <v/>
      </c>
      <c r="E1007" t="str">
        <f t="shared" si="238"/>
        <v/>
      </c>
      <c r="F1007" t="str">
        <f t="shared" si="239"/>
        <v/>
      </c>
      <c r="G1007" t="str">
        <f t="shared" si="240"/>
        <v/>
      </c>
    </row>
    <row r="1008" spans="2:7">
      <c r="B1008" s="46"/>
      <c r="C1008" t="str">
        <f t="shared" si="236"/>
        <v/>
      </c>
      <c r="D1008" s="63">
        <f t="shared" si="237"/>
        <v>2.7881455399061</v>
      </c>
      <c r="E1008" t="str">
        <f t="shared" si="238"/>
        <v/>
      </c>
      <c r="F1008" t="str">
        <f t="shared" si="239"/>
        <v/>
      </c>
      <c r="G1008" t="str">
        <f t="shared" si="240"/>
        <v/>
      </c>
    </row>
    <row r="1009" spans="2:7">
      <c r="B1009" s="46"/>
      <c r="C1009" t="str">
        <f t="shared" si="236"/>
        <v/>
      </c>
      <c r="D1009" s="63">
        <f t="shared" si="237"/>
        <v>4.47535211267606</v>
      </c>
      <c r="E1009" t="str">
        <f t="shared" si="238"/>
        <v/>
      </c>
      <c r="F1009" t="str">
        <f t="shared" si="239"/>
        <v/>
      </c>
      <c r="G1009" t="str">
        <f t="shared" si="240"/>
        <v/>
      </c>
    </row>
    <row r="1010" spans="2:7">
      <c r="B1010" s="46"/>
      <c r="C1010" t="str">
        <f t="shared" si="236"/>
        <v/>
      </c>
      <c r="D1010" s="63">
        <f t="shared" si="237"/>
        <v>6.10680751173709</v>
      </c>
      <c r="E1010" t="str">
        <f t="shared" si="238"/>
        <v/>
      </c>
      <c r="F1010" t="str">
        <f t="shared" si="239"/>
        <v/>
      </c>
      <c r="G1010" t="str">
        <f t="shared" si="240"/>
        <v/>
      </c>
    </row>
    <row r="1011" spans="2:7">
      <c r="B1011" s="46"/>
      <c r="C1011" t="str">
        <f t="shared" si="236"/>
        <v/>
      </c>
      <c r="D1011" s="63">
        <f t="shared" si="237"/>
        <v>8.50821596244131</v>
      </c>
      <c r="E1011" t="str">
        <f t="shared" si="238"/>
        <v/>
      </c>
      <c r="F1011" t="str">
        <f t="shared" si="239"/>
        <v/>
      </c>
      <c r="G1011" t="str">
        <f t="shared" si="240"/>
        <v/>
      </c>
    </row>
    <row r="1012" spans="2:7">
      <c r="B1012" s="46"/>
      <c r="C1012" t="str">
        <f t="shared" si="236"/>
        <v/>
      </c>
      <c r="D1012" s="63">
        <f t="shared" si="237"/>
        <v>10.268779342723</v>
      </c>
      <c r="E1012" t="str">
        <f t="shared" si="238"/>
        <v/>
      </c>
      <c r="F1012" t="str">
        <f t="shared" si="239"/>
        <v/>
      </c>
      <c r="G1012" t="str">
        <f t="shared" si="240"/>
        <v/>
      </c>
    </row>
    <row r="1013" spans="2:7">
      <c r="B1013" s="46"/>
      <c r="C1013" t="str">
        <f t="shared" si="236"/>
        <v/>
      </c>
      <c r="D1013" s="63" t="str">
        <f t="shared" si="237"/>
        <v/>
      </c>
      <c r="E1013" t="str">
        <f t="shared" si="238"/>
        <v/>
      </c>
      <c r="F1013" t="str">
        <f t="shared" si="239"/>
        <v/>
      </c>
      <c r="G1013">
        <f t="shared" si="240"/>
        <v>7.67610062893082</v>
      </c>
    </row>
    <row r="1014" spans="2:7">
      <c r="B1014" s="46"/>
      <c r="C1014" t="str">
        <f t="shared" si="236"/>
        <v/>
      </c>
      <c r="D1014" s="63" t="str">
        <f t="shared" si="237"/>
        <v/>
      </c>
      <c r="E1014" t="str">
        <f t="shared" si="238"/>
        <v/>
      </c>
      <c r="F1014" t="str">
        <f t="shared" si="239"/>
        <v/>
      </c>
      <c r="G1014">
        <f t="shared" si="240"/>
        <v>10.3836477987421</v>
      </c>
    </row>
    <row r="1015" spans="2:7">
      <c r="B1015" s="46"/>
      <c r="C1015" t="str">
        <f t="shared" si="236"/>
        <v/>
      </c>
      <c r="D1015" s="63" t="str">
        <f t="shared" si="237"/>
        <v/>
      </c>
      <c r="E1015" t="str">
        <f t="shared" si="238"/>
        <v/>
      </c>
      <c r="F1015" t="str">
        <f t="shared" si="239"/>
        <v/>
      </c>
      <c r="G1015">
        <f t="shared" si="240"/>
        <v>13.2138364779874</v>
      </c>
    </row>
    <row r="1016" spans="2:7">
      <c r="B1016" s="46"/>
      <c r="C1016" t="str">
        <f t="shared" si="236"/>
        <v/>
      </c>
      <c r="D1016" s="63" t="str">
        <f t="shared" si="237"/>
        <v/>
      </c>
      <c r="E1016" t="str">
        <f t="shared" si="238"/>
        <v/>
      </c>
      <c r="F1016" t="str">
        <f t="shared" si="239"/>
        <v/>
      </c>
      <c r="G1016">
        <f t="shared" si="240"/>
        <v>14.7243186582809</v>
      </c>
    </row>
    <row r="1017" spans="2:7">
      <c r="B1017" s="46"/>
      <c r="C1017" t="str">
        <f t="shared" si="236"/>
        <v/>
      </c>
      <c r="D1017" s="63" t="str">
        <f t="shared" si="237"/>
        <v/>
      </c>
      <c r="E1017" t="str">
        <f t="shared" si="238"/>
        <v/>
      </c>
      <c r="F1017">
        <f t="shared" si="239"/>
        <v>9.17630385487529</v>
      </c>
      <c r="G1017" t="str">
        <f t="shared" si="240"/>
        <v/>
      </c>
    </row>
    <row r="1018" spans="2:7">
      <c r="B1018" s="46"/>
      <c r="C1018" t="str">
        <f t="shared" si="236"/>
        <v/>
      </c>
      <c r="D1018" s="63" t="str">
        <f t="shared" si="237"/>
        <v/>
      </c>
      <c r="E1018" t="str">
        <f t="shared" si="238"/>
        <v/>
      </c>
      <c r="F1018">
        <f t="shared" si="239"/>
        <v>12.328231292517</v>
      </c>
      <c r="G1018" t="str">
        <f t="shared" si="240"/>
        <v/>
      </c>
    </row>
    <row r="1019" spans="2:7">
      <c r="B1019" s="46"/>
      <c r="C1019" t="str">
        <f t="shared" si="236"/>
        <v/>
      </c>
      <c r="D1019" s="63" t="str">
        <f t="shared" si="237"/>
        <v/>
      </c>
      <c r="E1019" t="str">
        <f t="shared" si="238"/>
        <v/>
      </c>
      <c r="F1019">
        <f t="shared" si="239"/>
        <v>15.0017006802721</v>
      </c>
      <c r="G1019" t="str">
        <f t="shared" si="240"/>
        <v/>
      </c>
    </row>
    <row r="1020" spans="2:7">
      <c r="B1020" s="46"/>
      <c r="C1020">
        <f t="shared" si="236"/>
        <v>10.328125</v>
      </c>
      <c r="D1020" s="63" t="str">
        <f t="shared" si="237"/>
        <v/>
      </c>
      <c r="E1020" t="str">
        <f t="shared" si="238"/>
        <v/>
      </c>
      <c r="F1020" t="str">
        <f t="shared" si="239"/>
        <v/>
      </c>
      <c r="G1020" t="str">
        <f t="shared" si="240"/>
        <v/>
      </c>
    </row>
    <row r="1021" spans="2:7">
      <c r="B1021" s="46"/>
      <c r="C1021">
        <f t="shared" si="236"/>
        <v>14.5908564814815</v>
      </c>
      <c r="D1021" s="63" t="str">
        <f t="shared" si="237"/>
        <v/>
      </c>
      <c r="E1021" t="str">
        <f t="shared" si="238"/>
        <v/>
      </c>
      <c r="F1021" t="str">
        <f t="shared" si="239"/>
        <v/>
      </c>
      <c r="G1021" t="str">
        <f t="shared" si="240"/>
        <v/>
      </c>
    </row>
    <row r="1022" spans="2:7">
      <c r="B1022" s="46"/>
      <c r="C1022">
        <f t="shared" si="236"/>
        <v>14.9409722222222</v>
      </c>
      <c r="D1022" s="63" t="str">
        <f t="shared" si="237"/>
        <v/>
      </c>
      <c r="E1022" t="str">
        <f t="shared" si="238"/>
        <v/>
      </c>
      <c r="F1022" t="str">
        <f t="shared" si="239"/>
        <v/>
      </c>
      <c r="G1022" t="str">
        <f t="shared" si="240"/>
        <v/>
      </c>
    </row>
    <row r="1023" spans="2:7">
      <c r="B1023" s="46"/>
      <c r="C1023">
        <f t="shared" si="236"/>
        <v>19.2465277777778</v>
      </c>
      <c r="D1023" s="63" t="str">
        <f t="shared" si="237"/>
        <v/>
      </c>
      <c r="E1023" t="str">
        <f t="shared" si="238"/>
        <v/>
      </c>
      <c r="F1023" t="str">
        <f t="shared" si="239"/>
        <v/>
      </c>
      <c r="G1023" t="str">
        <f t="shared" si="240"/>
        <v/>
      </c>
    </row>
    <row r="1024" spans="2:7">
      <c r="B1024" s="46"/>
      <c r="C1024" t="str">
        <f t="shared" si="236"/>
        <v/>
      </c>
      <c r="D1024" s="63">
        <f t="shared" si="237"/>
        <v>15.0340375586854</v>
      </c>
      <c r="E1024" t="str">
        <f t="shared" si="238"/>
        <v/>
      </c>
      <c r="F1024" t="str">
        <f t="shared" si="239"/>
        <v/>
      </c>
      <c r="G1024" t="str">
        <f t="shared" si="240"/>
        <v/>
      </c>
    </row>
    <row r="1025" spans="2:7">
      <c r="B1025" s="46"/>
      <c r="C1025" t="str">
        <f t="shared" si="236"/>
        <v/>
      </c>
      <c r="D1025" s="63">
        <f t="shared" si="237"/>
        <v>15.0340375586854</v>
      </c>
      <c r="E1025" t="str">
        <f t="shared" si="238"/>
        <v/>
      </c>
      <c r="F1025" t="str">
        <f t="shared" si="239"/>
        <v/>
      </c>
      <c r="G1025" t="str">
        <f t="shared" si="240"/>
        <v/>
      </c>
    </row>
    <row r="1026" spans="2:7">
      <c r="B1026" s="46"/>
      <c r="C1026" t="str">
        <f t="shared" si="236"/>
        <v/>
      </c>
      <c r="D1026" s="63">
        <f t="shared" si="237"/>
        <v>16.1343896713615</v>
      </c>
      <c r="E1026" t="str">
        <f t="shared" si="238"/>
        <v/>
      </c>
      <c r="F1026" t="str">
        <f t="shared" si="239"/>
        <v/>
      </c>
      <c r="G1026" t="str">
        <f t="shared" si="240"/>
        <v/>
      </c>
    </row>
    <row r="1027" spans="2:7">
      <c r="B1027" s="46"/>
      <c r="C1027" t="str">
        <f t="shared" si="236"/>
        <v/>
      </c>
      <c r="D1027" s="63">
        <f t="shared" si="237"/>
        <v>16.8620892018779</v>
      </c>
      <c r="E1027" t="str">
        <f t="shared" si="238"/>
        <v/>
      </c>
      <c r="F1027" t="str">
        <f t="shared" si="239"/>
        <v/>
      </c>
      <c r="G1027" t="str">
        <f t="shared" si="240"/>
        <v/>
      </c>
    </row>
    <row r="1028" spans="2:7">
      <c r="B1028" s="46"/>
      <c r="C1028" t="str">
        <f t="shared" si="236"/>
        <v/>
      </c>
      <c r="D1028" s="63" t="str">
        <f t="shared" si="237"/>
        <v/>
      </c>
      <c r="E1028">
        <f t="shared" si="238"/>
        <v>16.1245098039216</v>
      </c>
      <c r="F1028" t="str">
        <f t="shared" si="239"/>
        <v/>
      </c>
      <c r="G1028" t="str">
        <f t="shared" si="240"/>
        <v/>
      </c>
    </row>
    <row r="1029" spans="2:7">
      <c r="B1029" s="46"/>
      <c r="C1029" t="str">
        <f t="shared" si="236"/>
        <v/>
      </c>
      <c r="D1029" s="63" t="str">
        <f t="shared" si="237"/>
        <v/>
      </c>
      <c r="E1029">
        <f t="shared" si="238"/>
        <v>17.9225490196078</v>
      </c>
      <c r="F1029" t="str">
        <f t="shared" si="239"/>
        <v/>
      </c>
      <c r="G1029" t="str">
        <f t="shared" si="240"/>
        <v/>
      </c>
    </row>
    <row r="1030" spans="2:7">
      <c r="B1030" s="46"/>
      <c r="C1030" t="str">
        <f t="shared" si="236"/>
        <v/>
      </c>
      <c r="D1030" s="63" t="str">
        <f t="shared" si="237"/>
        <v/>
      </c>
      <c r="E1030">
        <f t="shared" si="238"/>
        <v>18.7166666666667</v>
      </c>
      <c r="F1030" t="str">
        <f t="shared" si="239"/>
        <v/>
      </c>
      <c r="G1030" t="str">
        <f t="shared" si="240"/>
        <v/>
      </c>
    </row>
    <row r="1031" ht="15.75" spans="2:7">
      <c r="B1031" s="46"/>
      <c r="C1031" t="str">
        <f t="shared" si="236"/>
        <v/>
      </c>
      <c r="D1031" s="63" t="str">
        <f t="shared" si="237"/>
        <v/>
      </c>
      <c r="E1031">
        <f t="shared" si="238"/>
        <v>18.9539215686275</v>
      </c>
      <c r="F1031" t="str">
        <f t="shared" si="239"/>
        <v/>
      </c>
      <c r="G1031" t="str">
        <f t="shared" si="240"/>
        <v/>
      </c>
    </row>
    <row r="1032" spans="2:7">
      <c r="B1032" s="74" t="s">
        <v>269</v>
      </c>
      <c r="C1032" s="75">
        <f>MAX(C996:C1031)</f>
        <v>19.2465277777778</v>
      </c>
      <c r="D1032" s="75">
        <f t="shared" ref="D1032:G1032" si="241">MAX(D996:D1031)</f>
        <v>16.8620892018779</v>
      </c>
      <c r="E1032" s="75">
        <f t="shared" si="241"/>
        <v>18.9539215686275</v>
      </c>
      <c r="F1032" s="75">
        <f t="shared" si="241"/>
        <v>15.0017006802721</v>
      </c>
      <c r="G1032" s="75">
        <f t="shared" si="241"/>
        <v>14.7243186582809</v>
      </c>
    </row>
    <row r="1033" spans="2:7">
      <c r="B1033" s="76" t="s">
        <v>270</v>
      </c>
      <c r="C1033" s="77">
        <v>1</v>
      </c>
      <c r="D1033" s="78">
        <v>2</v>
      </c>
      <c r="E1033">
        <v>3</v>
      </c>
      <c r="F1033">
        <v>4</v>
      </c>
      <c r="G1033">
        <v>5</v>
      </c>
    </row>
    <row r="1034" spans="2:7">
      <c r="B1034" s="79" t="s">
        <v>271</v>
      </c>
      <c r="C1034" s="72">
        <f>HLOOKUP(MIN(C1032:G1032),C1032:G1033,2,FALSE)</f>
        <v>5</v>
      </c>
      <c r="D1034" s="80"/>
    </row>
    <row r="1037" ht="15.75" spans="2:7">
      <c r="B1037" s="43" t="s">
        <v>309</v>
      </c>
      <c r="C1037" s="44"/>
      <c r="D1037" s="45"/>
    </row>
    <row r="1038" spans="2:7">
      <c r="B1038" s="46"/>
      <c r="C1038" s="61" t="s">
        <v>264</v>
      </c>
      <c r="D1038" s="61" t="s">
        <v>265</v>
      </c>
      <c r="E1038" s="62" t="s">
        <v>286</v>
      </c>
      <c r="F1038" s="62" t="s">
        <v>287</v>
      </c>
      <c r="G1038" s="62" t="s">
        <v>288</v>
      </c>
    </row>
    <row r="1039" spans="2:7">
      <c r="B1039" s="46"/>
      <c r="C1039">
        <f t="shared" ref="C1039:C1075" si="242">IF(J8=1,S8,"")</f>
        <v>0.700231481481482</v>
      </c>
      <c r="D1039" s="63" t="str">
        <f t="shared" ref="D1039:D1075" si="243">IF(J8=2,S8,"")</f>
        <v/>
      </c>
      <c r="E1039" t="str">
        <f t="shared" ref="E1039:E1075" si="244">IF(J8=3,S8,"")</f>
        <v/>
      </c>
      <c r="F1039" t="str">
        <f t="shared" ref="F1039:F1075" si="245">IF(J8=4,S8,"")</f>
        <v/>
      </c>
      <c r="G1039" t="str">
        <f t="shared" ref="G1039:G1075" si="246">IF(J8=5,S8,"")</f>
        <v/>
      </c>
    </row>
    <row r="1040" spans="2:7">
      <c r="B1040" s="46"/>
      <c r="C1040" t="str">
        <f t="shared" si="242"/>
        <v/>
      </c>
      <c r="D1040" s="63">
        <f t="shared" si="243"/>
        <v>0.734154929577465</v>
      </c>
      <c r="E1040" t="str">
        <f t="shared" si="244"/>
        <v/>
      </c>
      <c r="F1040" t="str">
        <f t="shared" si="245"/>
        <v/>
      </c>
      <c r="G1040" t="str">
        <f t="shared" si="246"/>
        <v/>
      </c>
    </row>
    <row r="1041" spans="2:7">
      <c r="B1041" s="46"/>
      <c r="C1041" t="str">
        <f t="shared" si="242"/>
        <v/>
      </c>
      <c r="D1041" s="63" t="str">
        <f t="shared" si="243"/>
        <v/>
      </c>
      <c r="E1041">
        <f t="shared" si="244"/>
        <v>1.83823529411765</v>
      </c>
      <c r="F1041" t="str">
        <f t="shared" si="245"/>
        <v/>
      </c>
      <c r="G1041" t="str">
        <f t="shared" si="246"/>
        <v/>
      </c>
    </row>
    <row r="1042" spans="2:7">
      <c r="B1042" s="46"/>
      <c r="C1042" t="str">
        <f t="shared" si="242"/>
        <v/>
      </c>
      <c r="D1042" s="63" t="str">
        <f t="shared" si="243"/>
        <v/>
      </c>
      <c r="E1042" t="str">
        <f t="shared" si="244"/>
        <v/>
      </c>
      <c r="F1042">
        <f t="shared" si="245"/>
        <v>4.28571428571429</v>
      </c>
      <c r="G1042" t="str">
        <f t="shared" si="246"/>
        <v/>
      </c>
    </row>
    <row r="1043" spans="2:7">
      <c r="B1043" s="46"/>
      <c r="C1043" t="str">
        <f t="shared" si="242"/>
        <v/>
      </c>
      <c r="D1043" s="63" t="str">
        <f t="shared" si="243"/>
        <v/>
      </c>
      <c r="E1043" t="str">
        <f t="shared" si="244"/>
        <v/>
      </c>
      <c r="F1043" t="str">
        <f t="shared" si="245"/>
        <v/>
      </c>
      <c r="G1043">
        <f t="shared" si="246"/>
        <v>3.43396226415094</v>
      </c>
    </row>
    <row r="1044" spans="2:7">
      <c r="B1044" s="46"/>
      <c r="C1044" t="str">
        <f t="shared" si="242"/>
        <v/>
      </c>
      <c r="D1044" s="63" t="str">
        <f t="shared" si="243"/>
        <v/>
      </c>
      <c r="E1044">
        <f t="shared" si="244"/>
        <v>14.5833333333333</v>
      </c>
      <c r="F1044" t="str">
        <f t="shared" si="245"/>
        <v/>
      </c>
      <c r="G1044" t="str">
        <f t="shared" si="246"/>
        <v/>
      </c>
    </row>
    <row r="1045" spans="2:7">
      <c r="B1045" s="46"/>
      <c r="C1045" t="str">
        <f t="shared" si="242"/>
        <v/>
      </c>
      <c r="D1045" s="63" t="str">
        <f t="shared" si="243"/>
        <v/>
      </c>
      <c r="E1045" t="str">
        <f t="shared" si="244"/>
        <v/>
      </c>
      <c r="F1045">
        <f t="shared" si="245"/>
        <v>6.42857142857143</v>
      </c>
      <c r="G1045" t="str">
        <f t="shared" si="246"/>
        <v/>
      </c>
    </row>
    <row r="1046" spans="2:7">
      <c r="B1046" s="46"/>
      <c r="C1046" t="str">
        <f t="shared" si="242"/>
        <v/>
      </c>
      <c r="D1046" s="63" t="str">
        <f t="shared" si="243"/>
        <v/>
      </c>
      <c r="E1046" t="str">
        <f t="shared" si="244"/>
        <v/>
      </c>
      <c r="F1046" t="str">
        <f t="shared" si="245"/>
        <v/>
      </c>
      <c r="G1046">
        <f t="shared" si="246"/>
        <v>3.84591194968553</v>
      </c>
    </row>
    <row r="1047" spans="2:7">
      <c r="B1047" s="46"/>
      <c r="C1047">
        <f t="shared" si="242"/>
        <v>0.844907407407407</v>
      </c>
      <c r="D1047" s="63" t="str">
        <f t="shared" si="243"/>
        <v/>
      </c>
      <c r="E1047" t="str">
        <f t="shared" si="244"/>
        <v/>
      </c>
      <c r="F1047" t="str">
        <f t="shared" si="245"/>
        <v/>
      </c>
      <c r="G1047" t="str">
        <f t="shared" si="246"/>
        <v/>
      </c>
    </row>
    <row r="1048" spans="2:7">
      <c r="B1048" s="46"/>
      <c r="C1048">
        <f t="shared" si="242"/>
        <v>6.79803240740741</v>
      </c>
      <c r="D1048" s="63" t="str">
        <f t="shared" si="243"/>
        <v/>
      </c>
      <c r="E1048" t="str">
        <f t="shared" si="244"/>
        <v/>
      </c>
      <c r="F1048" t="str">
        <f t="shared" si="245"/>
        <v/>
      </c>
      <c r="G1048" t="str">
        <f t="shared" si="246"/>
        <v/>
      </c>
    </row>
    <row r="1049" spans="2:7">
      <c r="B1049" s="46"/>
      <c r="C1049">
        <f t="shared" si="242"/>
        <v>6.79803240740741</v>
      </c>
      <c r="D1049" s="63" t="str">
        <f t="shared" si="243"/>
        <v/>
      </c>
      <c r="E1049" t="str">
        <f t="shared" si="244"/>
        <v/>
      </c>
      <c r="F1049" t="str">
        <f t="shared" si="245"/>
        <v/>
      </c>
      <c r="G1049" t="str">
        <f t="shared" si="246"/>
        <v/>
      </c>
    </row>
    <row r="1050" spans="2:7">
      <c r="B1050" s="46"/>
      <c r="C1050">
        <f t="shared" si="242"/>
        <v>7.52719907407408</v>
      </c>
      <c r="D1050" s="63" t="str">
        <f t="shared" si="243"/>
        <v/>
      </c>
      <c r="E1050" t="str">
        <f t="shared" si="244"/>
        <v/>
      </c>
      <c r="F1050" t="str">
        <f t="shared" si="245"/>
        <v/>
      </c>
      <c r="G1050" t="str">
        <f t="shared" si="246"/>
        <v/>
      </c>
    </row>
    <row r="1051" spans="2:7">
      <c r="B1051" s="46"/>
      <c r="C1051" t="str">
        <f t="shared" si="242"/>
        <v/>
      </c>
      <c r="D1051" s="63">
        <f t="shared" si="243"/>
        <v>2.7881455399061</v>
      </c>
      <c r="E1051" t="str">
        <f t="shared" si="244"/>
        <v/>
      </c>
      <c r="F1051" t="str">
        <f t="shared" si="245"/>
        <v/>
      </c>
      <c r="G1051" t="str">
        <f t="shared" si="246"/>
        <v/>
      </c>
    </row>
    <row r="1052" spans="2:7">
      <c r="B1052" s="46"/>
      <c r="C1052" t="str">
        <f t="shared" si="242"/>
        <v/>
      </c>
      <c r="D1052" s="63">
        <f t="shared" si="243"/>
        <v>4.47535211267606</v>
      </c>
      <c r="E1052" t="str">
        <f t="shared" si="244"/>
        <v/>
      </c>
      <c r="F1052" t="str">
        <f t="shared" si="245"/>
        <v/>
      </c>
      <c r="G1052" t="str">
        <f t="shared" si="246"/>
        <v/>
      </c>
    </row>
    <row r="1053" spans="2:7">
      <c r="B1053" s="46"/>
      <c r="C1053" t="str">
        <f t="shared" si="242"/>
        <v/>
      </c>
      <c r="D1053" s="63">
        <f t="shared" si="243"/>
        <v>6.10680751173709</v>
      </c>
      <c r="E1053" t="str">
        <f t="shared" si="244"/>
        <v/>
      </c>
      <c r="F1053" t="str">
        <f t="shared" si="245"/>
        <v/>
      </c>
      <c r="G1053" t="str">
        <f t="shared" si="246"/>
        <v/>
      </c>
    </row>
    <row r="1054" spans="2:7">
      <c r="B1054" s="46"/>
      <c r="C1054" t="str">
        <f t="shared" si="242"/>
        <v/>
      </c>
      <c r="D1054" s="63">
        <f t="shared" si="243"/>
        <v>8.50821596244131</v>
      </c>
      <c r="E1054" t="str">
        <f t="shared" si="244"/>
        <v/>
      </c>
      <c r="F1054" t="str">
        <f t="shared" si="245"/>
        <v/>
      </c>
      <c r="G1054" t="str">
        <f t="shared" si="246"/>
        <v/>
      </c>
    </row>
    <row r="1055" spans="2:7">
      <c r="B1055" s="46"/>
      <c r="C1055" t="str">
        <f t="shared" si="242"/>
        <v/>
      </c>
      <c r="D1055" s="63">
        <f t="shared" si="243"/>
        <v>10.268779342723</v>
      </c>
      <c r="E1055" t="str">
        <f t="shared" si="244"/>
        <v/>
      </c>
      <c r="F1055" t="str">
        <f t="shared" si="245"/>
        <v/>
      </c>
      <c r="G1055" t="str">
        <f t="shared" si="246"/>
        <v/>
      </c>
    </row>
    <row r="1056" spans="2:7">
      <c r="B1056" s="46"/>
      <c r="C1056" t="str">
        <f t="shared" si="242"/>
        <v/>
      </c>
      <c r="D1056" s="63" t="str">
        <f t="shared" si="243"/>
        <v/>
      </c>
      <c r="E1056" t="str">
        <f t="shared" si="244"/>
        <v/>
      </c>
      <c r="F1056" t="str">
        <f t="shared" si="245"/>
        <v/>
      </c>
      <c r="G1056">
        <f t="shared" si="246"/>
        <v>7.67610062893082</v>
      </c>
    </row>
    <row r="1057" spans="2:7">
      <c r="B1057" s="46"/>
      <c r="C1057" t="str">
        <f t="shared" si="242"/>
        <v/>
      </c>
      <c r="D1057" s="63" t="str">
        <f t="shared" si="243"/>
        <v/>
      </c>
      <c r="E1057" t="str">
        <f t="shared" si="244"/>
        <v/>
      </c>
      <c r="F1057" t="str">
        <f t="shared" si="245"/>
        <v/>
      </c>
      <c r="G1057">
        <f t="shared" si="246"/>
        <v>10.3836477987421</v>
      </c>
    </row>
    <row r="1058" spans="2:7">
      <c r="B1058" s="46"/>
      <c r="C1058" t="str">
        <f t="shared" si="242"/>
        <v/>
      </c>
      <c r="D1058" s="63" t="str">
        <f t="shared" si="243"/>
        <v/>
      </c>
      <c r="E1058" t="str">
        <f t="shared" si="244"/>
        <v/>
      </c>
      <c r="F1058" t="str">
        <f t="shared" si="245"/>
        <v/>
      </c>
      <c r="G1058">
        <f t="shared" si="246"/>
        <v>13.2138364779874</v>
      </c>
    </row>
    <row r="1059" spans="2:7">
      <c r="B1059" s="46"/>
      <c r="C1059" t="str">
        <f t="shared" si="242"/>
        <v/>
      </c>
      <c r="D1059" s="63" t="str">
        <f t="shared" si="243"/>
        <v/>
      </c>
      <c r="E1059" t="str">
        <f t="shared" si="244"/>
        <v/>
      </c>
      <c r="F1059" t="str">
        <f t="shared" si="245"/>
        <v/>
      </c>
      <c r="G1059">
        <f t="shared" si="246"/>
        <v>14.7243186582809</v>
      </c>
    </row>
    <row r="1060" spans="2:7">
      <c r="B1060" s="46"/>
      <c r="C1060" t="str">
        <f t="shared" si="242"/>
        <v/>
      </c>
      <c r="D1060" s="63" t="str">
        <f t="shared" si="243"/>
        <v/>
      </c>
      <c r="E1060" t="str">
        <f t="shared" si="244"/>
        <v/>
      </c>
      <c r="F1060">
        <f t="shared" si="245"/>
        <v>9.17630385487529</v>
      </c>
      <c r="G1060" t="str">
        <f t="shared" si="246"/>
        <v/>
      </c>
    </row>
    <row r="1061" spans="2:7">
      <c r="B1061" s="46"/>
      <c r="C1061" t="str">
        <f t="shared" si="242"/>
        <v/>
      </c>
      <c r="D1061" s="63" t="str">
        <f t="shared" si="243"/>
        <v/>
      </c>
      <c r="E1061" t="str">
        <f t="shared" si="244"/>
        <v/>
      </c>
      <c r="F1061">
        <f t="shared" si="245"/>
        <v>12.328231292517</v>
      </c>
      <c r="G1061" t="str">
        <f t="shared" si="246"/>
        <v/>
      </c>
    </row>
    <row r="1062" spans="2:7">
      <c r="B1062" s="46"/>
      <c r="C1062" t="str">
        <f t="shared" si="242"/>
        <v/>
      </c>
      <c r="D1062" s="63" t="str">
        <f t="shared" si="243"/>
        <v/>
      </c>
      <c r="E1062" t="str">
        <f t="shared" si="244"/>
        <v/>
      </c>
      <c r="F1062">
        <f t="shared" si="245"/>
        <v>15.0017006802721</v>
      </c>
      <c r="G1062" t="str">
        <f t="shared" si="246"/>
        <v/>
      </c>
    </row>
    <row r="1063" spans="2:7">
      <c r="B1063" s="46"/>
      <c r="C1063">
        <f t="shared" si="242"/>
        <v>10.328125</v>
      </c>
      <c r="D1063" s="63" t="str">
        <f t="shared" si="243"/>
        <v/>
      </c>
      <c r="E1063" t="str">
        <f t="shared" si="244"/>
        <v/>
      </c>
      <c r="F1063" t="str">
        <f t="shared" si="245"/>
        <v/>
      </c>
      <c r="G1063" t="str">
        <f t="shared" si="246"/>
        <v/>
      </c>
    </row>
    <row r="1064" spans="2:7">
      <c r="B1064" s="46"/>
      <c r="C1064">
        <f t="shared" si="242"/>
        <v>14.5908564814815</v>
      </c>
      <c r="D1064" s="63" t="str">
        <f t="shared" si="243"/>
        <v/>
      </c>
      <c r="E1064" t="str">
        <f t="shared" si="244"/>
        <v/>
      </c>
      <c r="F1064" t="str">
        <f t="shared" si="245"/>
        <v/>
      </c>
      <c r="G1064" t="str">
        <f t="shared" si="246"/>
        <v/>
      </c>
    </row>
    <row r="1065" spans="2:7">
      <c r="B1065" s="46"/>
      <c r="C1065">
        <f t="shared" si="242"/>
        <v>14.9409722222222</v>
      </c>
      <c r="D1065" s="63" t="str">
        <f t="shared" si="243"/>
        <v/>
      </c>
      <c r="E1065" t="str">
        <f t="shared" si="244"/>
        <v/>
      </c>
      <c r="F1065" t="str">
        <f t="shared" si="245"/>
        <v/>
      </c>
      <c r="G1065" t="str">
        <f t="shared" si="246"/>
        <v/>
      </c>
    </row>
    <row r="1066" spans="2:7">
      <c r="B1066" s="46"/>
      <c r="C1066">
        <f t="shared" si="242"/>
        <v>19.2465277777778</v>
      </c>
      <c r="D1066" s="63" t="str">
        <f t="shared" si="243"/>
        <v/>
      </c>
      <c r="E1066" t="str">
        <f t="shared" si="244"/>
        <v/>
      </c>
      <c r="F1066" t="str">
        <f t="shared" si="245"/>
        <v/>
      </c>
      <c r="G1066" t="str">
        <f t="shared" si="246"/>
        <v/>
      </c>
    </row>
    <row r="1067" spans="2:7">
      <c r="B1067" s="46"/>
      <c r="C1067" t="str">
        <f t="shared" si="242"/>
        <v/>
      </c>
      <c r="D1067" s="63">
        <f t="shared" si="243"/>
        <v>15.0340375586854</v>
      </c>
      <c r="E1067" t="str">
        <f t="shared" si="244"/>
        <v/>
      </c>
      <c r="F1067" t="str">
        <f t="shared" si="245"/>
        <v/>
      </c>
      <c r="G1067" t="str">
        <f t="shared" si="246"/>
        <v/>
      </c>
    </row>
    <row r="1068" spans="2:7">
      <c r="B1068" s="46"/>
      <c r="C1068" t="str">
        <f t="shared" si="242"/>
        <v/>
      </c>
      <c r="D1068" s="63">
        <f t="shared" si="243"/>
        <v>15.0340375586854</v>
      </c>
      <c r="E1068" t="str">
        <f t="shared" si="244"/>
        <v/>
      </c>
      <c r="F1068" t="str">
        <f t="shared" si="245"/>
        <v/>
      </c>
      <c r="G1068" t="str">
        <f t="shared" si="246"/>
        <v/>
      </c>
    </row>
    <row r="1069" spans="2:7">
      <c r="B1069" s="46"/>
      <c r="C1069" t="str">
        <f t="shared" si="242"/>
        <v/>
      </c>
      <c r="D1069" s="63">
        <f t="shared" si="243"/>
        <v>16.1343896713615</v>
      </c>
      <c r="E1069" t="str">
        <f t="shared" si="244"/>
        <v/>
      </c>
      <c r="F1069" t="str">
        <f t="shared" si="245"/>
        <v/>
      </c>
      <c r="G1069" t="str">
        <f t="shared" si="246"/>
        <v/>
      </c>
    </row>
    <row r="1070" spans="2:7">
      <c r="B1070" s="46"/>
      <c r="C1070" t="str">
        <f t="shared" si="242"/>
        <v/>
      </c>
      <c r="D1070" s="63">
        <f t="shared" si="243"/>
        <v>16.8620892018779</v>
      </c>
      <c r="E1070" t="str">
        <f t="shared" si="244"/>
        <v/>
      </c>
      <c r="F1070" t="str">
        <f t="shared" si="245"/>
        <v/>
      </c>
      <c r="G1070" t="str">
        <f t="shared" si="246"/>
        <v/>
      </c>
    </row>
    <row r="1071" spans="2:7">
      <c r="B1071" s="46"/>
      <c r="C1071" t="str">
        <f t="shared" si="242"/>
        <v/>
      </c>
      <c r="D1071" s="63" t="str">
        <f t="shared" si="243"/>
        <v/>
      </c>
      <c r="E1071">
        <f t="shared" si="244"/>
        <v>16.1245098039216</v>
      </c>
      <c r="F1071" t="str">
        <f t="shared" si="245"/>
        <v/>
      </c>
      <c r="G1071" t="str">
        <f t="shared" si="246"/>
        <v/>
      </c>
    </row>
    <row r="1072" spans="2:7">
      <c r="B1072" s="46"/>
      <c r="C1072" t="str">
        <f t="shared" si="242"/>
        <v/>
      </c>
      <c r="D1072" s="63" t="str">
        <f t="shared" si="243"/>
        <v/>
      </c>
      <c r="E1072">
        <f t="shared" si="244"/>
        <v>17.9225490196078</v>
      </c>
      <c r="F1072" t="str">
        <f t="shared" si="245"/>
        <v/>
      </c>
      <c r="G1072" t="str">
        <f t="shared" si="246"/>
        <v/>
      </c>
    </row>
    <row r="1073" spans="2:7">
      <c r="B1073" s="46"/>
      <c r="C1073" t="str">
        <f t="shared" si="242"/>
        <v/>
      </c>
      <c r="D1073" s="63" t="str">
        <f t="shared" si="243"/>
        <v/>
      </c>
      <c r="E1073">
        <f t="shared" si="244"/>
        <v>18.7166666666667</v>
      </c>
      <c r="F1073" t="str">
        <f t="shared" si="245"/>
        <v/>
      </c>
      <c r="G1073" t="str">
        <f t="shared" si="246"/>
        <v/>
      </c>
    </row>
    <row r="1074" spans="2:7">
      <c r="B1074" s="46"/>
      <c r="C1074" t="str">
        <f t="shared" si="242"/>
        <v/>
      </c>
      <c r="D1074" s="63" t="str">
        <f t="shared" si="243"/>
        <v/>
      </c>
      <c r="E1074">
        <f t="shared" si="244"/>
        <v>18.9539215686275</v>
      </c>
      <c r="F1074" t="str">
        <f t="shared" si="245"/>
        <v/>
      </c>
      <c r="G1074" t="str">
        <f t="shared" si="246"/>
        <v/>
      </c>
    </row>
    <row r="1075" ht="15.75" spans="2:7">
      <c r="B1075" s="46"/>
      <c r="C1075" t="str">
        <f t="shared" si="242"/>
        <v/>
      </c>
      <c r="D1075" s="63" t="str">
        <f t="shared" si="243"/>
        <v/>
      </c>
      <c r="E1075" t="str">
        <f t="shared" si="244"/>
        <v/>
      </c>
      <c r="F1075" t="str">
        <f t="shared" si="245"/>
        <v/>
      </c>
      <c r="G1075">
        <f t="shared" si="246"/>
        <v>15.4449685534591</v>
      </c>
    </row>
    <row r="1076" spans="2:7">
      <c r="B1076" s="74" t="s">
        <v>269</v>
      </c>
      <c r="C1076" s="75">
        <f>MAX(C1039:C1075)</f>
        <v>19.2465277777778</v>
      </c>
      <c r="D1076" s="75">
        <f>MAX(D1039:D1075)</f>
        <v>16.8620892018779</v>
      </c>
      <c r="E1076" s="75">
        <f>MAX(E1039:E1075)</f>
        <v>18.9539215686275</v>
      </c>
      <c r="F1076" s="75">
        <f>MAX(F1039:F1075)</f>
        <v>15.0017006802721</v>
      </c>
      <c r="G1076" s="75">
        <f>MAX(G1039:G1075)</f>
        <v>15.4449685534591</v>
      </c>
    </row>
    <row r="1077" spans="2:7">
      <c r="B1077" s="76" t="s">
        <v>270</v>
      </c>
      <c r="C1077" s="77">
        <v>1</v>
      </c>
      <c r="D1077" s="78">
        <v>2</v>
      </c>
      <c r="E1077">
        <v>3</v>
      </c>
      <c r="F1077">
        <v>4</v>
      </c>
      <c r="G1077">
        <v>5</v>
      </c>
    </row>
    <row r="1078" spans="2:7">
      <c r="B1078" s="79" t="s">
        <v>271</v>
      </c>
      <c r="C1078" s="72">
        <f>HLOOKUP(MIN(C1076:G1076),C1076:G1077,2,FALSE)</f>
        <v>4</v>
      </c>
      <c r="D1078" s="80"/>
    </row>
    <row r="1082" ht="15.75" spans="2:7">
      <c r="B1082" s="43" t="s">
        <v>310</v>
      </c>
      <c r="C1082" s="44"/>
      <c r="D1082" s="45"/>
    </row>
    <row r="1083" spans="2:7">
      <c r="B1083" s="46"/>
      <c r="C1083" s="61" t="s">
        <v>264</v>
      </c>
      <c r="D1083" s="61" t="s">
        <v>265</v>
      </c>
      <c r="E1083" s="62" t="s">
        <v>286</v>
      </c>
      <c r="F1083" s="62" t="s">
        <v>287</v>
      </c>
      <c r="G1083" s="62" t="s">
        <v>288</v>
      </c>
    </row>
    <row r="1084" spans="2:7">
      <c r="B1084" s="46"/>
      <c r="C1084">
        <f>IF(J8=1,S8,"")</f>
        <v>0.700231481481482</v>
      </c>
      <c r="D1084" s="63" t="str">
        <f>IF(J8=2,S8,"")</f>
        <v/>
      </c>
      <c r="E1084" t="str">
        <f>IF(J8=3,S8,"")</f>
        <v/>
      </c>
      <c r="F1084" t="str">
        <f>IF(J8=4,S8,"")</f>
        <v/>
      </c>
      <c r="G1084" t="str">
        <f>IF(J8=5,S8,"")</f>
        <v/>
      </c>
    </row>
    <row r="1085" spans="2:7">
      <c r="B1085" s="46"/>
      <c r="C1085" t="str">
        <f t="shared" ref="C1085:C1121" si="247">IF(J9=1,S9,"")</f>
        <v/>
      </c>
      <c r="D1085" s="63">
        <f t="shared" ref="D1085:D1121" si="248">IF(J9=2,S9,"")</f>
        <v>0.734154929577465</v>
      </c>
      <c r="E1085" t="str">
        <f t="shared" ref="E1085:E1121" si="249">IF(J9=3,S9,"")</f>
        <v/>
      </c>
      <c r="F1085" t="str">
        <f t="shared" ref="F1085:F1121" si="250">IF(J9=4,S9,"")</f>
        <v/>
      </c>
      <c r="G1085" t="str">
        <f t="shared" ref="G1085:G1121" si="251">IF(J9=5,S9,"")</f>
        <v/>
      </c>
    </row>
    <row r="1086" spans="2:7">
      <c r="B1086" s="46"/>
      <c r="C1086" t="str">
        <f t="shared" si="247"/>
        <v/>
      </c>
      <c r="D1086" s="63" t="str">
        <f t="shared" si="248"/>
        <v/>
      </c>
      <c r="E1086">
        <f t="shared" si="249"/>
        <v>1.83823529411765</v>
      </c>
      <c r="F1086" t="str">
        <f t="shared" si="250"/>
        <v/>
      </c>
      <c r="G1086" t="str">
        <f t="shared" si="251"/>
        <v/>
      </c>
    </row>
    <row r="1087" spans="2:7">
      <c r="B1087" s="46"/>
      <c r="C1087" t="str">
        <f t="shared" si="247"/>
        <v/>
      </c>
      <c r="D1087" s="63" t="str">
        <f t="shared" si="248"/>
        <v/>
      </c>
      <c r="E1087" t="str">
        <f t="shared" si="249"/>
        <v/>
      </c>
      <c r="F1087">
        <f t="shared" si="250"/>
        <v>4.28571428571429</v>
      </c>
      <c r="G1087" t="str">
        <f t="shared" si="251"/>
        <v/>
      </c>
    </row>
    <row r="1088" spans="2:7">
      <c r="B1088" s="46"/>
      <c r="C1088" t="str">
        <f t="shared" si="247"/>
        <v/>
      </c>
      <c r="D1088" s="63" t="str">
        <f t="shared" si="248"/>
        <v/>
      </c>
      <c r="E1088" t="str">
        <f t="shared" si="249"/>
        <v/>
      </c>
      <c r="F1088" t="str">
        <f t="shared" si="250"/>
        <v/>
      </c>
      <c r="G1088">
        <f t="shared" si="251"/>
        <v>3.43396226415094</v>
      </c>
    </row>
    <row r="1089" spans="2:7">
      <c r="B1089" s="46"/>
      <c r="C1089" t="str">
        <f t="shared" si="247"/>
        <v/>
      </c>
      <c r="D1089" s="63" t="str">
        <f t="shared" si="248"/>
        <v/>
      </c>
      <c r="E1089">
        <f t="shared" si="249"/>
        <v>14.5833333333333</v>
      </c>
      <c r="F1089" t="str">
        <f t="shared" si="250"/>
        <v/>
      </c>
      <c r="G1089" t="str">
        <f t="shared" si="251"/>
        <v/>
      </c>
    </row>
    <row r="1090" spans="2:7">
      <c r="B1090" s="46"/>
      <c r="C1090" t="str">
        <f t="shared" si="247"/>
        <v/>
      </c>
      <c r="D1090" s="63" t="str">
        <f t="shared" si="248"/>
        <v/>
      </c>
      <c r="E1090" t="str">
        <f t="shared" si="249"/>
        <v/>
      </c>
      <c r="F1090">
        <f t="shared" si="250"/>
        <v>6.42857142857143</v>
      </c>
      <c r="G1090" t="str">
        <f t="shared" si="251"/>
        <v/>
      </c>
    </row>
    <row r="1091" spans="2:7">
      <c r="B1091" s="46"/>
      <c r="C1091" t="str">
        <f t="shared" si="247"/>
        <v/>
      </c>
      <c r="D1091" s="63" t="str">
        <f t="shared" si="248"/>
        <v/>
      </c>
      <c r="E1091" t="str">
        <f t="shared" si="249"/>
        <v/>
      </c>
      <c r="F1091" t="str">
        <f t="shared" si="250"/>
        <v/>
      </c>
      <c r="G1091">
        <f t="shared" si="251"/>
        <v>3.84591194968553</v>
      </c>
    </row>
    <row r="1092" spans="2:7">
      <c r="B1092" s="46"/>
      <c r="C1092">
        <f t="shared" si="247"/>
        <v>0.844907407407407</v>
      </c>
      <c r="D1092" s="63" t="str">
        <f t="shared" si="248"/>
        <v/>
      </c>
      <c r="E1092" t="str">
        <f t="shared" si="249"/>
        <v/>
      </c>
      <c r="F1092" t="str">
        <f t="shared" si="250"/>
        <v/>
      </c>
      <c r="G1092" t="str">
        <f t="shared" si="251"/>
        <v/>
      </c>
    </row>
    <row r="1093" spans="2:7">
      <c r="B1093" s="46"/>
      <c r="C1093">
        <f t="shared" si="247"/>
        <v>6.79803240740741</v>
      </c>
      <c r="D1093" s="63" t="str">
        <f t="shared" si="248"/>
        <v/>
      </c>
      <c r="E1093" t="str">
        <f t="shared" si="249"/>
        <v/>
      </c>
      <c r="F1093" t="str">
        <f t="shared" si="250"/>
        <v/>
      </c>
      <c r="G1093" t="str">
        <f t="shared" si="251"/>
        <v/>
      </c>
    </row>
    <row r="1094" spans="2:7">
      <c r="B1094" s="46"/>
      <c r="C1094">
        <f t="shared" si="247"/>
        <v>6.79803240740741</v>
      </c>
      <c r="D1094" s="63" t="str">
        <f t="shared" si="248"/>
        <v/>
      </c>
      <c r="E1094" t="str">
        <f t="shared" si="249"/>
        <v/>
      </c>
      <c r="F1094" t="str">
        <f t="shared" si="250"/>
        <v/>
      </c>
      <c r="G1094" t="str">
        <f t="shared" si="251"/>
        <v/>
      </c>
    </row>
    <row r="1095" spans="2:7">
      <c r="B1095" s="46"/>
      <c r="C1095">
        <f t="shared" si="247"/>
        <v>7.52719907407408</v>
      </c>
      <c r="D1095" s="63" t="str">
        <f t="shared" si="248"/>
        <v/>
      </c>
      <c r="E1095" t="str">
        <f t="shared" si="249"/>
        <v/>
      </c>
      <c r="F1095" t="str">
        <f t="shared" si="250"/>
        <v/>
      </c>
      <c r="G1095" t="str">
        <f t="shared" si="251"/>
        <v/>
      </c>
    </row>
    <row r="1096" spans="2:7">
      <c r="B1096" s="46"/>
      <c r="C1096" t="str">
        <f t="shared" si="247"/>
        <v/>
      </c>
      <c r="D1096" s="63">
        <f t="shared" si="248"/>
        <v>2.7881455399061</v>
      </c>
      <c r="E1096" t="str">
        <f t="shared" si="249"/>
        <v/>
      </c>
      <c r="F1096" t="str">
        <f t="shared" si="250"/>
        <v/>
      </c>
      <c r="G1096" t="str">
        <f t="shared" si="251"/>
        <v/>
      </c>
    </row>
    <row r="1097" spans="2:7">
      <c r="B1097" s="46"/>
      <c r="C1097" t="str">
        <f t="shared" si="247"/>
        <v/>
      </c>
      <c r="D1097" s="63">
        <f t="shared" si="248"/>
        <v>4.47535211267606</v>
      </c>
      <c r="E1097" t="str">
        <f t="shared" si="249"/>
        <v/>
      </c>
      <c r="F1097" t="str">
        <f t="shared" si="250"/>
        <v/>
      </c>
      <c r="G1097" t="str">
        <f t="shared" si="251"/>
        <v/>
      </c>
    </row>
    <row r="1098" spans="2:7">
      <c r="B1098" s="46"/>
      <c r="C1098" t="str">
        <f t="shared" si="247"/>
        <v/>
      </c>
      <c r="D1098" s="63">
        <f t="shared" si="248"/>
        <v>6.10680751173709</v>
      </c>
      <c r="E1098" t="str">
        <f t="shared" si="249"/>
        <v/>
      </c>
      <c r="F1098" t="str">
        <f t="shared" si="250"/>
        <v/>
      </c>
      <c r="G1098" t="str">
        <f t="shared" si="251"/>
        <v/>
      </c>
    </row>
    <row r="1099" spans="2:7">
      <c r="B1099" s="46"/>
      <c r="C1099" t="str">
        <f t="shared" si="247"/>
        <v/>
      </c>
      <c r="D1099" s="63">
        <f t="shared" si="248"/>
        <v>8.50821596244131</v>
      </c>
      <c r="E1099" t="str">
        <f t="shared" si="249"/>
        <v/>
      </c>
      <c r="F1099" t="str">
        <f t="shared" si="250"/>
        <v/>
      </c>
      <c r="G1099" t="str">
        <f t="shared" si="251"/>
        <v/>
      </c>
    </row>
    <row r="1100" spans="2:7">
      <c r="B1100" s="46"/>
      <c r="C1100" t="str">
        <f t="shared" si="247"/>
        <v/>
      </c>
      <c r="D1100" s="63">
        <f t="shared" si="248"/>
        <v>10.268779342723</v>
      </c>
      <c r="E1100" t="str">
        <f t="shared" si="249"/>
        <v/>
      </c>
      <c r="F1100" t="str">
        <f t="shared" si="250"/>
        <v/>
      </c>
      <c r="G1100" t="str">
        <f t="shared" si="251"/>
        <v/>
      </c>
    </row>
    <row r="1101" spans="2:7">
      <c r="B1101" s="46"/>
      <c r="C1101" t="str">
        <f t="shared" si="247"/>
        <v/>
      </c>
      <c r="D1101" s="63" t="str">
        <f t="shared" si="248"/>
        <v/>
      </c>
      <c r="E1101" t="str">
        <f t="shared" si="249"/>
        <v/>
      </c>
      <c r="F1101" t="str">
        <f t="shared" si="250"/>
        <v/>
      </c>
      <c r="G1101">
        <f t="shared" si="251"/>
        <v>7.67610062893082</v>
      </c>
    </row>
    <row r="1102" spans="2:7">
      <c r="B1102" s="46"/>
      <c r="C1102" t="str">
        <f t="shared" si="247"/>
        <v/>
      </c>
      <c r="D1102" s="63" t="str">
        <f t="shared" si="248"/>
        <v/>
      </c>
      <c r="E1102" t="str">
        <f t="shared" si="249"/>
        <v/>
      </c>
      <c r="F1102" t="str">
        <f t="shared" si="250"/>
        <v/>
      </c>
      <c r="G1102">
        <f t="shared" si="251"/>
        <v>10.3836477987421</v>
      </c>
    </row>
    <row r="1103" spans="2:7">
      <c r="B1103" s="46"/>
      <c r="C1103" t="str">
        <f t="shared" si="247"/>
        <v/>
      </c>
      <c r="D1103" s="63" t="str">
        <f t="shared" si="248"/>
        <v/>
      </c>
      <c r="E1103" t="str">
        <f t="shared" si="249"/>
        <v/>
      </c>
      <c r="F1103" t="str">
        <f t="shared" si="250"/>
        <v/>
      </c>
      <c r="G1103">
        <f t="shared" si="251"/>
        <v>13.2138364779874</v>
      </c>
    </row>
    <row r="1104" spans="2:7">
      <c r="B1104" s="46"/>
      <c r="C1104" t="str">
        <f t="shared" si="247"/>
        <v/>
      </c>
      <c r="D1104" s="63" t="str">
        <f t="shared" si="248"/>
        <v/>
      </c>
      <c r="E1104" t="str">
        <f t="shared" si="249"/>
        <v/>
      </c>
      <c r="F1104" t="str">
        <f t="shared" si="250"/>
        <v/>
      </c>
      <c r="G1104">
        <f t="shared" si="251"/>
        <v>14.7243186582809</v>
      </c>
    </row>
    <row r="1105" spans="2:7">
      <c r="B1105" s="46"/>
      <c r="C1105" t="str">
        <f t="shared" si="247"/>
        <v/>
      </c>
      <c r="D1105" s="63" t="str">
        <f t="shared" si="248"/>
        <v/>
      </c>
      <c r="E1105" t="str">
        <f t="shared" si="249"/>
        <v/>
      </c>
      <c r="F1105">
        <f t="shared" si="250"/>
        <v>9.17630385487529</v>
      </c>
      <c r="G1105" t="str">
        <f t="shared" si="251"/>
        <v/>
      </c>
    </row>
    <row r="1106" spans="2:7">
      <c r="B1106" s="46"/>
      <c r="C1106" t="str">
        <f t="shared" si="247"/>
        <v/>
      </c>
      <c r="D1106" s="63" t="str">
        <f t="shared" si="248"/>
        <v/>
      </c>
      <c r="E1106" t="str">
        <f t="shared" si="249"/>
        <v/>
      </c>
      <c r="F1106">
        <f t="shared" si="250"/>
        <v>12.328231292517</v>
      </c>
      <c r="G1106" t="str">
        <f t="shared" si="251"/>
        <v/>
      </c>
    </row>
    <row r="1107" spans="2:7">
      <c r="B1107" s="46"/>
      <c r="C1107" t="str">
        <f t="shared" si="247"/>
        <v/>
      </c>
      <c r="D1107" s="63" t="str">
        <f t="shared" si="248"/>
        <v/>
      </c>
      <c r="E1107" t="str">
        <f t="shared" si="249"/>
        <v/>
      </c>
      <c r="F1107">
        <f t="shared" si="250"/>
        <v>15.0017006802721</v>
      </c>
      <c r="G1107" t="str">
        <f t="shared" si="251"/>
        <v/>
      </c>
    </row>
    <row r="1108" spans="2:7">
      <c r="B1108" s="46"/>
      <c r="C1108">
        <f t="shared" si="247"/>
        <v>10.328125</v>
      </c>
      <c r="D1108" s="63" t="str">
        <f t="shared" si="248"/>
        <v/>
      </c>
      <c r="E1108" t="str">
        <f t="shared" si="249"/>
        <v/>
      </c>
      <c r="F1108" t="str">
        <f t="shared" si="250"/>
        <v/>
      </c>
      <c r="G1108" t="str">
        <f t="shared" si="251"/>
        <v/>
      </c>
    </row>
    <row r="1109" spans="2:7">
      <c r="B1109" s="46"/>
      <c r="C1109">
        <f t="shared" si="247"/>
        <v>14.5908564814815</v>
      </c>
      <c r="D1109" s="63" t="str">
        <f t="shared" si="248"/>
        <v/>
      </c>
      <c r="E1109" t="str">
        <f t="shared" si="249"/>
        <v/>
      </c>
      <c r="F1109" t="str">
        <f t="shared" si="250"/>
        <v/>
      </c>
      <c r="G1109" t="str">
        <f t="shared" si="251"/>
        <v/>
      </c>
    </row>
    <row r="1110" spans="2:7">
      <c r="B1110" s="46"/>
      <c r="C1110">
        <f t="shared" si="247"/>
        <v>14.9409722222222</v>
      </c>
      <c r="D1110" s="63" t="str">
        <f t="shared" si="248"/>
        <v/>
      </c>
      <c r="E1110" t="str">
        <f t="shared" si="249"/>
        <v/>
      </c>
      <c r="F1110" t="str">
        <f t="shared" si="250"/>
        <v/>
      </c>
      <c r="G1110" t="str">
        <f t="shared" si="251"/>
        <v/>
      </c>
    </row>
    <row r="1111" spans="2:7">
      <c r="B1111" s="46"/>
      <c r="C1111">
        <f t="shared" si="247"/>
        <v>19.2465277777778</v>
      </c>
      <c r="D1111" s="63" t="str">
        <f t="shared" si="248"/>
        <v/>
      </c>
      <c r="E1111" t="str">
        <f t="shared" si="249"/>
        <v/>
      </c>
      <c r="F1111" t="str">
        <f t="shared" si="250"/>
        <v/>
      </c>
      <c r="G1111" t="str">
        <f t="shared" si="251"/>
        <v/>
      </c>
    </row>
    <row r="1112" spans="2:7">
      <c r="B1112" s="46"/>
      <c r="C1112" t="str">
        <f t="shared" si="247"/>
        <v/>
      </c>
      <c r="D1112" s="63">
        <f t="shared" si="248"/>
        <v>15.0340375586854</v>
      </c>
      <c r="E1112" t="str">
        <f t="shared" si="249"/>
        <v/>
      </c>
      <c r="F1112" t="str">
        <f t="shared" si="250"/>
        <v/>
      </c>
      <c r="G1112" t="str">
        <f t="shared" si="251"/>
        <v/>
      </c>
    </row>
    <row r="1113" spans="2:7">
      <c r="B1113" s="46"/>
      <c r="C1113" t="str">
        <f t="shared" si="247"/>
        <v/>
      </c>
      <c r="D1113" s="63">
        <f t="shared" si="248"/>
        <v>15.0340375586854</v>
      </c>
      <c r="E1113" t="str">
        <f t="shared" si="249"/>
        <v/>
      </c>
      <c r="F1113" t="str">
        <f t="shared" si="250"/>
        <v/>
      </c>
      <c r="G1113" t="str">
        <f t="shared" si="251"/>
        <v/>
      </c>
    </row>
    <row r="1114" spans="2:7">
      <c r="B1114" s="46"/>
      <c r="C1114" t="str">
        <f t="shared" si="247"/>
        <v/>
      </c>
      <c r="D1114" s="63">
        <f t="shared" si="248"/>
        <v>16.1343896713615</v>
      </c>
      <c r="E1114" t="str">
        <f t="shared" si="249"/>
        <v/>
      </c>
      <c r="F1114" t="str">
        <f t="shared" si="250"/>
        <v/>
      </c>
      <c r="G1114" t="str">
        <f t="shared" si="251"/>
        <v/>
      </c>
    </row>
    <row r="1115" spans="2:7">
      <c r="B1115" s="46"/>
      <c r="C1115" t="str">
        <f t="shared" si="247"/>
        <v/>
      </c>
      <c r="D1115" s="63">
        <f t="shared" si="248"/>
        <v>16.8620892018779</v>
      </c>
      <c r="E1115" t="str">
        <f t="shared" si="249"/>
        <v/>
      </c>
      <c r="F1115" t="str">
        <f t="shared" si="250"/>
        <v/>
      </c>
      <c r="G1115" t="str">
        <f t="shared" si="251"/>
        <v/>
      </c>
    </row>
    <row r="1116" spans="2:7">
      <c r="B1116" s="46"/>
      <c r="C1116" t="str">
        <f t="shared" si="247"/>
        <v/>
      </c>
      <c r="D1116" s="63" t="str">
        <f t="shared" si="248"/>
        <v/>
      </c>
      <c r="E1116">
        <f t="shared" si="249"/>
        <v>16.1245098039216</v>
      </c>
      <c r="F1116" t="str">
        <f t="shared" si="250"/>
        <v/>
      </c>
      <c r="G1116" t="str">
        <f t="shared" si="251"/>
        <v/>
      </c>
    </row>
    <row r="1117" spans="2:7">
      <c r="B1117" s="46"/>
      <c r="C1117" t="str">
        <f t="shared" si="247"/>
        <v/>
      </c>
      <c r="D1117" s="63" t="str">
        <f t="shared" si="248"/>
        <v/>
      </c>
      <c r="E1117">
        <f t="shared" si="249"/>
        <v>17.9225490196078</v>
      </c>
      <c r="F1117" t="str">
        <f t="shared" si="250"/>
        <v/>
      </c>
      <c r="G1117" t="str">
        <f t="shared" si="251"/>
        <v/>
      </c>
    </row>
    <row r="1118" spans="2:7">
      <c r="B1118" s="46"/>
      <c r="C1118" t="str">
        <f t="shared" si="247"/>
        <v/>
      </c>
      <c r="D1118" s="63" t="str">
        <f t="shared" si="248"/>
        <v/>
      </c>
      <c r="E1118">
        <f t="shared" si="249"/>
        <v>18.7166666666667</v>
      </c>
      <c r="F1118" t="str">
        <f t="shared" si="250"/>
        <v/>
      </c>
      <c r="G1118" t="str">
        <f t="shared" si="251"/>
        <v/>
      </c>
    </row>
    <row r="1119" spans="2:7">
      <c r="B1119" s="46"/>
      <c r="C1119" t="str">
        <f t="shared" si="247"/>
        <v/>
      </c>
      <c r="D1119" s="63" t="str">
        <f t="shared" si="248"/>
        <v/>
      </c>
      <c r="E1119">
        <f t="shared" si="249"/>
        <v>18.9539215686275</v>
      </c>
      <c r="F1119" t="str">
        <f t="shared" si="250"/>
        <v/>
      </c>
      <c r="G1119" t="str">
        <f t="shared" si="251"/>
        <v/>
      </c>
    </row>
    <row r="1120" spans="2:7">
      <c r="B1120" s="46"/>
      <c r="C1120" t="str">
        <f t="shared" si="247"/>
        <v/>
      </c>
      <c r="D1120" s="63" t="str">
        <f t="shared" si="248"/>
        <v/>
      </c>
      <c r="E1120" t="str">
        <f t="shared" si="249"/>
        <v/>
      </c>
      <c r="F1120" t="str">
        <f t="shared" si="250"/>
        <v/>
      </c>
      <c r="G1120">
        <f t="shared" si="251"/>
        <v>15.4449685534591</v>
      </c>
    </row>
    <row r="1121" ht="15.75" spans="2:7">
      <c r="B1121" s="46"/>
      <c r="C1121" t="str">
        <f t="shared" si="247"/>
        <v/>
      </c>
      <c r="D1121" s="63" t="str">
        <f t="shared" si="248"/>
        <v/>
      </c>
      <c r="E1121" t="str">
        <f t="shared" si="249"/>
        <v/>
      </c>
      <c r="F1121" t="str">
        <f t="shared" si="250"/>
        <v/>
      </c>
      <c r="G1121">
        <f t="shared" si="251"/>
        <v>16.4669811320755</v>
      </c>
    </row>
    <row r="1122" spans="2:7">
      <c r="B1122" s="74" t="s">
        <v>269</v>
      </c>
      <c r="C1122" s="75">
        <f>MAX(C1084:C1121)</f>
        <v>19.2465277777778</v>
      </c>
      <c r="D1122" s="75">
        <f>MAX(D1084:D1121)</f>
        <v>16.8620892018779</v>
      </c>
      <c r="E1122" s="75">
        <f>MAX(E1084:E1121)</f>
        <v>18.9539215686275</v>
      </c>
      <c r="F1122" s="75">
        <f>MAX(F1084:F1121)</f>
        <v>15.0017006802721</v>
      </c>
      <c r="G1122" s="75">
        <f>MAX(G1084:G1121)</f>
        <v>16.4669811320755</v>
      </c>
    </row>
    <row r="1123" spans="2:7">
      <c r="B1123" s="76" t="s">
        <v>270</v>
      </c>
      <c r="C1123" s="77">
        <v>1</v>
      </c>
      <c r="D1123" s="78">
        <v>2</v>
      </c>
      <c r="E1123">
        <v>3</v>
      </c>
      <c r="F1123">
        <v>4</v>
      </c>
      <c r="G1123">
        <v>5</v>
      </c>
    </row>
    <row r="1124" spans="2:7">
      <c r="B1124" s="79" t="s">
        <v>271</v>
      </c>
      <c r="C1124" s="72">
        <f>HLOOKUP(MIN(C1122:G1122),C1122:G1123,2,FALSE)</f>
        <v>4</v>
      </c>
      <c r="D1124" s="80"/>
    </row>
    <row r="1127" ht="15.75" spans="2:7">
      <c r="B1127" s="43" t="s">
        <v>311</v>
      </c>
      <c r="C1127" s="44"/>
      <c r="D1127" s="45"/>
    </row>
    <row r="1128" spans="2:7">
      <c r="B1128" s="46"/>
      <c r="C1128" s="61" t="s">
        <v>264</v>
      </c>
      <c r="D1128" s="61" t="s">
        <v>265</v>
      </c>
      <c r="E1128" s="62" t="s">
        <v>286</v>
      </c>
      <c r="F1128" s="62" t="s">
        <v>287</v>
      </c>
      <c r="G1128" s="62" t="s">
        <v>288</v>
      </c>
    </row>
    <row r="1129" spans="2:7">
      <c r="B1129" s="46"/>
      <c r="C1129">
        <f>IF(J8=1,S8,"")</f>
        <v>0.700231481481482</v>
      </c>
      <c r="D1129" s="63" t="str">
        <f>IF(J8=2,S8,"")</f>
        <v/>
      </c>
      <c r="E1129" t="str">
        <f>IF(J8=3,S8,"")</f>
        <v/>
      </c>
      <c r="F1129" t="str">
        <f>IF(J8=4,S8,"")</f>
        <v/>
      </c>
      <c r="G1129" t="str">
        <f>IF(J8=5,S8,"")</f>
        <v/>
      </c>
    </row>
    <row r="1130" spans="2:7">
      <c r="B1130" s="46"/>
      <c r="C1130" t="str">
        <f t="shared" ref="C1130:C1167" si="252">IF(J9=1,S9,"")</f>
        <v/>
      </c>
      <c r="D1130" s="63">
        <f t="shared" ref="D1130:D1167" si="253">IF(J9=2,S9,"")</f>
        <v>0.734154929577465</v>
      </c>
      <c r="E1130" t="str">
        <f t="shared" ref="E1130:E1167" si="254">IF(J9=3,S9,"")</f>
        <v/>
      </c>
      <c r="F1130" t="str">
        <f t="shared" ref="F1130:F1167" si="255">IF(J9=4,S9,"")</f>
        <v/>
      </c>
      <c r="G1130" t="str">
        <f t="shared" ref="G1130:G1167" si="256">IF(J9=5,S9,"")</f>
        <v/>
      </c>
    </row>
    <row r="1131" spans="2:7">
      <c r="B1131" s="46"/>
      <c r="C1131" t="str">
        <f t="shared" si="252"/>
        <v/>
      </c>
      <c r="D1131" s="63" t="str">
        <f t="shared" si="253"/>
        <v/>
      </c>
      <c r="E1131">
        <f t="shared" si="254"/>
        <v>1.83823529411765</v>
      </c>
      <c r="F1131" t="str">
        <f t="shared" si="255"/>
        <v/>
      </c>
      <c r="G1131" t="str">
        <f t="shared" si="256"/>
        <v/>
      </c>
    </row>
    <row r="1132" spans="2:7">
      <c r="B1132" s="46"/>
      <c r="C1132" t="str">
        <f t="shared" si="252"/>
        <v/>
      </c>
      <c r="D1132" s="63" t="str">
        <f t="shared" si="253"/>
        <v/>
      </c>
      <c r="E1132" t="str">
        <f t="shared" si="254"/>
        <v/>
      </c>
      <c r="F1132">
        <f t="shared" si="255"/>
        <v>4.28571428571429</v>
      </c>
      <c r="G1132" t="str">
        <f t="shared" si="256"/>
        <v/>
      </c>
    </row>
    <row r="1133" spans="2:7">
      <c r="B1133" s="46"/>
      <c r="C1133" t="str">
        <f t="shared" si="252"/>
        <v/>
      </c>
      <c r="D1133" s="63" t="str">
        <f t="shared" si="253"/>
        <v/>
      </c>
      <c r="E1133" t="str">
        <f t="shared" si="254"/>
        <v/>
      </c>
      <c r="F1133" t="str">
        <f t="shared" si="255"/>
        <v/>
      </c>
      <c r="G1133">
        <f t="shared" si="256"/>
        <v>3.43396226415094</v>
      </c>
    </row>
    <row r="1134" spans="2:7">
      <c r="B1134" s="46"/>
      <c r="C1134" t="str">
        <f t="shared" si="252"/>
        <v/>
      </c>
      <c r="D1134" s="63" t="str">
        <f t="shared" si="253"/>
        <v/>
      </c>
      <c r="E1134">
        <f t="shared" si="254"/>
        <v>14.5833333333333</v>
      </c>
      <c r="F1134" t="str">
        <f t="shared" si="255"/>
        <v/>
      </c>
      <c r="G1134" t="str">
        <f t="shared" si="256"/>
        <v/>
      </c>
    </row>
    <row r="1135" spans="2:7">
      <c r="B1135" s="46"/>
      <c r="C1135" t="str">
        <f t="shared" si="252"/>
        <v/>
      </c>
      <c r="D1135" s="63" t="str">
        <f t="shared" si="253"/>
        <v/>
      </c>
      <c r="E1135" t="str">
        <f t="shared" si="254"/>
        <v/>
      </c>
      <c r="F1135">
        <f t="shared" si="255"/>
        <v>6.42857142857143</v>
      </c>
      <c r="G1135" t="str">
        <f t="shared" si="256"/>
        <v/>
      </c>
    </row>
    <row r="1136" spans="2:7">
      <c r="B1136" s="46"/>
      <c r="C1136" t="str">
        <f t="shared" si="252"/>
        <v/>
      </c>
      <c r="D1136" s="63" t="str">
        <f t="shared" si="253"/>
        <v/>
      </c>
      <c r="E1136" t="str">
        <f t="shared" si="254"/>
        <v/>
      </c>
      <c r="F1136" t="str">
        <f t="shared" si="255"/>
        <v/>
      </c>
      <c r="G1136">
        <f t="shared" si="256"/>
        <v>3.84591194968553</v>
      </c>
    </row>
    <row r="1137" spans="2:7">
      <c r="B1137" s="46"/>
      <c r="C1137">
        <f t="shared" si="252"/>
        <v>0.844907407407407</v>
      </c>
      <c r="D1137" s="63" t="str">
        <f t="shared" si="253"/>
        <v/>
      </c>
      <c r="E1137" t="str">
        <f t="shared" si="254"/>
        <v/>
      </c>
      <c r="F1137" t="str">
        <f t="shared" si="255"/>
        <v/>
      </c>
      <c r="G1137" t="str">
        <f t="shared" si="256"/>
        <v/>
      </c>
    </row>
    <row r="1138" spans="2:7">
      <c r="B1138" s="46"/>
      <c r="C1138">
        <f t="shared" si="252"/>
        <v>6.79803240740741</v>
      </c>
      <c r="D1138" s="63" t="str">
        <f t="shared" si="253"/>
        <v/>
      </c>
      <c r="E1138" t="str">
        <f t="shared" si="254"/>
        <v/>
      </c>
      <c r="F1138" t="str">
        <f t="shared" si="255"/>
        <v/>
      </c>
      <c r="G1138" t="str">
        <f t="shared" si="256"/>
        <v/>
      </c>
    </row>
    <row r="1139" spans="2:7">
      <c r="B1139" s="46"/>
      <c r="C1139">
        <f t="shared" si="252"/>
        <v>6.79803240740741</v>
      </c>
      <c r="D1139" s="63" t="str">
        <f t="shared" si="253"/>
        <v/>
      </c>
      <c r="E1139" t="str">
        <f t="shared" si="254"/>
        <v/>
      </c>
      <c r="F1139" t="str">
        <f t="shared" si="255"/>
        <v/>
      </c>
      <c r="G1139" t="str">
        <f t="shared" si="256"/>
        <v/>
      </c>
    </row>
    <row r="1140" spans="2:7">
      <c r="B1140" s="46"/>
      <c r="C1140">
        <f t="shared" si="252"/>
        <v>7.52719907407408</v>
      </c>
      <c r="D1140" s="63" t="str">
        <f t="shared" si="253"/>
        <v/>
      </c>
      <c r="E1140" t="str">
        <f t="shared" si="254"/>
        <v/>
      </c>
      <c r="F1140" t="str">
        <f t="shared" si="255"/>
        <v/>
      </c>
      <c r="G1140" t="str">
        <f t="shared" si="256"/>
        <v/>
      </c>
    </row>
    <row r="1141" spans="2:7">
      <c r="B1141" s="46"/>
      <c r="C1141" t="str">
        <f t="shared" si="252"/>
        <v/>
      </c>
      <c r="D1141" s="63">
        <f t="shared" si="253"/>
        <v>2.7881455399061</v>
      </c>
      <c r="E1141" t="str">
        <f t="shared" si="254"/>
        <v/>
      </c>
      <c r="F1141" t="str">
        <f t="shared" si="255"/>
        <v/>
      </c>
      <c r="G1141" t="str">
        <f t="shared" si="256"/>
        <v/>
      </c>
    </row>
    <row r="1142" spans="2:7">
      <c r="B1142" s="46"/>
      <c r="C1142" t="str">
        <f t="shared" si="252"/>
        <v/>
      </c>
      <c r="D1142" s="63">
        <f t="shared" si="253"/>
        <v>4.47535211267606</v>
      </c>
      <c r="E1142" t="str">
        <f t="shared" si="254"/>
        <v/>
      </c>
      <c r="F1142" t="str">
        <f t="shared" si="255"/>
        <v/>
      </c>
      <c r="G1142" t="str">
        <f t="shared" si="256"/>
        <v/>
      </c>
    </row>
    <row r="1143" spans="2:7">
      <c r="B1143" s="46"/>
      <c r="C1143" t="str">
        <f t="shared" si="252"/>
        <v/>
      </c>
      <c r="D1143" s="63">
        <f t="shared" si="253"/>
        <v>6.10680751173709</v>
      </c>
      <c r="E1143" t="str">
        <f t="shared" si="254"/>
        <v/>
      </c>
      <c r="F1143" t="str">
        <f t="shared" si="255"/>
        <v/>
      </c>
      <c r="G1143" t="str">
        <f t="shared" si="256"/>
        <v/>
      </c>
    </row>
    <row r="1144" spans="2:7">
      <c r="B1144" s="46"/>
      <c r="C1144" t="str">
        <f t="shared" si="252"/>
        <v/>
      </c>
      <c r="D1144" s="63">
        <f t="shared" si="253"/>
        <v>8.50821596244131</v>
      </c>
      <c r="E1144" t="str">
        <f t="shared" si="254"/>
        <v/>
      </c>
      <c r="F1144" t="str">
        <f t="shared" si="255"/>
        <v/>
      </c>
      <c r="G1144" t="str">
        <f t="shared" si="256"/>
        <v/>
      </c>
    </row>
    <row r="1145" spans="2:7">
      <c r="B1145" s="46"/>
      <c r="C1145" t="str">
        <f t="shared" si="252"/>
        <v/>
      </c>
      <c r="D1145" s="63">
        <f t="shared" si="253"/>
        <v>10.268779342723</v>
      </c>
      <c r="E1145" t="str">
        <f t="shared" si="254"/>
        <v/>
      </c>
      <c r="F1145" t="str">
        <f t="shared" si="255"/>
        <v/>
      </c>
      <c r="G1145" t="str">
        <f t="shared" si="256"/>
        <v/>
      </c>
    </row>
    <row r="1146" spans="2:7">
      <c r="B1146" s="46"/>
      <c r="C1146" t="str">
        <f t="shared" si="252"/>
        <v/>
      </c>
      <c r="D1146" s="63" t="str">
        <f t="shared" si="253"/>
        <v/>
      </c>
      <c r="E1146" t="str">
        <f t="shared" si="254"/>
        <v/>
      </c>
      <c r="F1146" t="str">
        <f t="shared" si="255"/>
        <v/>
      </c>
      <c r="G1146">
        <f t="shared" si="256"/>
        <v>7.67610062893082</v>
      </c>
    </row>
    <row r="1147" spans="2:7">
      <c r="B1147" s="46"/>
      <c r="C1147" t="str">
        <f t="shared" si="252"/>
        <v/>
      </c>
      <c r="D1147" s="63" t="str">
        <f t="shared" si="253"/>
        <v/>
      </c>
      <c r="E1147" t="str">
        <f t="shared" si="254"/>
        <v/>
      </c>
      <c r="F1147" t="str">
        <f t="shared" si="255"/>
        <v/>
      </c>
      <c r="G1147">
        <f t="shared" si="256"/>
        <v>10.3836477987421</v>
      </c>
    </row>
    <row r="1148" spans="2:7">
      <c r="B1148" s="46"/>
      <c r="C1148" t="str">
        <f t="shared" si="252"/>
        <v/>
      </c>
      <c r="D1148" s="63" t="str">
        <f t="shared" si="253"/>
        <v/>
      </c>
      <c r="E1148" t="str">
        <f t="shared" si="254"/>
        <v/>
      </c>
      <c r="F1148" t="str">
        <f t="shared" si="255"/>
        <v/>
      </c>
      <c r="G1148">
        <f t="shared" si="256"/>
        <v>13.2138364779874</v>
      </c>
    </row>
    <row r="1149" spans="2:7">
      <c r="B1149" s="46"/>
      <c r="C1149" t="str">
        <f t="shared" si="252"/>
        <v/>
      </c>
      <c r="D1149" s="63" t="str">
        <f t="shared" si="253"/>
        <v/>
      </c>
      <c r="E1149" t="str">
        <f t="shared" si="254"/>
        <v/>
      </c>
      <c r="F1149" t="str">
        <f t="shared" si="255"/>
        <v/>
      </c>
      <c r="G1149">
        <f t="shared" si="256"/>
        <v>14.7243186582809</v>
      </c>
    </row>
    <row r="1150" spans="2:7">
      <c r="B1150" s="46"/>
      <c r="C1150" t="str">
        <f t="shared" si="252"/>
        <v/>
      </c>
      <c r="D1150" s="63" t="str">
        <f t="shared" si="253"/>
        <v/>
      </c>
      <c r="E1150" t="str">
        <f t="shared" si="254"/>
        <v/>
      </c>
      <c r="F1150">
        <f t="shared" si="255"/>
        <v>9.17630385487529</v>
      </c>
      <c r="G1150" t="str">
        <f t="shared" si="256"/>
        <v/>
      </c>
    </row>
    <row r="1151" spans="2:7">
      <c r="B1151" s="46"/>
      <c r="C1151" t="str">
        <f t="shared" si="252"/>
        <v/>
      </c>
      <c r="D1151" s="63" t="str">
        <f t="shared" si="253"/>
        <v/>
      </c>
      <c r="E1151" t="str">
        <f t="shared" si="254"/>
        <v/>
      </c>
      <c r="F1151">
        <f t="shared" si="255"/>
        <v>12.328231292517</v>
      </c>
      <c r="G1151" t="str">
        <f t="shared" si="256"/>
        <v/>
      </c>
    </row>
    <row r="1152" spans="2:7">
      <c r="B1152" s="46"/>
      <c r="C1152" t="str">
        <f t="shared" si="252"/>
        <v/>
      </c>
      <c r="D1152" s="63" t="str">
        <f t="shared" si="253"/>
        <v/>
      </c>
      <c r="E1152" t="str">
        <f t="shared" si="254"/>
        <v/>
      </c>
      <c r="F1152">
        <f t="shared" si="255"/>
        <v>15.0017006802721</v>
      </c>
      <c r="G1152" t="str">
        <f t="shared" si="256"/>
        <v/>
      </c>
    </row>
    <row r="1153" spans="2:7">
      <c r="B1153" s="46"/>
      <c r="C1153">
        <f t="shared" si="252"/>
        <v>10.328125</v>
      </c>
      <c r="D1153" s="63" t="str">
        <f t="shared" si="253"/>
        <v/>
      </c>
      <c r="E1153" t="str">
        <f t="shared" si="254"/>
        <v/>
      </c>
      <c r="F1153" t="str">
        <f t="shared" si="255"/>
        <v/>
      </c>
      <c r="G1153" t="str">
        <f t="shared" si="256"/>
        <v/>
      </c>
    </row>
    <row r="1154" spans="2:7">
      <c r="B1154" s="46"/>
      <c r="C1154">
        <f t="shared" si="252"/>
        <v>14.5908564814815</v>
      </c>
      <c r="D1154" s="63" t="str">
        <f t="shared" si="253"/>
        <v/>
      </c>
      <c r="E1154" t="str">
        <f t="shared" si="254"/>
        <v/>
      </c>
      <c r="F1154" t="str">
        <f t="shared" si="255"/>
        <v/>
      </c>
      <c r="G1154" t="str">
        <f t="shared" si="256"/>
        <v/>
      </c>
    </row>
    <row r="1155" spans="2:7">
      <c r="B1155" s="46"/>
      <c r="C1155">
        <f t="shared" si="252"/>
        <v>14.9409722222222</v>
      </c>
      <c r="D1155" s="63" t="str">
        <f t="shared" si="253"/>
        <v/>
      </c>
      <c r="E1155" t="str">
        <f t="shared" si="254"/>
        <v/>
      </c>
      <c r="F1155" t="str">
        <f t="shared" si="255"/>
        <v/>
      </c>
      <c r="G1155" t="str">
        <f t="shared" si="256"/>
        <v/>
      </c>
    </row>
    <row r="1156" spans="2:7">
      <c r="B1156" s="46"/>
      <c r="C1156">
        <f t="shared" si="252"/>
        <v>19.2465277777778</v>
      </c>
      <c r="D1156" s="63" t="str">
        <f t="shared" si="253"/>
        <v/>
      </c>
      <c r="E1156" t="str">
        <f t="shared" si="254"/>
        <v/>
      </c>
      <c r="F1156" t="str">
        <f t="shared" si="255"/>
        <v/>
      </c>
      <c r="G1156" t="str">
        <f t="shared" si="256"/>
        <v/>
      </c>
    </row>
    <row r="1157" spans="2:7">
      <c r="B1157" s="46"/>
      <c r="C1157" t="str">
        <f t="shared" si="252"/>
        <v/>
      </c>
      <c r="D1157" s="63">
        <f t="shared" si="253"/>
        <v>15.0340375586854</v>
      </c>
      <c r="E1157" t="str">
        <f t="shared" si="254"/>
        <v/>
      </c>
      <c r="F1157" t="str">
        <f t="shared" si="255"/>
        <v/>
      </c>
      <c r="G1157" t="str">
        <f t="shared" si="256"/>
        <v/>
      </c>
    </row>
    <row r="1158" spans="2:7">
      <c r="B1158" s="46"/>
      <c r="C1158" t="str">
        <f t="shared" si="252"/>
        <v/>
      </c>
      <c r="D1158" s="63">
        <f t="shared" si="253"/>
        <v>15.0340375586854</v>
      </c>
      <c r="E1158" t="str">
        <f t="shared" si="254"/>
        <v/>
      </c>
      <c r="F1158" t="str">
        <f t="shared" si="255"/>
        <v/>
      </c>
      <c r="G1158" t="str">
        <f t="shared" si="256"/>
        <v/>
      </c>
    </row>
    <row r="1159" spans="2:7">
      <c r="B1159" s="46"/>
      <c r="C1159" t="str">
        <f t="shared" si="252"/>
        <v/>
      </c>
      <c r="D1159" s="63">
        <f t="shared" si="253"/>
        <v>16.1343896713615</v>
      </c>
      <c r="E1159" t="str">
        <f t="shared" si="254"/>
        <v/>
      </c>
      <c r="F1159" t="str">
        <f t="shared" si="255"/>
        <v/>
      </c>
      <c r="G1159" t="str">
        <f t="shared" si="256"/>
        <v/>
      </c>
    </row>
    <row r="1160" spans="2:7">
      <c r="B1160" s="46"/>
      <c r="C1160" t="str">
        <f t="shared" si="252"/>
        <v/>
      </c>
      <c r="D1160" s="63">
        <f t="shared" si="253"/>
        <v>16.8620892018779</v>
      </c>
      <c r="E1160" t="str">
        <f t="shared" si="254"/>
        <v/>
      </c>
      <c r="F1160" t="str">
        <f t="shared" si="255"/>
        <v/>
      </c>
      <c r="G1160" t="str">
        <f t="shared" si="256"/>
        <v/>
      </c>
    </row>
    <row r="1161" spans="2:7">
      <c r="B1161" s="46"/>
      <c r="C1161" t="str">
        <f t="shared" si="252"/>
        <v/>
      </c>
      <c r="D1161" s="63" t="str">
        <f t="shared" si="253"/>
        <v/>
      </c>
      <c r="E1161">
        <f t="shared" si="254"/>
        <v>16.1245098039216</v>
      </c>
      <c r="F1161" t="str">
        <f t="shared" si="255"/>
        <v/>
      </c>
      <c r="G1161" t="str">
        <f t="shared" si="256"/>
        <v/>
      </c>
    </row>
    <row r="1162" spans="2:7">
      <c r="B1162" s="46"/>
      <c r="C1162" t="str">
        <f t="shared" si="252"/>
        <v/>
      </c>
      <c r="D1162" s="63" t="str">
        <f t="shared" si="253"/>
        <v/>
      </c>
      <c r="E1162">
        <f t="shared" si="254"/>
        <v>17.9225490196078</v>
      </c>
      <c r="F1162" t="str">
        <f t="shared" si="255"/>
        <v/>
      </c>
      <c r="G1162" t="str">
        <f t="shared" si="256"/>
        <v/>
      </c>
    </row>
    <row r="1163" spans="2:7">
      <c r="B1163" s="46"/>
      <c r="C1163" t="str">
        <f t="shared" si="252"/>
        <v/>
      </c>
      <c r="D1163" s="63" t="str">
        <f t="shared" si="253"/>
        <v/>
      </c>
      <c r="E1163">
        <f t="shared" si="254"/>
        <v>18.7166666666667</v>
      </c>
      <c r="F1163" t="str">
        <f t="shared" si="255"/>
        <v/>
      </c>
      <c r="G1163" t="str">
        <f t="shared" si="256"/>
        <v/>
      </c>
    </row>
    <row r="1164" spans="2:7">
      <c r="B1164" s="46"/>
      <c r="C1164" t="str">
        <f t="shared" si="252"/>
        <v/>
      </c>
      <c r="D1164" s="63" t="str">
        <f t="shared" si="253"/>
        <v/>
      </c>
      <c r="E1164">
        <f t="shared" si="254"/>
        <v>18.9539215686275</v>
      </c>
      <c r="F1164" t="str">
        <f t="shared" si="255"/>
        <v/>
      </c>
      <c r="G1164" t="str">
        <f t="shared" si="256"/>
        <v/>
      </c>
    </row>
    <row r="1165" spans="2:7">
      <c r="B1165" s="46"/>
      <c r="C1165" t="str">
        <f t="shared" si="252"/>
        <v/>
      </c>
      <c r="D1165" s="63" t="str">
        <f t="shared" si="253"/>
        <v/>
      </c>
      <c r="E1165" t="str">
        <f t="shared" si="254"/>
        <v/>
      </c>
      <c r="F1165" t="str">
        <f t="shared" si="255"/>
        <v/>
      </c>
      <c r="G1165">
        <f t="shared" si="256"/>
        <v>15.4449685534591</v>
      </c>
    </row>
    <row r="1166" spans="2:7">
      <c r="B1166" s="46"/>
      <c r="C1166" t="str">
        <f t="shared" si="252"/>
        <v/>
      </c>
      <c r="D1166" s="63" t="str">
        <f t="shared" si="253"/>
        <v/>
      </c>
      <c r="E1166" t="str">
        <f t="shared" si="254"/>
        <v/>
      </c>
      <c r="F1166" t="str">
        <f t="shared" si="255"/>
        <v/>
      </c>
      <c r="G1166">
        <f t="shared" si="256"/>
        <v>16.4669811320755</v>
      </c>
    </row>
    <row r="1167" ht="15.75" spans="2:7">
      <c r="B1167" s="46"/>
      <c r="C1167" t="str">
        <f t="shared" si="252"/>
        <v/>
      </c>
      <c r="D1167" s="63" t="str">
        <f t="shared" si="253"/>
        <v/>
      </c>
      <c r="E1167" t="str">
        <f t="shared" si="254"/>
        <v/>
      </c>
      <c r="F1167" t="str">
        <f t="shared" si="255"/>
        <v/>
      </c>
      <c r="G1167">
        <f t="shared" si="256"/>
        <v>17.7877358490566</v>
      </c>
    </row>
    <row r="1168" spans="2:7">
      <c r="B1168" s="74" t="s">
        <v>269</v>
      </c>
      <c r="C1168" s="75">
        <f>MAX(C1129:C1167)</f>
        <v>19.2465277777778</v>
      </c>
      <c r="D1168" s="75">
        <f t="shared" ref="D1168:G1168" si="257">MAX(D1129:D1167)</f>
        <v>16.8620892018779</v>
      </c>
      <c r="E1168" s="75">
        <f t="shared" si="257"/>
        <v>18.9539215686275</v>
      </c>
      <c r="F1168" s="75">
        <f t="shared" si="257"/>
        <v>15.0017006802721</v>
      </c>
      <c r="G1168" s="75">
        <f t="shared" si="257"/>
        <v>17.7877358490566</v>
      </c>
    </row>
    <row r="1169" spans="2:7">
      <c r="B1169" s="76" t="s">
        <v>270</v>
      </c>
      <c r="C1169" s="77">
        <v>1</v>
      </c>
      <c r="D1169" s="78">
        <v>2</v>
      </c>
      <c r="E1169">
        <v>3</v>
      </c>
      <c r="F1169">
        <v>4</v>
      </c>
      <c r="G1169">
        <v>5</v>
      </c>
    </row>
    <row r="1170" spans="2:7">
      <c r="B1170" s="79" t="s">
        <v>271</v>
      </c>
      <c r="C1170" s="72">
        <f>HLOOKUP(MIN(C1168:G1168),C1168:G1169,2,FALSE)</f>
        <v>4</v>
      </c>
      <c r="D1170" s="80"/>
    </row>
    <row r="1173" ht="15.75" spans="2:7">
      <c r="B1173" s="43" t="s">
        <v>312</v>
      </c>
      <c r="C1173" s="44"/>
      <c r="D1173" s="45"/>
    </row>
    <row r="1174" spans="2:7">
      <c r="B1174" s="46"/>
      <c r="C1174" s="61" t="s">
        <v>264</v>
      </c>
      <c r="D1174" s="61" t="s">
        <v>265</v>
      </c>
      <c r="E1174" s="62" t="s">
        <v>286</v>
      </c>
      <c r="F1174" s="62" t="s">
        <v>287</v>
      </c>
      <c r="G1174" s="62" t="s">
        <v>288</v>
      </c>
    </row>
    <row r="1175" spans="2:7">
      <c r="B1175" s="46"/>
      <c r="C1175">
        <f t="shared" ref="C1175:C1214" si="258">IF(J8=1,S8,"")</f>
        <v>0.700231481481482</v>
      </c>
      <c r="D1175" s="63" t="str">
        <f t="shared" ref="D1175:D1214" si="259">IF(J8=2,S8,"")</f>
        <v/>
      </c>
      <c r="E1175" t="str">
        <f t="shared" ref="E1175:E1214" si="260">IF(J8=3,S8,"")</f>
        <v/>
      </c>
      <c r="F1175" t="str">
        <f t="shared" ref="F1175:F1214" si="261">IF(J8=4,S8,"")</f>
        <v/>
      </c>
      <c r="G1175" t="str">
        <f t="shared" ref="G1175:G1214" si="262">IF(J8=5,S8,"")</f>
        <v/>
      </c>
    </row>
    <row r="1176" spans="2:7">
      <c r="B1176" s="46"/>
      <c r="C1176" t="str">
        <f t="shared" si="258"/>
        <v/>
      </c>
      <c r="D1176" s="63">
        <f t="shared" si="259"/>
        <v>0.734154929577465</v>
      </c>
      <c r="E1176" t="str">
        <f t="shared" si="260"/>
        <v/>
      </c>
      <c r="F1176" t="str">
        <f t="shared" si="261"/>
        <v/>
      </c>
      <c r="G1176" t="str">
        <f t="shared" si="262"/>
        <v/>
      </c>
    </row>
    <row r="1177" spans="2:7">
      <c r="B1177" s="46"/>
      <c r="C1177" t="str">
        <f t="shared" si="258"/>
        <v/>
      </c>
      <c r="D1177" s="63" t="str">
        <f t="shared" si="259"/>
        <v/>
      </c>
      <c r="E1177">
        <f t="shared" si="260"/>
        <v>1.83823529411765</v>
      </c>
      <c r="F1177" t="str">
        <f t="shared" si="261"/>
        <v/>
      </c>
      <c r="G1177" t="str">
        <f t="shared" si="262"/>
        <v/>
      </c>
    </row>
    <row r="1178" spans="2:7">
      <c r="B1178" s="46"/>
      <c r="C1178" t="str">
        <f t="shared" si="258"/>
        <v/>
      </c>
      <c r="D1178" s="63" t="str">
        <f t="shared" si="259"/>
        <v/>
      </c>
      <c r="E1178" t="str">
        <f t="shared" si="260"/>
        <v/>
      </c>
      <c r="F1178">
        <f t="shared" si="261"/>
        <v>4.28571428571429</v>
      </c>
      <c r="G1178" t="str">
        <f t="shared" si="262"/>
        <v/>
      </c>
    </row>
    <row r="1179" spans="2:7">
      <c r="B1179" s="46"/>
      <c r="C1179" t="str">
        <f t="shared" si="258"/>
        <v/>
      </c>
      <c r="D1179" s="63" t="str">
        <f t="shared" si="259"/>
        <v/>
      </c>
      <c r="E1179" t="str">
        <f t="shared" si="260"/>
        <v/>
      </c>
      <c r="F1179" t="str">
        <f t="shared" si="261"/>
        <v/>
      </c>
      <c r="G1179">
        <f t="shared" si="262"/>
        <v>3.43396226415094</v>
      </c>
    </row>
    <row r="1180" spans="2:7">
      <c r="B1180" s="46"/>
      <c r="C1180" t="str">
        <f t="shared" si="258"/>
        <v/>
      </c>
      <c r="D1180" s="63" t="str">
        <f t="shared" si="259"/>
        <v/>
      </c>
      <c r="E1180">
        <f t="shared" si="260"/>
        <v>14.5833333333333</v>
      </c>
      <c r="F1180" t="str">
        <f t="shared" si="261"/>
        <v/>
      </c>
      <c r="G1180" t="str">
        <f t="shared" si="262"/>
        <v/>
      </c>
    </row>
    <row r="1181" spans="2:7">
      <c r="B1181" s="46"/>
      <c r="C1181" t="str">
        <f t="shared" si="258"/>
        <v/>
      </c>
      <c r="D1181" s="63" t="str">
        <f t="shared" si="259"/>
        <v/>
      </c>
      <c r="E1181" t="str">
        <f t="shared" si="260"/>
        <v/>
      </c>
      <c r="F1181">
        <f t="shared" si="261"/>
        <v>6.42857142857143</v>
      </c>
      <c r="G1181" t="str">
        <f t="shared" si="262"/>
        <v/>
      </c>
    </row>
    <row r="1182" spans="2:7">
      <c r="B1182" s="46"/>
      <c r="C1182" t="str">
        <f t="shared" si="258"/>
        <v/>
      </c>
      <c r="D1182" s="63" t="str">
        <f t="shared" si="259"/>
        <v/>
      </c>
      <c r="E1182" t="str">
        <f t="shared" si="260"/>
        <v/>
      </c>
      <c r="F1182" t="str">
        <f t="shared" si="261"/>
        <v/>
      </c>
      <c r="G1182">
        <f t="shared" si="262"/>
        <v>3.84591194968553</v>
      </c>
    </row>
    <row r="1183" spans="2:7">
      <c r="B1183" s="46"/>
      <c r="C1183">
        <f t="shared" si="258"/>
        <v>0.844907407407407</v>
      </c>
      <c r="D1183" s="63" t="str">
        <f t="shared" si="259"/>
        <v/>
      </c>
      <c r="E1183" t="str">
        <f t="shared" si="260"/>
        <v/>
      </c>
      <c r="F1183" t="str">
        <f t="shared" si="261"/>
        <v/>
      </c>
      <c r="G1183" t="str">
        <f t="shared" si="262"/>
        <v/>
      </c>
    </row>
    <row r="1184" spans="2:7">
      <c r="B1184" s="46"/>
      <c r="C1184">
        <f t="shared" si="258"/>
        <v>6.79803240740741</v>
      </c>
      <c r="D1184" s="63" t="str">
        <f t="shared" si="259"/>
        <v/>
      </c>
      <c r="E1184" t="str">
        <f t="shared" si="260"/>
        <v/>
      </c>
      <c r="F1184" t="str">
        <f t="shared" si="261"/>
        <v/>
      </c>
      <c r="G1184" t="str">
        <f t="shared" si="262"/>
        <v/>
      </c>
    </row>
    <row r="1185" spans="2:7">
      <c r="B1185" s="46"/>
      <c r="C1185">
        <f t="shared" si="258"/>
        <v>6.79803240740741</v>
      </c>
      <c r="D1185" s="63" t="str">
        <f t="shared" si="259"/>
        <v/>
      </c>
      <c r="E1185" t="str">
        <f t="shared" si="260"/>
        <v/>
      </c>
      <c r="F1185" t="str">
        <f t="shared" si="261"/>
        <v/>
      </c>
      <c r="G1185" t="str">
        <f t="shared" si="262"/>
        <v/>
      </c>
    </row>
    <row r="1186" spans="2:7">
      <c r="B1186" s="46"/>
      <c r="C1186">
        <f t="shared" si="258"/>
        <v>7.52719907407408</v>
      </c>
      <c r="D1186" s="63" t="str">
        <f t="shared" si="259"/>
        <v/>
      </c>
      <c r="E1186" t="str">
        <f t="shared" si="260"/>
        <v/>
      </c>
      <c r="F1186" t="str">
        <f t="shared" si="261"/>
        <v/>
      </c>
      <c r="G1186" t="str">
        <f t="shared" si="262"/>
        <v/>
      </c>
    </row>
    <row r="1187" spans="2:7">
      <c r="B1187" s="46"/>
      <c r="C1187" t="str">
        <f t="shared" si="258"/>
        <v/>
      </c>
      <c r="D1187" s="63">
        <f t="shared" si="259"/>
        <v>2.7881455399061</v>
      </c>
      <c r="E1187" t="str">
        <f t="shared" si="260"/>
        <v/>
      </c>
      <c r="F1187" t="str">
        <f t="shared" si="261"/>
        <v/>
      </c>
      <c r="G1187" t="str">
        <f t="shared" si="262"/>
        <v/>
      </c>
    </row>
    <row r="1188" spans="2:7">
      <c r="B1188" s="46"/>
      <c r="C1188" t="str">
        <f t="shared" si="258"/>
        <v/>
      </c>
      <c r="D1188" s="63">
        <f t="shared" si="259"/>
        <v>4.47535211267606</v>
      </c>
      <c r="E1188" t="str">
        <f t="shared" si="260"/>
        <v/>
      </c>
      <c r="F1188" t="str">
        <f t="shared" si="261"/>
        <v/>
      </c>
      <c r="G1188" t="str">
        <f t="shared" si="262"/>
        <v/>
      </c>
    </row>
    <row r="1189" spans="2:7">
      <c r="B1189" s="46"/>
      <c r="C1189" t="str">
        <f t="shared" si="258"/>
        <v/>
      </c>
      <c r="D1189" s="63">
        <f t="shared" si="259"/>
        <v>6.10680751173709</v>
      </c>
      <c r="E1189" t="str">
        <f t="shared" si="260"/>
        <v/>
      </c>
      <c r="F1189" t="str">
        <f t="shared" si="261"/>
        <v/>
      </c>
      <c r="G1189" t="str">
        <f t="shared" si="262"/>
        <v/>
      </c>
    </row>
    <row r="1190" spans="2:7">
      <c r="B1190" s="46"/>
      <c r="C1190" t="str">
        <f t="shared" si="258"/>
        <v/>
      </c>
      <c r="D1190" s="63">
        <f t="shared" si="259"/>
        <v>8.50821596244131</v>
      </c>
      <c r="E1190" t="str">
        <f t="shared" si="260"/>
        <v/>
      </c>
      <c r="F1190" t="str">
        <f t="shared" si="261"/>
        <v/>
      </c>
      <c r="G1190" t="str">
        <f t="shared" si="262"/>
        <v/>
      </c>
    </row>
    <row r="1191" spans="2:7">
      <c r="B1191" s="46"/>
      <c r="C1191" t="str">
        <f t="shared" si="258"/>
        <v/>
      </c>
      <c r="D1191" s="63">
        <f t="shared" si="259"/>
        <v>10.268779342723</v>
      </c>
      <c r="E1191" t="str">
        <f t="shared" si="260"/>
        <v/>
      </c>
      <c r="F1191" t="str">
        <f t="shared" si="261"/>
        <v/>
      </c>
      <c r="G1191" t="str">
        <f t="shared" si="262"/>
        <v/>
      </c>
    </row>
    <row r="1192" spans="2:7">
      <c r="B1192" s="46"/>
      <c r="C1192" t="str">
        <f t="shared" si="258"/>
        <v/>
      </c>
      <c r="D1192" s="63" t="str">
        <f t="shared" si="259"/>
        <v/>
      </c>
      <c r="E1192" t="str">
        <f t="shared" si="260"/>
        <v/>
      </c>
      <c r="F1192" t="str">
        <f t="shared" si="261"/>
        <v/>
      </c>
      <c r="G1192">
        <f t="shared" si="262"/>
        <v>7.67610062893082</v>
      </c>
    </row>
    <row r="1193" spans="2:7">
      <c r="B1193" s="46"/>
      <c r="C1193" t="str">
        <f t="shared" si="258"/>
        <v/>
      </c>
      <c r="D1193" s="63" t="str">
        <f t="shared" si="259"/>
        <v/>
      </c>
      <c r="E1193" t="str">
        <f t="shared" si="260"/>
        <v/>
      </c>
      <c r="F1193" t="str">
        <f t="shared" si="261"/>
        <v/>
      </c>
      <c r="G1193">
        <f t="shared" si="262"/>
        <v>10.3836477987421</v>
      </c>
    </row>
    <row r="1194" spans="2:7">
      <c r="B1194" s="46"/>
      <c r="C1194" t="str">
        <f t="shared" si="258"/>
        <v/>
      </c>
      <c r="D1194" s="63" t="str">
        <f t="shared" si="259"/>
        <v/>
      </c>
      <c r="E1194" t="str">
        <f t="shared" si="260"/>
        <v/>
      </c>
      <c r="F1194" t="str">
        <f t="shared" si="261"/>
        <v/>
      </c>
      <c r="G1194">
        <f t="shared" si="262"/>
        <v>13.2138364779874</v>
      </c>
    </row>
    <row r="1195" spans="2:7">
      <c r="B1195" s="46"/>
      <c r="C1195" t="str">
        <f t="shared" si="258"/>
        <v/>
      </c>
      <c r="D1195" s="63" t="str">
        <f t="shared" si="259"/>
        <v/>
      </c>
      <c r="E1195" t="str">
        <f t="shared" si="260"/>
        <v/>
      </c>
      <c r="F1195" t="str">
        <f t="shared" si="261"/>
        <v/>
      </c>
      <c r="G1195">
        <f t="shared" si="262"/>
        <v>14.7243186582809</v>
      </c>
    </row>
    <row r="1196" spans="2:7">
      <c r="B1196" s="46"/>
      <c r="C1196" t="str">
        <f t="shared" si="258"/>
        <v/>
      </c>
      <c r="D1196" s="63" t="str">
        <f t="shared" si="259"/>
        <v/>
      </c>
      <c r="E1196" t="str">
        <f t="shared" si="260"/>
        <v/>
      </c>
      <c r="F1196">
        <f t="shared" si="261"/>
        <v>9.17630385487529</v>
      </c>
      <c r="G1196" t="str">
        <f t="shared" si="262"/>
        <v/>
      </c>
    </row>
    <row r="1197" spans="2:7">
      <c r="B1197" s="46"/>
      <c r="C1197" t="str">
        <f t="shared" si="258"/>
        <v/>
      </c>
      <c r="D1197" s="63" t="str">
        <f t="shared" si="259"/>
        <v/>
      </c>
      <c r="E1197" t="str">
        <f t="shared" si="260"/>
        <v/>
      </c>
      <c r="F1197">
        <f t="shared" si="261"/>
        <v>12.328231292517</v>
      </c>
      <c r="G1197" t="str">
        <f t="shared" si="262"/>
        <v/>
      </c>
    </row>
    <row r="1198" spans="2:7">
      <c r="B1198" s="46"/>
      <c r="C1198" t="str">
        <f t="shared" si="258"/>
        <v/>
      </c>
      <c r="D1198" s="63" t="str">
        <f t="shared" si="259"/>
        <v/>
      </c>
      <c r="E1198" t="str">
        <f t="shared" si="260"/>
        <v/>
      </c>
      <c r="F1198">
        <f t="shared" si="261"/>
        <v>15.0017006802721</v>
      </c>
      <c r="G1198" t="str">
        <f t="shared" si="262"/>
        <v/>
      </c>
    </row>
    <row r="1199" spans="2:7">
      <c r="B1199" s="46"/>
      <c r="C1199">
        <f t="shared" si="258"/>
        <v>10.328125</v>
      </c>
      <c r="D1199" s="63" t="str">
        <f t="shared" si="259"/>
        <v/>
      </c>
      <c r="E1199" t="str">
        <f t="shared" si="260"/>
        <v/>
      </c>
      <c r="F1199" t="str">
        <f t="shared" si="261"/>
        <v/>
      </c>
      <c r="G1199" t="str">
        <f t="shared" si="262"/>
        <v/>
      </c>
    </row>
    <row r="1200" spans="2:7">
      <c r="B1200" s="46"/>
      <c r="C1200">
        <f t="shared" si="258"/>
        <v>14.5908564814815</v>
      </c>
      <c r="D1200" s="63" t="str">
        <f t="shared" si="259"/>
        <v/>
      </c>
      <c r="E1200" t="str">
        <f t="shared" si="260"/>
        <v/>
      </c>
      <c r="F1200" t="str">
        <f t="shared" si="261"/>
        <v/>
      </c>
      <c r="G1200" t="str">
        <f t="shared" si="262"/>
        <v/>
      </c>
    </row>
    <row r="1201" spans="2:7">
      <c r="B1201" s="46"/>
      <c r="C1201">
        <f t="shared" si="258"/>
        <v>14.9409722222222</v>
      </c>
      <c r="D1201" s="63" t="str">
        <f t="shared" si="259"/>
        <v/>
      </c>
      <c r="E1201" t="str">
        <f t="shared" si="260"/>
        <v/>
      </c>
      <c r="F1201" t="str">
        <f t="shared" si="261"/>
        <v/>
      </c>
      <c r="G1201" t="str">
        <f t="shared" si="262"/>
        <v/>
      </c>
    </row>
    <row r="1202" spans="2:7">
      <c r="B1202" s="46"/>
      <c r="C1202">
        <f t="shared" si="258"/>
        <v>19.2465277777778</v>
      </c>
      <c r="D1202" s="63" t="str">
        <f t="shared" si="259"/>
        <v/>
      </c>
      <c r="E1202" t="str">
        <f t="shared" si="260"/>
        <v/>
      </c>
      <c r="F1202" t="str">
        <f t="shared" si="261"/>
        <v/>
      </c>
      <c r="G1202" t="str">
        <f t="shared" si="262"/>
        <v/>
      </c>
    </row>
    <row r="1203" spans="2:7">
      <c r="B1203" s="46"/>
      <c r="C1203" t="str">
        <f t="shared" si="258"/>
        <v/>
      </c>
      <c r="D1203" s="63">
        <f t="shared" si="259"/>
        <v>15.0340375586854</v>
      </c>
      <c r="E1203" t="str">
        <f t="shared" si="260"/>
        <v/>
      </c>
      <c r="F1203" t="str">
        <f t="shared" si="261"/>
        <v/>
      </c>
      <c r="G1203" t="str">
        <f t="shared" si="262"/>
        <v/>
      </c>
    </row>
    <row r="1204" spans="2:7">
      <c r="B1204" s="46"/>
      <c r="C1204" t="str">
        <f t="shared" si="258"/>
        <v/>
      </c>
      <c r="D1204" s="63">
        <f t="shared" si="259"/>
        <v>15.0340375586854</v>
      </c>
      <c r="E1204" t="str">
        <f t="shared" si="260"/>
        <v/>
      </c>
      <c r="F1204" t="str">
        <f t="shared" si="261"/>
        <v/>
      </c>
      <c r="G1204" t="str">
        <f t="shared" si="262"/>
        <v/>
      </c>
    </row>
    <row r="1205" spans="2:7">
      <c r="B1205" s="46"/>
      <c r="C1205" t="str">
        <f t="shared" si="258"/>
        <v/>
      </c>
      <c r="D1205" s="63">
        <f t="shared" si="259"/>
        <v>16.1343896713615</v>
      </c>
      <c r="E1205" t="str">
        <f t="shared" si="260"/>
        <v/>
      </c>
      <c r="F1205" t="str">
        <f t="shared" si="261"/>
        <v/>
      </c>
      <c r="G1205" t="str">
        <f t="shared" si="262"/>
        <v/>
      </c>
    </row>
    <row r="1206" spans="2:7">
      <c r="B1206" s="46"/>
      <c r="C1206" t="str">
        <f t="shared" si="258"/>
        <v/>
      </c>
      <c r="D1206" s="63">
        <f t="shared" si="259"/>
        <v>16.8620892018779</v>
      </c>
      <c r="E1206" t="str">
        <f t="shared" si="260"/>
        <v/>
      </c>
      <c r="F1206" t="str">
        <f t="shared" si="261"/>
        <v/>
      </c>
      <c r="G1206" t="str">
        <f t="shared" si="262"/>
        <v/>
      </c>
    </row>
    <row r="1207" spans="2:7">
      <c r="B1207" s="46"/>
      <c r="C1207" t="str">
        <f t="shared" si="258"/>
        <v/>
      </c>
      <c r="D1207" s="63" t="str">
        <f t="shared" si="259"/>
        <v/>
      </c>
      <c r="E1207">
        <f t="shared" si="260"/>
        <v>16.1245098039216</v>
      </c>
      <c r="F1207" t="str">
        <f t="shared" si="261"/>
        <v/>
      </c>
      <c r="G1207" t="str">
        <f t="shared" si="262"/>
        <v/>
      </c>
    </row>
    <row r="1208" spans="2:7">
      <c r="B1208" s="46"/>
      <c r="C1208" t="str">
        <f t="shared" si="258"/>
        <v/>
      </c>
      <c r="D1208" s="63" t="str">
        <f t="shared" si="259"/>
        <v/>
      </c>
      <c r="E1208">
        <f t="shared" si="260"/>
        <v>17.9225490196078</v>
      </c>
      <c r="F1208" t="str">
        <f t="shared" si="261"/>
        <v/>
      </c>
      <c r="G1208" t="str">
        <f t="shared" si="262"/>
        <v/>
      </c>
    </row>
    <row r="1209" spans="2:7">
      <c r="B1209" s="46"/>
      <c r="C1209" t="str">
        <f t="shared" si="258"/>
        <v/>
      </c>
      <c r="D1209" s="63" t="str">
        <f t="shared" si="259"/>
        <v/>
      </c>
      <c r="E1209">
        <f t="shared" si="260"/>
        <v>18.7166666666667</v>
      </c>
      <c r="F1209" t="str">
        <f t="shared" si="261"/>
        <v/>
      </c>
      <c r="G1209" t="str">
        <f t="shared" si="262"/>
        <v/>
      </c>
    </row>
    <row r="1210" spans="2:7">
      <c r="B1210" s="46"/>
      <c r="C1210" t="str">
        <f t="shared" si="258"/>
        <v/>
      </c>
      <c r="D1210" s="63" t="str">
        <f t="shared" si="259"/>
        <v/>
      </c>
      <c r="E1210">
        <f t="shared" si="260"/>
        <v>18.9539215686275</v>
      </c>
      <c r="F1210" t="str">
        <f t="shared" si="261"/>
        <v/>
      </c>
      <c r="G1210" t="str">
        <f t="shared" si="262"/>
        <v/>
      </c>
    </row>
    <row r="1211" spans="2:7">
      <c r="B1211" s="46"/>
      <c r="C1211" t="str">
        <f t="shared" si="258"/>
        <v/>
      </c>
      <c r="D1211" s="63" t="str">
        <f t="shared" si="259"/>
        <v/>
      </c>
      <c r="E1211" t="str">
        <f t="shared" si="260"/>
        <v/>
      </c>
      <c r="F1211" t="str">
        <f t="shared" si="261"/>
        <v/>
      </c>
      <c r="G1211">
        <f t="shared" si="262"/>
        <v>15.4449685534591</v>
      </c>
    </row>
    <row r="1212" spans="2:7">
      <c r="B1212" s="46"/>
      <c r="C1212" t="str">
        <f t="shared" si="258"/>
        <v/>
      </c>
      <c r="D1212" s="63" t="str">
        <f t="shared" si="259"/>
        <v/>
      </c>
      <c r="E1212" t="str">
        <f t="shared" si="260"/>
        <v/>
      </c>
      <c r="F1212" t="str">
        <f t="shared" si="261"/>
        <v/>
      </c>
      <c r="G1212">
        <f t="shared" si="262"/>
        <v>16.4669811320755</v>
      </c>
    </row>
    <row r="1213" spans="2:7">
      <c r="B1213" s="46"/>
      <c r="C1213" t="str">
        <f t="shared" si="258"/>
        <v/>
      </c>
      <c r="D1213" s="63" t="str">
        <f t="shared" si="259"/>
        <v/>
      </c>
      <c r="E1213" t="str">
        <f t="shared" si="260"/>
        <v/>
      </c>
      <c r="F1213" t="str">
        <f t="shared" si="261"/>
        <v/>
      </c>
      <c r="G1213">
        <f t="shared" si="262"/>
        <v>17.7877358490566</v>
      </c>
    </row>
    <row r="1214" ht="15.75" spans="2:7">
      <c r="B1214" s="46"/>
      <c r="C1214" t="str">
        <f t="shared" si="258"/>
        <v/>
      </c>
      <c r="D1214" s="63" t="str">
        <f t="shared" si="259"/>
        <v/>
      </c>
      <c r="E1214" t="str">
        <f t="shared" si="260"/>
        <v/>
      </c>
      <c r="F1214" t="str">
        <f t="shared" si="261"/>
        <v/>
      </c>
      <c r="G1214">
        <f t="shared" si="262"/>
        <v>18.377358490566</v>
      </c>
    </row>
    <row r="1215" spans="2:7">
      <c r="B1215" s="74" t="s">
        <v>269</v>
      </c>
      <c r="C1215" s="75">
        <f>MAX(C1175:C1214)</f>
        <v>19.2465277777778</v>
      </c>
      <c r="D1215" s="75">
        <f t="shared" ref="D1215:G1215" si="263">MAX(D1175:D1214)</f>
        <v>16.8620892018779</v>
      </c>
      <c r="E1215" s="75">
        <f t="shared" si="263"/>
        <v>18.9539215686275</v>
      </c>
      <c r="F1215" s="75">
        <f t="shared" si="263"/>
        <v>15.0017006802721</v>
      </c>
      <c r="G1215" s="75">
        <f t="shared" si="263"/>
        <v>18.377358490566</v>
      </c>
    </row>
    <row r="1216" spans="2:7">
      <c r="B1216" s="76" t="s">
        <v>270</v>
      </c>
      <c r="C1216" s="77">
        <v>1</v>
      </c>
      <c r="D1216" s="78">
        <v>2</v>
      </c>
      <c r="E1216" s="78">
        <v>2</v>
      </c>
      <c r="F1216">
        <v>4</v>
      </c>
      <c r="G1216">
        <v>5</v>
      </c>
    </row>
    <row r="1217" spans="2:7">
      <c r="B1217" s="79" t="s">
        <v>271</v>
      </c>
      <c r="C1217" s="72">
        <f>HLOOKUP(MIN(C1215:G1215),C1215:G1216,2,FALSE)</f>
        <v>4</v>
      </c>
      <c r="D1217" s="80"/>
    </row>
    <row r="1220" ht="15.75" spans="2:7">
      <c r="B1220" s="43" t="s">
        <v>313</v>
      </c>
      <c r="C1220" s="44"/>
      <c r="D1220" s="45"/>
    </row>
    <row r="1221" spans="2:7">
      <c r="B1221" s="46"/>
      <c r="C1221" s="61" t="s">
        <v>264</v>
      </c>
      <c r="D1221" s="61" t="s">
        <v>265</v>
      </c>
      <c r="E1221" s="62" t="s">
        <v>286</v>
      </c>
      <c r="F1221" s="62" t="s">
        <v>287</v>
      </c>
      <c r="G1221" s="62" t="s">
        <v>288</v>
      </c>
    </row>
    <row r="1222" spans="2:7">
      <c r="B1222" s="46"/>
      <c r="C1222">
        <f t="shared" ref="C1222:C1262" si="264">IF(J8=1,S8,"")</f>
        <v>0.700231481481482</v>
      </c>
      <c r="D1222" s="63" t="str">
        <f t="shared" ref="D1222:D1262" si="265">IF(J8=2,S8,"")</f>
        <v/>
      </c>
      <c r="E1222" t="str">
        <f t="shared" ref="E1222:E1262" si="266">IF(J8=3,S8,"")</f>
        <v/>
      </c>
      <c r="F1222" t="str">
        <f t="shared" ref="F1222:F1262" si="267">IF(J8=4,S8,"")</f>
        <v/>
      </c>
      <c r="G1222" t="str">
        <f t="shared" ref="G1222:G1262" si="268">IF(J8=5,S8,"")</f>
        <v/>
      </c>
    </row>
    <row r="1223" spans="2:7">
      <c r="B1223" s="46"/>
      <c r="C1223" t="str">
        <f t="shared" si="264"/>
        <v/>
      </c>
      <c r="D1223" s="63">
        <f t="shared" si="265"/>
        <v>0.734154929577465</v>
      </c>
      <c r="E1223" t="str">
        <f t="shared" si="266"/>
        <v/>
      </c>
      <c r="F1223" t="str">
        <f t="shared" si="267"/>
        <v/>
      </c>
      <c r="G1223" t="str">
        <f t="shared" si="268"/>
        <v/>
      </c>
    </row>
    <row r="1224" spans="2:7">
      <c r="B1224" s="46"/>
      <c r="C1224" t="str">
        <f t="shared" si="264"/>
        <v/>
      </c>
      <c r="D1224" s="63" t="str">
        <f t="shared" si="265"/>
        <v/>
      </c>
      <c r="E1224">
        <f t="shared" si="266"/>
        <v>1.83823529411765</v>
      </c>
      <c r="F1224" t="str">
        <f t="shared" si="267"/>
        <v/>
      </c>
      <c r="G1224" t="str">
        <f t="shared" si="268"/>
        <v/>
      </c>
    </row>
    <row r="1225" spans="2:7">
      <c r="B1225" s="46"/>
      <c r="C1225" t="str">
        <f t="shared" si="264"/>
        <v/>
      </c>
      <c r="D1225" s="63" t="str">
        <f t="shared" si="265"/>
        <v/>
      </c>
      <c r="E1225" t="str">
        <f t="shared" si="266"/>
        <v/>
      </c>
      <c r="F1225">
        <f t="shared" si="267"/>
        <v>4.28571428571429</v>
      </c>
      <c r="G1225" t="str">
        <f t="shared" si="268"/>
        <v/>
      </c>
    </row>
    <row r="1226" spans="2:7">
      <c r="B1226" s="46"/>
      <c r="C1226" t="str">
        <f t="shared" si="264"/>
        <v/>
      </c>
      <c r="D1226" s="63" t="str">
        <f t="shared" si="265"/>
        <v/>
      </c>
      <c r="E1226" t="str">
        <f t="shared" si="266"/>
        <v/>
      </c>
      <c r="F1226" t="str">
        <f t="shared" si="267"/>
        <v/>
      </c>
      <c r="G1226">
        <f t="shared" si="268"/>
        <v>3.43396226415094</v>
      </c>
    </row>
    <row r="1227" spans="2:7">
      <c r="B1227" s="46"/>
      <c r="C1227" t="str">
        <f t="shared" si="264"/>
        <v/>
      </c>
      <c r="D1227" s="63" t="str">
        <f t="shared" si="265"/>
        <v/>
      </c>
      <c r="E1227">
        <f t="shared" si="266"/>
        <v>14.5833333333333</v>
      </c>
      <c r="F1227" t="str">
        <f t="shared" si="267"/>
        <v/>
      </c>
      <c r="G1227" t="str">
        <f t="shared" si="268"/>
        <v/>
      </c>
    </row>
    <row r="1228" spans="2:7">
      <c r="B1228" s="46"/>
      <c r="C1228" t="str">
        <f t="shared" si="264"/>
        <v/>
      </c>
      <c r="D1228" s="63" t="str">
        <f t="shared" si="265"/>
        <v/>
      </c>
      <c r="E1228" t="str">
        <f t="shared" si="266"/>
        <v/>
      </c>
      <c r="F1228">
        <f t="shared" si="267"/>
        <v>6.42857142857143</v>
      </c>
      <c r="G1228" t="str">
        <f t="shared" si="268"/>
        <v/>
      </c>
    </row>
    <row r="1229" spans="2:7">
      <c r="B1229" s="46"/>
      <c r="C1229" t="str">
        <f t="shared" si="264"/>
        <v/>
      </c>
      <c r="D1229" s="63" t="str">
        <f t="shared" si="265"/>
        <v/>
      </c>
      <c r="E1229" t="str">
        <f t="shared" si="266"/>
        <v/>
      </c>
      <c r="F1229" t="str">
        <f t="shared" si="267"/>
        <v/>
      </c>
      <c r="G1229">
        <f t="shared" si="268"/>
        <v>3.84591194968553</v>
      </c>
    </row>
    <row r="1230" spans="2:7">
      <c r="B1230" s="46"/>
      <c r="C1230">
        <f t="shared" si="264"/>
        <v>0.844907407407407</v>
      </c>
      <c r="D1230" s="63" t="str">
        <f t="shared" si="265"/>
        <v/>
      </c>
      <c r="E1230" t="str">
        <f t="shared" si="266"/>
        <v/>
      </c>
      <c r="F1230" t="str">
        <f t="shared" si="267"/>
        <v/>
      </c>
      <c r="G1230" t="str">
        <f t="shared" si="268"/>
        <v/>
      </c>
    </row>
    <row r="1231" spans="2:7">
      <c r="B1231" s="46"/>
      <c r="C1231">
        <f t="shared" si="264"/>
        <v>6.79803240740741</v>
      </c>
      <c r="D1231" s="63" t="str">
        <f t="shared" si="265"/>
        <v/>
      </c>
      <c r="E1231" t="str">
        <f t="shared" si="266"/>
        <v/>
      </c>
      <c r="F1231" t="str">
        <f t="shared" si="267"/>
        <v/>
      </c>
      <c r="G1231" t="str">
        <f t="shared" si="268"/>
        <v/>
      </c>
    </row>
    <row r="1232" spans="2:7">
      <c r="B1232" s="46"/>
      <c r="C1232">
        <f t="shared" si="264"/>
        <v>6.79803240740741</v>
      </c>
      <c r="D1232" s="63" t="str">
        <f t="shared" si="265"/>
        <v/>
      </c>
      <c r="E1232" t="str">
        <f t="shared" si="266"/>
        <v/>
      </c>
      <c r="F1232" t="str">
        <f t="shared" si="267"/>
        <v/>
      </c>
      <c r="G1232" t="str">
        <f t="shared" si="268"/>
        <v/>
      </c>
    </row>
    <row r="1233" spans="2:7">
      <c r="B1233" s="46"/>
      <c r="C1233">
        <f t="shared" si="264"/>
        <v>7.52719907407408</v>
      </c>
      <c r="D1233" s="63" t="str">
        <f t="shared" si="265"/>
        <v/>
      </c>
      <c r="E1233" t="str">
        <f t="shared" si="266"/>
        <v/>
      </c>
      <c r="F1233" t="str">
        <f t="shared" si="267"/>
        <v/>
      </c>
      <c r="G1233" t="str">
        <f t="shared" si="268"/>
        <v/>
      </c>
    </row>
    <row r="1234" spans="2:7">
      <c r="B1234" s="46"/>
      <c r="C1234" t="str">
        <f t="shared" si="264"/>
        <v/>
      </c>
      <c r="D1234" s="63">
        <f t="shared" si="265"/>
        <v>2.7881455399061</v>
      </c>
      <c r="E1234" t="str">
        <f t="shared" si="266"/>
        <v/>
      </c>
      <c r="F1234" t="str">
        <f t="shared" si="267"/>
        <v/>
      </c>
      <c r="G1234" t="str">
        <f t="shared" si="268"/>
        <v/>
      </c>
    </row>
    <row r="1235" spans="2:7">
      <c r="B1235" s="46"/>
      <c r="C1235" t="str">
        <f t="shared" si="264"/>
        <v/>
      </c>
      <c r="D1235" s="63">
        <f t="shared" si="265"/>
        <v>4.47535211267606</v>
      </c>
      <c r="E1235" t="str">
        <f t="shared" si="266"/>
        <v/>
      </c>
      <c r="F1235" t="str">
        <f t="shared" si="267"/>
        <v/>
      </c>
      <c r="G1235" t="str">
        <f t="shared" si="268"/>
        <v/>
      </c>
    </row>
    <row r="1236" spans="2:7">
      <c r="B1236" s="46"/>
      <c r="C1236" t="str">
        <f t="shared" si="264"/>
        <v/>
      </c>
      <c r="D1236" s="63">
        <f t="shared" si="265"/>
        <v>6.10680751173709</v>
      </c>
      <c r="E1236" t="str">
        <f t="shared" si="266"/>
        <v/>
      </c>
      <c r="F1236" t="str">
        <f t="shared" si="267"/>
        <v/>
      </c>
      <c r="G1236" t="str">
        <f t="shared" si="268"/>
        <v/>
      </c>
    </row>
    <row r="1237" spans="2:7">
      <c r="B1237" s="46"/>
      <c r="C1237" t="str">
        <f t="shared" si="264"/>
        <v/>
      </c>
      <c r="D1237" s="63">
        <f t="shared" si="265"/>
        <v>8.50821596244131</v>
      </c>
      <c r="E1237" t="str">
        <f t="shared" si="266"/>
        <v/>
      </c>
      <c r="F1237" t="str">
        <f t="shared" si="267"/>
        <v/>
      </c>
      <c r="G1237" t="str">
        <f t="shared" si="268"/>
        <v/>
      </c>
    </row>
    <row r="1238" spans="2:7">
      <c r="B1238" s="46"/>
      <c r="C1238" t="str">
        <f t="shared" si="264"/>
        <v/>
      </c>
      <c r="D1238" s="63">
        <f t="shared" si="265"/>
        <v>10.268779342723</v>
      </c>
      <c r="E1238" t="str">
        <f t="shared" si="266"/>
        <v/>
      </c>
      <c r="F1238" t="str">
        <f t="shared" si="267"/>
        <v/>
      </c>
      <c r="G1238" t="str">
        <f t="shared" si="268"/>
        <v/>
      </c>
    </row>
    <row r="1239" spans="2:7">
      <c r="B1239" s="46"/>
      <c r="C1239" t="str">
        <f t="shared" si="264"/>
        <v/>
      </c>
      <c r="D1239" s="63" t="str">
        <f t="shared" si="265"/>
        <v/>
      </c>
      <c r="E1239" t="str">
        <f t="shared" si="266"/>
        <v/>
      </c>
      <c r="F1239" t="str">
        <f t="shared" si="267"/>
        <v/>
      </c>
      <c r="G1239">
        <f t="shared" si="268"/>
        <v>7.67610062893082</v>
      </c>
    </row>
    <row r="1240" spans="2:7">
      <c r="B1240" s="46"/>
      <c r="C1240" t="str">
        <f t="shared" si="264"/>
        <v/>
      </c>
      <c r="D1240" s="63" t="str">
        <f t="shared" si="265"/>
        <v/>
      </c>
      <c r="E1240" t="str">
        <f t="shared" si="266"/>
        <v/>
      </c>
      <c r="F1240" t="str">
        <f t="shared" si="267"/>
        <v/>
      </c>
      <c r="G1240">
        <f t="shared" si="268"/>
        <v>10.3836477987421</v>
      </c>
    </row>
    <row r="1241" spans="2:7">
      <c r="B1241" s="46"/>
      <c r="C1241" t="str">
        <f t="shared" si="264"/>
        <v/>
      </c>
      <c r="D1241" s="63" t="str">
        <f t="shared" si="265"/>
        <v/>
      </c>
      <c r="E1241" t="str">
        <f t="shared" si="266"/>
        <v/>
      </c>
      <c r="F1241" t="str">
        <f t="shared" si="267"/>
        <v/>
      </c>
      <c r="G1241">
        <f t="shared" si="268"/>
        <v>13.2138364779874</v>
      </c>
    </row>
    <row r="1242" spans="2:7">
      <c r="B1242" s="46"/>
      <c r="C1242" t="str">
        <f t="shared" si="264"/>
        <v/>
      </c>
      <c r="D1242" s="63" t="str">
        <f t="shared" si="265"/>
        <v/>
      </c>
      <c r="E1242" t="str">
        <f t="shared" si="266"/>
        <v/>
      </c>
      <c r="F1242" t="str">
        <f t="shared" si="267"/>
        <v/>
      </c>
      <c r="G1242">
        <f t="shared" si="268"/>
        <v>14.7243186582809</v>
      </c>
    </row>
    <row r="1243" spans="2:7">
      <c r="B1243" s="46"/>
      <c r="C1243" t="str">
        <f t="shared" si="264"/>
        <v/>
      </c>
      <c r="D1243" s="63" t="str">
        <f t="shared" si="265"/>
        <v/>
      </c>
      <c r="E1243" t="str">
        <f t="shared" si="266"/>
        <v/>
      </c>
      <c r="F1243">
        <f t="shared" si="267"/>
        <v>9.17630385487529</v>
      </c>
      <c r="G1243" t="str">
        <f t="shared" si="268"/>
        <v/>
      </c>
    </row>
    <row r="1244" spans="2:7">
      <c r="B1244" s="46"/>
      <c r="C1244" t="str">
        <f t="shared" si="264"/>
        <v/>
      </c>
      <c r="D1244" s="63" t="str">
        <f t="shared" si="265"/>
        <v/>
      </c>
      <c r="E1244" t="str">
        <f t="shared" si="266"/>
        <v/>
      </c>
      <c r="F1244">
        <f t="shared" si="267"/>
        <v>12.328231292517</v>
      </c>
      <c r="G1244" t="str">
        <f t="shared" si="268"/>
        <v/>
      </c>
    </row>
    <row r="1245" spans="2:7">
      <c r="B1245" s="46"/>
      <c r="C1245" t="str">
        <f t="shared" si="264"/>
        <v/>
      </c>
      <c r="D1245" s="63" t="str">
        <f t="shared" si="265"/>
        <v/>
      </c>
      <c r="E1245" t="str">
        <f t="shared" si="266"/>
        <v/>
      </c>
      <c r="F1245">
        <f t="shared" si="267"/>
        <v>15.0017006802721</v>
      </c>
      <c r="G1245" t="str">
        <f t="shared" si="268"/>
        <v/>
      </c>
    </row>
    <row r="1246" spans="2:7">
      <c r="B1246" s="46"/>
      <c r="C1246">
        <f t="shared" si="264"/>
        <v>10.328125</v>
      </c>
      <c r="D1246" s="63" t="str">
        <f t="shared" si="265"/>
        <v/>
      </c>
      <c r="E1246" t="str">
        <f t="shared" si="266"/>
        <v/>
      </c>
      <c r="F1246" t="str">
        <f t="shared" si="267"/>
        <v/>
      </c>
      <c r="G1246" t="str">
        <f t="shared" si="268"/>
        <v/>
      </c>
    </row>
    <row r="1247" spans="2:7">
      <c r="B1247" s="46"/>
      <c r="C1247">
        <f t="shared" si="264"/>
        <v>14.5908564814815</v>
      </c>
      <c r="D1247" s="63" t="str">
        <f t="shared" si="265"/>
        <v/>
      </c>
      <c r="E1247" t="str">
        <f t="shared" si="266"/>
        <v/>
      </c>
      <c r="F1247" t="str">
        <f t="shared" si="267"/>
        <v/>
      </c>
      <c r="G1247" t="str">
        <f t="shared" si="268"/>
        <v/>
      </c>
    </row>
    <row r="1248" spans="2:7">
      <c r="B1248" s="46"/>
      <c r="C1248">
        <f t="shared" si="264"/>
        <v>14.9409722222222</v>
      </c>
      <c r="D1248" s="63" t="str">
        <f t="shared" si="265"/>
        <v/>
      </c>
      <c r="E1248" t="str">
        <f t="shared" si="266"/>
        <v/>
      </c>
      <c r="F1248" t="str">
        <f t="shared" si="267"/>
        <v/>
      </c>
      <c r="G1248" t="str">
        <f t="shared" si="268"/>
        <v/>
      </c>
    </row>
    <row r="1249" spans="2:7">
      <c r="B1249" s="46"/>
      <c r="C1249">
        <f t="shared" si="264"/>
        <v>19.2465277777778</v>
      </c>
      <c r="D1249" s="63" t="str">
        <f t="shared" si="265"/>
        <v/>
      </c>
      <c r="E1249" t="str">
        <f t="shared" si="266"/>
        <v/>
      </c>
      <c r="F1249" t="str">
        <f t="shared" si="267"/>
        <v/>
      </c>
      <c r="G1249" t="str">
        <f t="shared" si="268"/>
        <v/>
      </c>
    </row>
    <row r="1250" spans="2:7">
      <c r="B1250" s="46"/>
      <c r="C1250" t="str">
        <f t="shared" si="264"/>
        <v/>
      </c>
      <c r="D1250" s="63">
        <f t="shared" si="265"/>
        <v>15.0340375586854</v>
      </c>
      <c r="E1250" t="str">
        <f t="shared" si="266"/>
        <v/>
      </c>
      <c r="F1250" t="str">
        <f t="shared" si="267"/>
        <v/>
      </c>
      <c r="G1250" t="str">
        <f t="shared" si="268"/>
        <v/>
      </c>
    </row>
    <row r="1251" spans="2:7">
      <c r="B1251" s="46"/>
      <c r="C1251" t="str">
        <f t="shared" si="264"/>
        <v/>
      </c>
      <c r="D1251" s="63">
        <f t="shared" si="265"/>
        <v>15.0340375586854</v>
      </c>
      <c r="E1251" t="str">
        <f t="shared" si="266"/>
        <v/>
      </c>
      <c r="F1251" t="str">
        <f t="shared" si="267"/>
        <v/>
      </c>
      <c r="G1251" t="str">
        <f t="shared" si="268"/>
        <v/>
      </c>
    </row>
    <row r="1252" spans="2:7">
      <c r="B1252" s="46"/>
      <c r="C1252" t="str">
        <f t="shared" si="264"/>
        <v/>
      </c>
      <c r="D1252" s="63">
        <f t="shared" si="265"/>
        <v>16.1343896713615</v>
      </c>
      <c r="E1252" t="str">
        <f t="shared" si="266"/>
        <v/>
      </c>
      <c r="F1252" t="str">
        <f t="shared" si="267"/>
        <v/>
      </c>
      <c r="G1252" t="str">
        <f t="shared" si="268"/>
        <v/>
      </c>
    </row>
    <row r="1253" spans="2:7">
      <c r="B1253" s="46"/>
      <c r="C1253" t="str">
        <f t="shared" si="264"/>
        <v/>
      </c>
      <c r="D1253" s="63">
        <f t="shared" si="265"/>
        <v>16.8620892018779</v>
      </c>
      <c r="E1253" t="str">
        <f t="shared" si="266"/>
        <v/>
      </c>
      <c r="F1253" t="str">
        <f t="shared" si="267"/>
        <v/>
      </c>
      <c r="G1253" t="str">
        <f t="shared" si="268"/>
        <v/>
      </c>
    </row>
    <row r="1254" spans="2:7">
      <c r="B1254" s="46"/>
      <c r="C1254" t="str">
        <f t="shared" si="264"/>
        <v/>
      </c>
      <c r="D1254" s="63" t="str">
        <f t="shared" si="265"/>
        <v/>
      </c>
      <c r="E1254">
        <f t="shared" si="266"/>
        <v>16.1245098039216</v>
      </c>
      <c r="F1254" t="str">
        <f t="shared" si="267"/>
        <v/>
      </c>
      <c r="G1254" t="str">
        <f t="shared" si="268"/>
        <v/>
      </c>
    </row>
    <row r="1255" spans="2:7">
      <c r="B1255" s="46"/>
      <c r="C1255" t="str">
        <f t="shared" si="264"/>
        <v/>
      </c>
      <c r="D1255" s="63" t="str">
        <f t="shared" si="265"/>
        <v/>
      </c>
      <c r="E1255">
        <f t="shared" si="266"/>
        <v>17.9225490196078</v>
      </c>
      <c r="F1255" t="str">
        <f t="shared" si="267"/>
        <v/>
      </c>
      <c r="G1255" t="str">
        <f t="shared" si="268"/>
        <v/>
      </c>
    </row>
    <row r="1256" spans="2:7">
      <c r="B1256" s="46"/>
      <c r="C1256" t="str">
        <f t="shared" si="264"/>
        <v/>
      </c>
      <c r="D1256" s="63" t="str">
        <f t="shared" si="265"/>
        <v/>
      </c>
      <c r="E1256">
        <f t="shared" si="266"/>
        <v>18.7166666666667</v>
      </c>
      <c r="F1256" t="str">
        <f t="shared" si="267"/>
        <v/>
      </c>
      <c r="G1256" t="str">
        <f t="shared" si="268"/>
        <v/>
      </c>
    </row>
    <row r="1257" spans="2:7">
      <c r="B1257" s="46"/>
      <c r="C1257" t="str">
        <f t="shared" si="264"/>
        <v/>
      </c>
      <c r="D1257" s="63" t="str">
        <f t="shared" si="265"/>
        <v/>
      </c>
      <c r="E1257">
        <f t="shared" si="266"/>
        <v>18.9539215686275</v>
      </c>
      <c r="F1257" t="str">
        <f t="shared" si="267"/>
        <v/>
      </c>
      <c r="G1257" t="str">
        <f t="shared" si="268"/>
        <v/>
      </c>
    </row>
    <row r="1258" spans="2:7">
      <c r="B1258" s="46"/>
      <c r="C1258" t="str">
        <f t="shared" si="264"/>
        <v/>
      </c>
      <c r="D1258" s="63" t="str">
        <f t="shared" si="265"/>
        <v/>
      </c>
      <c r="E1258" t="str">
        <f t="shared" si="266"/>
        <v/>
      </c>
      <c r="F1258" t="str">
        <f t="shared" si="267"/>
        <v/>
      </c>
      <c r="G1258">
        <f t="shared" si="268"/>
        <v>15.4449685534591</v>
      </c>
    </row>
    <row r="1259" spans="2:7">
      <c r="B1259" s="46"/>
      <c r="C1259" t="str">
        <f t="shared" si="264"/>
        <v/>
      </c>
      <c r="D1259" s="63" t="str">
        <f t="shared" si="265"/>
        <v/>
      </c>
      <c r="E1259" t="str">
        <f t="shared" si="266"/>
        <v/>
      </c>
      <c r="F1259" t="str">
        <f t="shared" si="267"/>
        <v/>
      </c>
      <c r="G1259">
        <f t="shared" si="268"/>
        <v>16.4669811320755</v>
      </c>
    </row>
    <row r="1260" spans="2:7">
      <c r="B1260" s="46"/>
      <c r="C1260" t="str">
        <f t="shared" si="264"/>
        <v/>
      </c>
      <c r="D1260" s="63" t="str">
        <f t="shared" si="265"/>
        <v/>
      </c>
      <c r="E1260" t="str">
        <f t="shared" si="266"/>
        <v/>
      </c>
      <c r="F1260" t="str">
        <f t="shared" si="267"/>
        <v/>
      </c>
      <c r="G1260">
        <f t="shared" si="268"/>
        <v>17.7877358490566</v>
      </c>
    </row>
    <row r="1261" spans="2:7">
      <c r="B1261" s="46"/>
      <c r="C1261" t="str">
        <f t="shared" si="264"/>
        <v/>
      </c>
      <c r="D1261" s="63" t="str">
        <f t="shared" si="265"/>
        <v/>
      </c>
      <c r="E1261" t="str">
        <f t="shared" si="266"/>
        <v/>
      </c>
      <c r="F1261" t="str">
        <f t="shared" si="267"/>
        <v/>
      </c>
      <c r="G1261">
        <f t="shared" si="268"/>
        <v>18.377358490566</v>
      </c>
    </row>
    <row r="1262" ht="15.75" spans="2:7">
      <c r="B1262" s="46"/>
      <c r="C1262" t="str">
        <f t="shared" si="264"/>
        <v/>
      </c>
      <c r="D1262" s="63" t="str">
        <f t="shared" si="265"/>
        <v/>
      </c>
      <c r="E1262" t="str">
        <f t="shared" si="266"/>
        <v/>
      </c>
      <c r="F1262">
        <f t="shared" si="267"/>
        <v>15.4234693877551</v>
      </c>
      <c r="G1262" t="str">
        <f t="shared" si="268"/>
        <v/>
      </c>
    </row>
    <row r="1263" spans="2:7">
      <c r="B1263" s="74" t="s">
        <v>269</v>
      </c>
      <c r="C1263" s="75">
        <f>MAX(C1222:C1262)</f>
        <v>19.2465277777778</v>
      </c>
      <c r="D1263" s="75">
        <f t="shared" ref="D1263:G1263" si="269">MAX(D1222:D1262)</f>
        <v>16.8620892018779</v>
      </c>
      <c r="E1263" s="75">
        <f t="shared" si="269"/>
        <v>18.9539215686275</v>
      </c>
      <c r="F1263" s="75">
        <f t="shared" si="269"/>
        <v>15.4234693877551</v>
      </c>
      <c r="G1263" s="75">
        <f t="shared" si="269"/>
        <v>18.377358490566</v>
      </c>
    </row>
    <row r="1264" spans="2:7">
      <c r="B1264" s="76" t="s">
        <v>270</v>
      </c>
      <c r="C1264" s="77">
        <v>1</v>
      </c>
      <c r="D1264" s="78">
        <v>2</v>
      </c>
      <c r="E1264">
        <v>3</v>
      </c>
      <c r="F1264">
        <v>4</v>
      </c>
      <c r="G1264">
        <v>5</v>
      </c>
    </row>
    <row r="1265" spans="2:7">
      <c r="B1265" s="79" t="s">
        <v>271</v>
      </c>
      <c r="C1265" s="72">
        <f>HLOOKUP(MIN(C1263:G1263),C1263:G1264,2,FALSE)</f>
        <v>4</v>
      </c>
      <c r="D1265" s="80"/>
    </row>
    <row r="1268" ht="15.75" spans="2:7">
      <c r="B1268" s="43" t="s">
        <v>314</v>
      </c>
      <c r="C1268" s="44"/>
      <c r="D1268" s="45"/>
    </row>
    <row r="1269" spans="2:7">
      <c r="B1269" s="46"/>
      <c r="C1269" s="61" t="s">
        <v>264</v>
      </c>
      <c r="D1269" s="61" t="s">
        <v>265</v>
      </c>
      <c r="E1269" s="62" t="s">
        <v>286</v>
      </c>
      <c r="F1269" s="62" t="s">
        <v>287</v>
      </c>
      <c r="G1269" s="62" t="s">
        <v>288</v>
      </c>
    </row>
    <row r="1270" spans="2:7">
      <c r="B1270" s="46"/>
      <c r="C1270">
        <f t="shared" ref="C1270:C1311" si="270">IF(J8=1,S8,"")</f>
        <v>0.700231481481482</v>
      </c>
      <c r="D1270" s="63" t="str">
        <f t="shared" ref="D1270:D1311" si="271">IF(J8=2,S8,"")</f>
        <v/>
      </c>
      <c r="E1270" t="str">
        <f t="shared" ref="E1270:E1311" si="272">IF(J8=3,S8,"")</f>
        <v/>
      </c>
      <c r="F1270" t="str">
        <f t="shared" ref="F1270:F1311" si="273">IF(J8=4,S8,"")</f>
        <v/>
      </c>
      <c r="G1270" t="str">
        <f t="shared" ref="G1270:G1311" si="274">IF(J8=5,S8,"")</f>
        <v/>
      </c>
    </row>
    <row r="1271" spans="2:7">
      <c r="B1271" s="46"/>
      <c r="C1271" t="str">
        <f t="shared" si="270"/>
        <v/>
      </c>
      <c r="D1271" s="63">
        <f t="shared" si="271"/>
        <v>0.734154929577465</v>
      </c>
      <c r="E1271" t="str">
        <f t="shared" si="272"/>
        <v/>
      </c>
      <c r="F1271" t="str">
        <f t="shared" si="273"/>
        <v/>
      </c>
      <c r="G1271" t="str">
        <f t="shared" si="274"/>
        <v/>
      </c>
    </row>
    <row r="1272" spans="2:7">
      <c r="B1272" s="46"/>
      <c r="C1272" t="str">
        <f t="shared" si="270"/>
        <v/>
      </c>
      <c r="D1272" s="63" t="str">
        <f t="shared" si="271"/>
        <v/>
      </c>
      <c r="E1272">
        <f t="shared" si="272"/>
        <v>1.83823529411765</v>
      </c>
      <c r="F1272" t="str">
        <f t="shared" si="273"/>
        <v/>
      </c>
      <c r="G1272" t="str">
        <f t="shared" si="274"/>
        <v/>
      </c>
    </row>
    <row r="1273" spans="2:7">
      <c r="B1273" s="46"/>
      <c r="C1273" t="str">
        <f t="shared" si="270"/>
        <v/>
      </c>
      <c r="D1273" s="63" t="str">
        <f t="shared" si="271"/>
        <v/>
      </c>
      <c r="E1273" t="str">
        <f t="shared" si="272"/>
        <v/>
      </c>
      <c r="F1273">
        <f t="shared" si="273"/>
        <v>4.28571428571429</v>
      </c>
      <c r="G1273" t="str">
        <f t="shared" si="274"/>
        <v/>
      </c>
    </row>
    <row r="1274" spans="2:7">
      <c r="B1274" s="46"/>
      <c r="C1274" t="str">
        <f t="shared" si="270"/>
        <v/>
      </c>
      <c r="D1274" s="63" t="str">
        <f t="shared" si="271"/>
        <v/>
      </c>
      <c r="E1274" t="str">
        <f t="shared" si="272"/>
        <v/>
      </c>
      <c r="F1274" t="str">
        <f t="shared" si="273"/>
        <v/>
      </c>
      <c r="G1274">
        <f t="shared" si="274"/>
        <v>3.43396226415094</v>
      </c>
    </row>
    <row r="1275" spans="2:7">
      <c r="B1275" s="46"/>
      <c r="C1275" t="str">
        <f t="shared" si="270"/>
        <v/>
      </c>
      <c r="D1275" s="63" t="str">
        <f t="shared" si="271"/>
        <v/>
      </c>
      <c r="E1275">
        <f t="shared" si="272"/>
        <v>14.5833333333333</v>
      </c>
      <c r="F1275" t="str">
        <f t="shared" si="273"/>
        <v/>
      </c>
      <c r="G1275" t="str">
        <f t="shared" si="274"/>
        <v/>
      </c>
    </row>
    <row r="1276" spans="2:7">
      <c r="B1276" s="46"/>
      <c r="C1276" t="str">
        <f t="shared" si="270"/>
        <v/>
      </c>
      <c r="D1276" s="63" t="str">
        <f t="shared" si="271"/>
        <v/>
      </c>
      <c r="E1276" t="str">
        <f t="shared" si="272"/>
        <v/>
      </c>
      <c r="F1276">
        <f t="shared" si="273"/>
        <v>6.42857142857143</v>
      </c>
      <c r="G1276" t="str">
        <f t="shared" si="274"/>
        <v/>
      </c>
    </row>
    <row r="1277" spans="2:7">
      <c r="B1277" s="46"/>
      <c r="C1277" t="str">
        <f t="shared" si="270"/>
        <v/>
      </c>
      <c r="D1277" s="63" t="str">
        <f t="shared" si="271"/>
        <v/>
      </c>
      <c r="E1277" t="str">
        <f t="shared" si="272"/>
        <v/>
      </c>
      <c r="F1277" t="str">
        <f t="shared" si="273"/>
        <v/>
      </c>
      <c r="G1277">
        <f t="shared" si="274"/>
        <v>3.84591194968553</v>
      </c>
    </row>
    <row r="1278" spans="2:7">
      <c r="B1278" s="46"/>
      <c r="C1278">
        <f t="shared" si="270"/>
        <v>0.844907407407407</v>
      </c>
      <c r="D1278" s="63" t="str">
        <f t="shared" si="271"/>
        <v/>
      </c>
      <c r="E1278" t="str">
        <f t="shared" si="272"/>
        <v/>
      </c>
      <c r="F1278" t="str">
        <f t="shared" si="273"/>
        <v/>
      </c>
      <c r="G1278" t="str">
        <f t="shared" si="274"/>
        <v/>
      </c>
    </row>
    <row r="1279" spans="2:7">
      <c r="B1279" s="46"/>
      <c r="C1279">
        <f t="shared" si="270"/>
        <v>6.79803240740741</v>
      </c>
      <c r="D1279" s="63" t="str">
        <f t="shared" si="271"/>
        <v/>
      </c>
      <c r="E1279" t="str">
        <f t="shared" si="272"/>
        <v/>
      </c>
      <c r="F1279" t="str">
        <f t="shared" si="273"/>
        <v/>
      </c>
      <c r="G1279" t="str">
        <f t="shared" si="274"/>
        <v/>
      </c>
    </row>
    <row r="1280" spans="2:7">
      <c r="B1280" s="46"/>
      <c r="C1280">
        <f t="shared" si="270"/>
        <v>6.79803240740741</v>
      </c>
      <c r="D1280" s="63" t="str">
        <f t="shared" si="271"/>
        <v/>
      </c>
      <c r="E1280" t="str">
        <f t="shared" si="272"/>
        <v/>
      </c>
      <c r="F1280" t="str">
        <f t="shared" si="273"/>
        <v/>
      </c>
      <c r="G1280" t="str">
        <f t="shared" si="274"/>
        <v/>
      </c>
    </row>
    <row r="1281" spans="2:7">
      <c r="B1281" s="46"/>
      <c r="C1281">
        <f t="shared" si="270"/>
        <v>7.52719907407408</v>
      </c>
      <c r="D1281" s="63" t="str">
        <f t="shared" si="271"/>
        <v/>
      </c>
      <c r="E1281" t="str">
        <f t="shared" si="272"/>
        <v/>
      </c>
      <c r="F1281" t="str">
        <f t="shared" si="273"/>
        <v/>
      </c>
      <c r="G1281" t="str">
        <f t="shared" si="274"/>
        <v/>
      </c>
    </row>
    <row r="1282" spans="2:7">
      <c r="B1282" s="46"/>
      <c r="C1282" t="str">
        <f t="shared" si="270"/>
        <v/>
      </c>
      <c r="D1282" s="63">
        <f t="shared" si="271"/>
        <v>2.7881455399061</v>
      </c>
      <c r="E1282" t="str">
        <f t="shared" si="272"/>
        <v/>
      </c>
      <c r="F1282" t="str">
        <f t="shared" si="273"/>
        <v/>
      </c>
      <c r="G1282" t="str">
        <f t="shared" si="274"/>
        <v/>
      </c>
    </row>
    <row r="1283" spans="2:7">
      <c r="B1283" s="46"/>
      <c r="C1283" t="str">
        <f t="shared" si="270"/>
        <v/>
      </c>
      <c r="D1283" s="63">
        <f t="shared" si="271"/>
        <v>4.47535211267606</v>
      </c>
      <c r="E1283" t="str">
        <f t="shared" si="272"/>
        <v/>
      </c>
      <c r="F1283" t="str">
        <f t="shared" si="273"/>
        <v/>
      </c>
      <c r="G1283" t="str">
        <f t="shared" si="274"/>
        <v/>
      </c>
    </row>
    <row r="1284" spans="2:7">
      <c r="B1284" s="46"/>
      <c r="C1284" t="str">
        <f t="shared" si="270"/>
        <v/>
      </c>
      <c r="D1284" s="63">
        <f t="shared" si="271"/>
        <v>6.10680751173709</v>
      </c>
      <c r="E1284" t="str">
        <f t="shared" si="272"/>
        <v/>
      </c>
      <c r="F1284" t="str">
        <f t="shared" si="273"/>
        <v/>
      </c>
      <c r="G1284" t="str">
        <f t="shared" si="274"/>
        <v/>
      </c>
    </row>
    <row r="1285" spans="2:7">
      <c r="B1285" s="46"/>
      <c r="C1285" t="str">
        <f t="shared" si="270"/>
        <v/>
      </c>
      <c r="D1285" s="63">
        <f t="shared" si="271"/>
        <v>8.50821596244131</v>
      </c>
      <c r="E1285" t="str">
        <f t="shared" si="272"/>
        <v/>
      </c>
      <c r="F1285" t="str">
        <f t="shared" si="273"/>
        <v/>
      </c>
      <c r="G1285" t="str">
        <f t="shared" si="274"/>
        <v/>
      </c>
    </row>
    <row r="1286" spans="2:7">
      <c r="B1286" s="46"/>
      <c r="C1286" t="str">
        <f t="shared" si="270"/>
        <v/>
      </c>
      <c r="D1286" s="63">
        <f t="shared" si="271"/>
        <v>10.268779342723</v>
      </c>
      <c r="E1286" t="str">
        <f t="shared" si="272"/>
        <v/>
      </c>
      <c r="F1286" t="str">
        <f t="shared" si="273"/>
        <v/>
      </c>
      <c r="G1286" t="str">
        <f t="shared" si="274"/>
        <v/>
      </c>
    </row>
    <row r="1287" spans="2:7">
      <c r="B1287" s="46"/>
      <c r="C1287" t="str">
        <f t="shared" si="270"/>
        <v/>
      </c>
      <c r="D1287" s="63" t="str">
        <f t="shared" si="271"/>
        <v/>
      </c>
      <c r="E1287" t="str">
        <f t="shared" si="272"/>
        <v/>
      </c>
      <c r="F1287" t="str">
        <f t="shared" si="273"/>
        <v/>
      </c>
      <c r="G1287">
        <f t="shared" si="274"/>
        <v>7.67610062893082</v>
      </c>
    </row>
    <row r="1288" spans="2:7">
      <c r="B1288" s="46"/>
      <c r="C1288" t="str">
        <f t="shared" si="270"/>
        <v/>
      </c>
      <c r="D1288" s="63" t="str">
        <f t="shared" si="271"/>
        <v/>
      </c>
      <c r="E1288" t="str">
        <f t="shared" si="272"/>
        <v/>
      </c>
      <c r="F1288" t="str">
        <f t="shared" si="273"/>
        <v/>
      </c>
      <c r="G1288">
        <f t="shared" si="274"/>
        <v>10.3836477987421</v>
      </c>
    </row>
    <row r="1289" spans="2:7">
      <c r="B1289" s="46"/>
      <c r="C1289" t="str">
        <f t="shared" si="270"/>
        <v/>
      </c>
      <c r="D1289" s="63" t="str">
        <f t="shared" si="271"/>
        <v/>
      </c>
      <c r="E1289" t="str">
        <f t="shared" si="272"/>
        <v/>
      </c>
      <c r="F1289" t="str">
        <f t="shared" si="273"/>
        <v/>
      </c>
      <c r="G1289">
        <f t="shared" si="274"/>
        <v>13.2138364779874</v>
      </c>
    </row>
    <row r="1290" spans="2:7">
      <c r="B1290" s="46"/>
      <c r="C1290" t="str">
        <f t="shared" si="270"/>
        <v/>
      </c>
      <c r="D1290" s="63" t="str">
        <f t="shared" si="271"/>
        <v/>
      </c>
      <c r="E1290" t="str">
        <f t="shared" si="272"/>
        <v/>
      </c>
      <c r="F1290" t="str">
        <f t="shared" si="273"/>
        <v/>
      </c>
      <c r="G1290">
        <f t="shared" si="274"/>
        <v>14.7243186582809</v>
      </c>
    </row>
    <row r="1291" spans="2:7">
      <c r="B1291" s="46"/>
      <c r="C1291" t="str">
        <f t="shared" si="270"/>
        <v/>
      </c>
      <c r="D1291" s="63" t="str">
        <f t="shared" si="271"/>
        <v/>
      </c>
      <c r="E1291" t="str">
        <f t="shared" si="272"/>
        <v/>
      </c>
      <c r="F1291">
        <f t="shared" si="273"/>
        <v>9.17630385487529</v>
      </c>
      <c r="G1291" t="str">
        <f t="shared" si="274"/>
        <v/>
      </c>
    </row>
    <row r="1292" spans="2:7">
      <c r="B1292" s="46"/>
      <c r="C1292" t="str">
        <f t="shared" si="270"/>
        <v/>
      </c>
      <c r="D1292" s="63" t="str">
        <f t="shared" si="271"/>
        <v/>
      </c>
      <c r="E1292" t="str">
        <f t="shared" si="272"/>
        <v/>
      </c>
      <c r="F1292">
        <f t="shared" si="273"/>
        <v>12.328231292517</v>
      </c>
      <c r="G1292" t="str">
        <f t="shared" si="274"/>
        <v/>
      </c>
    </row>
    <row r="1293" spans="2:7">
      <c r="B1293" s="46"/>
      <c r="C1293" t="str">
        <f t="shared" si="270"/>
        <v/>
      </c>
      <c r="D1293" s="63" t="str">
        <f t="shared" si="271"/>
        <v/>
      </c>
      <c r="E1293" t="str">
        <f t="shared" si="272"/>
        <v/>
      </c>
      <c r="F1293">
        <f t="shared" si="273"/>
        <v>15.0017006802721</v>
      </c>
      <c r="G1293" t="str">
        <f t="shared" si="274"/>
        <v/>
      </c>
    </row>
    <row r="1294" spans="2:7">
      <c r="B1294" s="46"/>
      <c r="C1294">
        <f t="shared" si="270"/>
        <v>10.328125</v>
      </c>
      <c r="D1294" s="63" t="str">
        <f t="shared" si="271"/>
        <v/>
      </c>
      <c r="E1294" t="str">
        <f t="shared" si="272"/>
        <v/>
      </c>
      <c r="F1294" t="str">
        <f t="shared" si="273"/>
        <v/>
      </c>
      <c r="G1294" t="str">
        <f t="shared" si="274"/>
        <v/>
      </c>
    </row>
    <row r="1295" spans="2:7">
      <c r="B1295" s="46"/>
      <c r="C1295">
        <f t="shared" si="270"/>
        <v>14.5908564814815</v>
      </c>
      <c r="D1295" s="63" t="str">
        <f t="shared" si="271"/>
        <v/>
      </c>
      <c r="E1295" t="str">
        <f t="shared" si="272"/>
        <v/>
      </c>
      <c r="F1295" t="str">
        <f t="shared" si="273"/>
        <v/>
      </c>
      <c r="G1295" t="str">
        <f t="shared" si="274"/>
        <v/>
      </c>
    </row>
    <row r="1296" spans="2:7">
      <c r="B1296" s="46"/>
      <c r="C1296">
        <f t="shared" si="270"/>
        <v>14.9409722222222</v>
      </c>
      <c r="D1296" s="63" t="str">
        <f t="shared" si="271"/>
        <v/>
      </c>
      <c r="E1296" t="str">
        <f t="shared" si="272"/>
        <v/>
      </c>
      <c r="F1296" t="str">
        <f t="shared" si="273"/>
        <v/>
      </c>
      <c r="G1296" t="str">
        <f t="shared" si="274"/>
        <v/>
      </c>
    </row>
    <row r="1297" spans="2:7">
      <c r="B1297" s="46"/>
      <c r="C1297">
        <f t="shared" si="270"/>
        <v>19.2465277777778</v>
      </c>
      <c r="D1297" s="63" t="str">
        <f t="shared" si="271"/>
        <v/>
      </c>
      <c r="E1297" t="str">
        <f t="shared" si="272"/>
        <v/>
      </c>
      <c r="F1297" t="str">
        <f t="shared" si="273"/>
        <v/>
      </c>
      <c r="G1297" t="str">
        <f t="shared" si="274"/>
        <v/>
      </c>
    </row>
    <row r="1298" spans="2:7">
      <c r="B1298" s="46"/>
      <c r="C1298" t="str">
        <f t="shared" si="270"/>
        <v/>
      </c>
      <c r="D1298" s="63">
        <f t="shared" si="271"/>
        <v>15.0340375586854</v>
      </c>
      <c r="E1298" t="str">
        <f t="shared" si="272"/>
        <v/>
      </c>
      <c r="F1298" t="str">
        <f t="shared" si="273"/>
        <v/>
      </c>
      <c r="G1298" t="str">
        <f t="shared" si="274"/>
        <v/>
      </c>
    </row>
    <row r="1299" spans="2:7">
      <c r="B1299" s="46"/>
      <c r="C1299" t="str">
        <f t="shared" si="270"/>
        <v/>
      </c>
      <c r="D1299" s="63">
        <f t="shared" si="271"/>
        <v>15.0340375586854</v>
      </c>
      <c r="E1299" t="str">
        <f t="shared" si="272"/>
        <v/>
      </c>
      <c r="F1299" t="str">
        <f t="shared" si="273"/>
        <v/>
      </c>
      <c r="G1299" t="str">
        <f t="shared" si="274"/>
        <v/>
      </c>
    </row>
    <row r="1300" spans="2:7">
      <c r="B1300" s="46"/>
      <c r="C1300" t="str">
        <f t="shared" si="270"/>
        <v/>
      </c>
      <c r="D1300" s="63">
        <f t="shared" si="271"/>
        <v>16.1343896713615</v>
      </c>
      <c r="E1300" t="str">
        <f t="shared" si="272"/>
        <v/>
      </c>
      <c r="F1300" t="str">
        <f t="shared" si="273"/>
        <v/>
      </c>
      <c r="G1300" t="str">
        <f t="shared" si="274"/>
        <v/>
      </c>
    </row>
    <row r="1301" spans="2:7">
      <c r="B1301" s="46"/>
      <c r="C1301" t="str">
        <f t="shared" si="270"/>
        <v/>
      </c>
      <c r="D1301" s="63">
        <f t="shared" si="271"/>
        <v>16.8620892018779</v>
      </c>
      <c r="E1301" t="str">
        <f t="shared" si="272"/>
        <v/>
      </c>
      <c r="F1301" t="str">
        <f t="shared" si="273"/>
        <v/>
      </c>
      <c r="G1301" t="str">
        <f t="shared" si="274"/>
        <v/>
      </c>
    </row>
    <row r="1302" spans="2:7">
      <c r="B1302" s="46"/>
      <c r="C1302" t="str">
        <f t="shared" si="270"/>
        <v/>
      </c>
      <c r="D1302" s="63" t="str">
        <f t="shared" si="271"/>
        <v/>
      </c>
      <c r="E1302">
        <f t="shared" si="272"/>
        <v>16.1245098039216</v>
      </c>
      <c r="F1302" t="str">
        <f t="shared" si="273"/>
        <v/>
      </c>
      <c r="G1302" t="str">
        <f t="shared" si="274"/>
        <v/>
      </c>
    </row>
    <row r="1303" spans="2:7">
      <c r="B1303" s="46"/>
      <c r="C1303" t="str">
        <f t="shared" si="270"/>
        <v/>
      </c>
      <c r="D1303" s="63" t="str">
        <f t="shared" si="271"/>
        <v/>
      </c>
      <c r="E1303">
        <f t="shared" si="272"/>
        <v>17.9225490196078</v>
      </c>
      <c r="F1303" t="str">
        <f t="shared" si="273"/>
        <v/>
      </c>
      <c r="G1303" t="str">
        <f t="shared" si="274"/>
        <v/>
      </c>
    </row>
    <row r="1304" spans="2:7">
      <c r="B1304" s="46"/>
      <c r="C1304" t="str">
        <f t="shared" si="270"/>
        <v/>
      </c>
      <c r="D1304" s="63" t="str">
        <f t="shared" si="271"/>
        <v/>
      </c>
      <c r="E1304">
        <f t="shared" si="272"/>
        <v>18.7166666666667</v>
      </c>
      <c r="F1304" t="str">
        <f t="shared" si="273"/>
        <v/>
      </c>
      <c r="G1304" t="str">
        <f t="shared" si="274"/>
        <v/>
      </c>
    </row>
    <row r="1305" spans="2:7">
      <c r="B1305" s="46"/>
      <c r="C1305" t="str">
        <f t="shared" si="270"/>
        <v/>
      </c>
      <c r="D1305" s="63" t="str">
        <f t="shared" si="271"/>
        <v/>
      </c>
      <c r="E1305">
        <f t="shared" si="272"/>
        <v>18.9539215686275</v>
      </c>
      <c r="F1305" t="str">
        <f t="shared" si="273"/>
        <v/>
      </c>
      <c r="G1305" t="str">
        <f t="shared" si="274"/>
        <v/>
      </c>
    </row>
    <row r="1306" spans="2:7">
      <c r="B1306" s="46"/>
      <c r="C1306" t="str">
        <f t="shared" si="270"/>
        <v/>
      </c>
      <c r="D1306" s="63" t="str">
        <f t="shared" si="271"/>
        <v/>
      </c>
      <c r="E1306" t="str">
        <f t="shared" si="272"/>
        <v/>
      </c>
      <c r="F1306" t="str">
        <f t="shared" si="273"/>
        <v/>
      </c>
      <c r="G1306">
        <f t="shared" si="274"/>
        <v>15.4449685534591</v>
      </c>
    </row>
    <row r="1307" spans="2:7">
      <c r="B1307" s="46"/>
      <c r="C1307" t="str">
        <f t="shared" si="270"/>
        <v/>
      </c>
      <c r="D1307" s="63" t="str">
        <f t="shared" si="271"/>
        <v/>
      </c>
      <c r="E1307" t="str">
        <f t="shared" si="272"/>
        <v/>
      </c>
      <c r="F1307" t="str">
        <f t="shared" si="273"/>
        <v/>
      </c>
      <c r="G1307">
        <f t="shared" si="274"/>
        <v>16.4669811320755</v>
      </c>
    </row>
    <row r="1308" spans="2:7">
      <c r="B1308" s="46"/>
      <c r="C1308" t="str">
        <f t="shared" si="270"/>
        <v/>
      </c>
      <c r="D1308" s="63" t="str">
        <f t="shared" si="271"/>
        <v/>
      </c>
      <c r="E1308" t="str">
        <f t="shared" si="272"/>
        <v/>
      </c>
      <c r="F1308" t="str">
        <f t="shared" si="273"/>
        <v/>
      </c>
      <c r="G1308">
        <f t="shared" si="274"/>
        <v>17.7877358490566</v>
      </c>
    </row>
    <row r="1309" spans="2:7">
      <c r="B1309" s="46"/>
      <c r="C1309" t="str">
        <f t="shared" si="270"/>
        <v/>
      </c>
      <c r="D1309" s="63" t="str">
        <f t="shared" si="271"/>
        <v/>
      </c>
      <c r="E1309" t="str">
        <f t="shared" si="272"/>
        <v/>
      </c>
      <c r="F1309" t="str">
        <f t="shared" si="273"/>
        <v/>
      </c>
      <c r="G1309">
        <f t="shared" si="274"/>
        <v>18.377358490566</v>
      </c>
    </row>
    <row r="1310" spans="2:7">
      <c r="B1310" s="46"/>
      <c r="C1310" t="str">
        <f t="shared" si="270"/>
        <v/>
      </c>
      <c r="D1310" s="63" t="str">
        <f t="shared" si="271"/>
        <v/>
      </c>
      <c r="E1310" t="str">
        <f t="shared" si="272"/>
        <v/>
      </c>
      <c r="F1310">
        <f t="shared" si="273"/>
        <v>15.4234693877551</v>
      </c>
      <c r="G1310" t="str">
        <f t="shared" si="274"/>
        <v/>
      </c>
    </row>
    <row r="1311" ht="15.75" spans="2:7">
      <c r="B1311" s="46"/>
      <c r="C1311" t="str">
        <f t="shared" si="270"/>
        <v/>
      </c>
      <c r="D1311" s="63" t="str">
        <f t="shared" si="271"/>
        <v/>
      </c>
      <c r="E1311" t="str">
        <f t="shared" si="272"/>
        <v/>
      </c>
      <c r="F1311">
        <f t="shared" si="273"/>
        <v>16.7698412698413</v>
      </c>
      <c r="G1311" t="str">
        <f t="shared" si="274"/>
        <v/>
      </c>
    </row>
    <row r="1312" ht="15.75" spans="2:7">
      <c r="B1312" s="74" t="s">
        <v>269</v>
      </c>
      <c r="C1312" s="75">
        <f>MAX(C1270:C1311)</f>
        <v>19.2465277777778</v>
      </c>
      <c r="D1312" s="75">
        <f>MAX(D1270:D1311)</f>
        <v>16.8620892018779</v>
      </c>
      <c r="E1312" s="75">
        <f>MAX(E1270:E1311)</f>
        <v>18.9539215686275</v>
      </c>
      <c r="F1312" s="75">
        <f>MAX(F1270:F1311)</f>
        <v>16.7698412698413</v>
      </c>
      <c r="G1312" s="75">
        <f>MAX(G1270:G1311)</f>
        <v>18.377358490566</v>
      </c>
    </row>
    <row r="1313" ht="15.75" spans="2:7">
      <c r="B1313" s="76" t="s">
        <v>270</v>
      </c>
      <c r="C1313" s="82">
        <v>1</v>
      </c>
      <c r="D1313" s="78">
        <v>2</v>
      </c>
      <c r="E1313">
        <v>3</v>
      </c>
      <c r="F1313">
        <v>4</v>
      </c>
      <c r="G1313">
        <v>5</v>
      </c>
    </row>
    <row r="1314" spans="2:7">
      <c r="B1314" s="79" t="s">
        <v>271</v>
      </c>
      <c r="C1314" s="82">
        <f>HLOOKUP(MIN(C1312:G1312),C1312:G1313,2,FALSE)</f>
        <v>4</v>
      </c>
      <c r="D1314" s="80"/>
    </row>
    <row r="1317" ht="15.75" spans="2:7">
      <c r="B1317" s="43" t="s">
        <v>315</v>
      </c>
      <c r="C1317" s="44"/>
      <c r="D1317" s="45"/>
    </row>
    <row r="1318" spans="2:7">
      <c r="B1318" s="46"/>
      <c r="C1318" s="61" t="s">
        <v>264</v>
      </c>
      <c r="D1318" s="61" t="s">
        <v>265</v>
      </c>
      <c r="E1318" s="62" t="s">
        <v>286</v>
      </c>
      <c r="F1318" s="62" t="s">
        <v>287</v>
      </c>
      <c r="G1318" s="62" t="s">
        <v>288</v>
      </c>
    </row>
    <row r="1319" spans="2:7">
      <c r="B1319" s="46"/>
      <c r="C1319">
        <f t="shared" ref="C1319:C1361" si="275">IF(J8=1,S8,"")</f>
        <v>0.700231481481482</v>
      </c>
      <c r="D1319" s="63" t="str">
        <f t="shared" ref="D1319:D1361" si="276">IF(J8=2,S8,"")</f>
        <v/>
      </c>
      <c r="E1319" t="str">
        <f t="shared" ref="E1319:E1361" si="277">IF(J8=3,S8,"")</f>
        <v/>
      </c>
      <c r="F1319" t="str">
        <f t="shared" ref="F1319:F1361" si="278">IF(J8=4,S8,"")</f>
        <v/>
      </c>
      <c r="G1319" t="str">
        <f t="shared" ref="G1319:G1361" si="279">IF(J8=5,S8,"")</f>
        <v/>
      </c>
    </row>
    <row r="1320" spans="2:7">
      <c r="C1320" t="str">
        <f t="shared" si="275"/>
        <v/>
      </c>
      <c r="D1320" s="63">
        <f t="shared" si="276"/>
        <v>0.734154929577465</v>
      </c>
      <c r="E1320" t="str">
        <f t="shared" si="277"/>
        <v/>
      </c>
      <c r="F1320" t="str">
        <f t="shared" si="278"/>
        <v/>
      </c>
      <c r="G1320" t="str">
        <f t="shared" si="279"/>
        <v/>
      </c>
    </row>
    <row r="1321" spans="2:7">
      <c r="B1321" s="46"/>
      <c r="C1321" t="str">
        <f t="shared" si="275"/>
        <v/>
      </c>
      <c r="D1321" s="63" t="str">
        <f t="shared" si="276"/>
        <v/>
      </c>
      <c r="E1321">
        <f t="shared" si="277"/>
        <v>1.83823529411765</v>
      </c>
      <c r="F1321" t="str">
        <f t="shared" si="278"/>
        <v/>
      </c>
      <c r="G1321" t="str">
        <f t="shared" si="279"/>
        <v/>
      </c>
    </row>
    <row r="1322" spans="2:7">
      <c r="B1322" s="46"/>
      <c r="C1322" t="str">
        <f t="shared" si="275"/>
        <v/>
      </c>
      <c r="D1322" s="63" t="str">
        <f t="shared" si="276"/>
        <v/>
      </c>
      <c r="E1322" t="str">
        <f t="shared" si="277"/>
        <v/>
      </c>
      <c r="F1322">
        <f t="shared" si="278"/>
        <v>4.28571428571429</v>
      </c>
      <c r="G1322" t="str">
        <f t="shared" si="279"/>
        <v/>
      </c>
    </row>
    <row r="1323" spans="2:7">
      <c r="B1323" s="46"/>
      <c r="C1323" t="str">
        <f t="shared" si="275"/>
        <v/>
      </c>
      <c r="D1323" s="63" t="str">
        <f t="shared" si="276"/>
        <v/>
      </c>
      <c r="E1323" t="str">
        <f t="shared" si="277"/>
        <v/>
      </c>
      <c r="F1323" t="str">
        <f t="shared" si="278"/>
        <v/>
      </c>
      <c r="G1323">
        <f t="shared" si="279"/>
        <v>3.43396226415094</v>
      </c>
    </row>
    <row r="1324" spans="2:7">
      <c r="B1324" s="46"/>
      <c r="C1324" t="str">
        <f t="shared" si="275"/>
        <v/>
      </c>
      <c r="D1324" s="63" t="str">
        <f t="shared" si="276"/>
        <v/>
      </c>
      <c r="E1324">
        <f t="shared" si="277"/>
        <v>14.5833333333333</v>
      </c>
      <c r="F1324" t="str">
        <f t="shared" si="278"/>
        <v/>
      </c>
      <c r="G1324" t="str">
        <f t="shared" si="279"/>
        <v/>
      </c>
    </row>
    <row r="1325" spans="2:7">
      <c r="B1325" s="46"/>
      <c r="C1325" t="str">
        <f t="shared" si="275"/>
        <v/>
      </c>
      <c r="D1325" s="63" t="str">
        <f t="shared" si="276"/>
        <v/>
      </c>
      <c r="E1325" t="str">
        <f t="shared" si="277"/>
        <v/>
      </c>
      <c r="F1325">
        <f t="shared" si="278"/>
        <v>6.42857142857143</v>
      </c>
      <c r="G1325" t="str">
        <f t="shared" si="279"/>
        <v/>
      </c>
    </row>
    <row r="1326" spans="2:7">
      <c r="B1326" s="46"/>
      <c r="C1326" t="str">
        <f t="shared" si="275"/>
        <v/>
      </c>
      <c r="D1326" s="63" t="str">
        <f t="shared" si="276"/>
        <v/>
      </c>
      <c r="E1326" t="str">
        <f t="shared" si="277"/>
        <v/>
      </c>
      <c r="F1326" t="str">
        <f t="shared" si="278"/>
        <v/>
      </c>
      <c r="G1326">
        <f t="shared" si="279"/>
        <v>3.84591194968553</v>
      </c>
    </row>
    <row r="1327" spans="2:7">
      <c r="B1327" s="46"/>
      <c r="C1327">
        <f t="shared" si="275"/>
        <v>0.844907407407407</v>
      </c>
      <c r="D1327" s="63" t="str">
        <f t="shared" si="276"/>
        <v/>
      </c>
      <c r="E1327" t="str">
        <f t="shared" si="277"/>
        <v/>
      </c>
      <c r="F1327" t="str">
        <f t="shared" si="278"/>
        <v/>
      </c>
      <c r="G1327" t="str">
        <f t="shared" si="279"/>
        <v/>
      </c>
    </row>
    <row r="1328" spans="2:7">
      <c r="B1328" s="46"/>
      <c r="C1328">
        <f t="shared" si="275"/>
        <v>6.79803240740741</v>
      </c>
      <c r="D1328" s="63" t="str">
        <f t="shared" si="276"/>
        <v/>
      </c>
      <c r="E1328" t="str">
        <f t="shared" si="277"/>
        <v/>
      </c>
      <c r="F1328" t="str">
        <f t="shared" si="278"/>
        <v/>
      </c>
      <c r="G1328" t="str">
        <f t="shared" si="279"/>
        <v/>
      </c>
    </row>
    <row r="1329" spans="2:7">
      <c r="B1329" s="46"/>
      <c r="C1329">
        <f t="shared" si="275"/>
        <v>6.79803240740741</v>
      </c>
      <c r="D1329" s="63" t="str">
        <f t="shared" si="276"/>
        <v/>
      </c>
      <c r="E1329" t="str">
        <f t="shared" si="277"/>
        <v/>
      </c>
      <c r="F1329" t="str">
        <f t="shared" si="278"/>
        <v/>
      </c>
      <c r="G1329" t="str">
        <f t="shared" si="279"/>
        <v/>
      </c>
    </row>
    <row r="1330" spans="2:7">
      <c r="B1330" s="46"/>
      <c r="C1330">
        <f t="shared" si="275"/>
        <v>7.52719907407408</v>
      </c>
      <c r="D1330" s="63" t="str">
        <f t="shared" si="276"/>
        <v/>
      </c>
      <c r="E1330" t="str">
        <f t="shared" si="277"/>
        <v/>
      </c>
      <c r="F1330" t="str">
        <f t="shared" si="278"/>
        <v/>
      </c>
      <c r="G1330" t="str">
        <f t="shared" si="279"/>
        <v/>
      </c>
    </row>
    <row r="1331" spans="2:7">
      <c r="B1331" s="46"/>
      <c r="C1331" t="str">
        <f t="shared" si="275"/>
        <v/>
      </c>
      <c r="D1331" s="63">
        <f t="shared" si="276"/>
        <v>2.7881455399061</v>
      </c>
      <c r="E1331" t="str">
        <f t="shared" si="277"/>
        <v/>
      </c>
      <c r="F1331" t="str">
        <f t="shared" si="278"/>
        <v/>
      </c>
      <c r="G1331" t="str">
        <f t="shared" si="279"/>
        <v/>
      </c>
    </row>
    <row r="1332" spans="2:7">
      <c r="B1332" s="46"/>
      <c r="C1332" t="str">
        <f t="shared" si="275"/>
        <v/>
      </c>
      <c r="D1332" s="63">
        <f t="shared" si="276"/>
        <v>4.47535211267606</v>
      </c>
      <c r="E1332" t="str">
        <f t="shared" si="277"/>
        <v/>
      </c>
      <c r="F1332" t="str">
        <f t="shared" si="278"/>
        <v/>
      </c>
      <c r="G1332" t="str">
        <f t="shared" si="279"/>
        <v/>
      </c>
    </row>
    <row r="1333" spans="2:7">
      <c r="B1333" s="46"/>
      <c r="C1333" t="str">
        <f t="shared" si="275"/>
        <v/>
      </c>
      <c r="D1333" s="63">
        <f t="shared" si="276"/>
        <v>6.10680751173709</v>
      </c>
      <c r="E1333" t="str">
        <f t="shared" si="277"/>
        <v/>
      </c>
      <c r="F1333" t="str">
        <f t="shared" si="278"/>
        <v/>
      </c>
      <c r="G1333" t="str">
        <f t="shared" si="279"/>
        <v/>
      </c>
    </row>
    <row r="1334" spans="2:7">
      <c r="B1334" s="46"/>
      <c r="C1334" t="str">
        <f t="shared" si="275"/>
        <v/>
      </c>
      <c r="D1334" s="63">
        <f t="shared" si="276"/>
        <v>8.50821596244131</v>
      </c>
      <c r="E1334" t="str">
        <f t="shared" si="277"/>
        <v/>
      </c>
      <c r="F1334" t="str">
        <f t="shared" si="278"/>
        <v/>
      </c>
      <c r="G1334" t="str">
        <f t="shared" si="279"/>
        <v/>
      </c>
    </row>
    <row r="1335" spans="2:7">
      <c r="B1335" s="46"/>
      <c r="C1335" t="str">
        <f t="shared" si="275"/>
        <v/>
      </c>
      <c r="D1335" s="63">
        <f t="shared" si="276"/>
        <v>10.268779342723</v>
      </c>
      <c r="E1335" t="str">
        <f t="shared" si="277"/>
        <v/>
      </c>
      <c r="F1335" t="str">
        <f t="shared" si="278"/>
        <v/>
      </c>
      <c r="G1335" t="str">
        <f t="shared" si="279"/>
        <v/>
      </c>
    </row>
    <row r="1336" spans="2:7">
      <c r="B1336" s="46"/>
      <c r="C1336" t="str">
        <f t="shared" si="275"/>
        <v/>
      </c>
      <c r="D1336" s="63" t="str">
        <f t="shared" si="276"/>
        <v/>
      </c>
      <c r="E1336" t="str">
        <f t="shared" si="277"/>
        <v/>
      </c>
      <c r="F1336" t="str">
        <f t="shared" si="278"/>
        <v/>
      </c>
      <c r="G1336">
        <f t="shared" si="279"/>
        <v>7.67610062893082</v>
      </c>
    </row>
    <row r="1337" spans="2:7">
      <c r="B1337" s="46"/>
      <c r="C1337" t="str">
        <f t="shared" si="275"/>
        <v/>
      </c>
      <c r="D1337" s="63" t="str">
        <f t="shared" si="276"/>
        <v/>
      </c>
      <c r="E1337" t="str">
        <f t="shared" si="277"/>
        <v/>
      </c>
      <c r="F1337" t="str">
        <f t="shared" si="278"/>
        <v/>
      </c>
      <c r="G1337">
        <f t="shared" si="279"/>
        <v>10.3836477987421</v>
      </c>
    </row>
    <row r="1338" spans="2:7">
      <c r="B1338" s="46"/>
      <c r="C1338" t="str">
        <f t="shared" si="275"/>
        <v/>
      </c>
      <c r="D1338" s="63" t="str">
        <f t="shared" si="276"/>
        <v/>
      </c>
      <c r="E1338" t="str">
        <f t="shared" si="277"/>
        <v/>
      </c>
      <c r="F1338" t="str">
        <f t="shared" si="278"/>
        <v/>
      </c>
      <c r="G1338">
        <f t="shared" si="279"/>
        <v>13.2138364779874</v>
      </c>
    </row>
    <row r="1339" spans="2:7">
      <c r="B1339" s="46"/>
      <c r="C1339" t="str">
        <f t="shared" si="275"/>
        <v/>
      </c>
      <c r="D1339" s="63" t="str">
        <f t="shared" si="276"/>
        <v/>
      </c>
      <c r="E1339" t="str">
        <f t="shared" si="277"/>
        <v/>
      </c>
      <c r="F1339" t="str">
        <f t="shared" si="278"/>
        <v/>
      </c>
      <c r="G1339">
        <f t="shared" si="279"/>
        <v>14.7243186582809</v>
      </c>
    </row>
    <row r="1340" spans="2:7">
      <c r="B1340" s="46"/>
      <c r="C1340" t="str">
        <f t="shared" si="275"/>
        <v/>
      </c>
      <c r="D1340" s="63" t="str">
        <f t="shared" si="276"/>
        <v/>
      </c>
      <c r="E1340" t="str">
        <f t="shared" si="277"/>
        <v/>
      </c>
      <c r="F1340">
        <f t="shared" si="278"/>
        <v>9.17630385487529</v>
      </c>
      <c r="G1340" t="str">
        <f t="shared" si="279"/>
        <v/>
      </c>
    </row>
    <row r="1341" spans="2:7">
      <c r="B1341" s="46"/>
      <c r="C1341" t="str">
        <f t="shared" si="275"/>
        <v/>
      </c>
      <c r="D1341" s="63" t="str">
        <f t="shared" si="276"/>
        <v/>
      </c>
      <c r="E1341" t="str">
        <f t="shared" si="277"/>
        <v/>
      </c>
      <c r="F1341">
        <f t="shared" si="278"/>
        <v>12.328231292517</v>
      </c>
      <c r="G1341" t="str">
        <f t="shared" si="279"/>
        <v/>
      </c>
    </row>
    <row r="1342" spans="2:7">
      <c r="B1342" s="46"/>
      <c r="C1342" t="str">
        <f t="shared" si="275"/>
        <v/>
      </c>
      <c r="D1342" s="63" t="str">
        <f t="shared" si="276"/>
        <v/>
      </c>
      <c r="E1342" t="str">
        <f t="shared" si="277"/>
        <v/>
      </c>
      <c r="F1342">
        <f t="shared" si="278"/>
        <v>15.0017006802721</v>
      </c>
      <c r="G1342" t="str">
        <f t="shared" si="279"/>
        <v/>
      </c>
    </row>
    <row r="1343" spans="2:7">
      <c r="B1343" s="46"/>
      <c r="C1343">
        <f t="shared" si="275"/>
        <v>10.328125</v>
      </c>
      <c r="D1343" s="63" t="str">
        <f t="shared" si="276"/>
        <v/>
      </c>
      <c r="E1343" t="str">
        <f t="shared" si="277"/>
        <v/>
      </c>
      <c r="F1343" t="str">
        <f t="shared" si="278"/>
        <v/>
      </c>
      <c r="G1343" t="str">
        <f t="shared" si="279"/>
        <v/>
      </c>
    </row>
    <row r="1344" spans="2:7">
      <c r="B1344" s="46"/>
      <c r="C1344">
        <f t="shared" si="275"/>
        <v>14.5908564814815</v>
      </c>
      <c r="D1344" s="63" t="str">
        <f t="shared" si="276"/>
        <v/>
      </c>
      <c r="E1344" t="str">
        <f t="shared" si="277"/>
        <v/>
      </c>
      <c r="F1344" t="str">
        <f t="shared" si="278"/>
        <v/>
      </c>
      <c r="G1344" t="str">
        <f t="shared" si="279"/>
        <v/>
      </c>
    </row>
    <row r="1345" spans="2:7">
      <c r="B1345" s="46"/>
      <c r="C1345">
        <f t="shared" si="275"/>
        <v>14.9409722222222</v>
      </c>
      <c r="D1345" s="63" t="str">
        <f t="shared" si="276"/>
        <v/>
      </c>
      <c r="E1345" t="str">
        <f t="shared" si="277"/>
        <v/>
      </c>
      <c r="F1345" t="str">
        <f t="shared" si="278"/>
        <v/>
      </c>
      <c r="G1345" t="str">
        <f t="shared" si="279"/>
        <v/>
      </c>
    </row>
    <row r="1346" spans="2:7">
      <c r="B1346" s="46"/>
      <c r="C1346">
        <f t="shared" si="275"/>
        <v>19.2465277777778</v>
      </c>
      <c r="D1346" s="63" t="str">
        <f t="shared" si="276"/>
        <v/>
      </c>
      <c r="E1346" t="str">
        <f t="shared" si="277"/>
        <v/>
      </c>
      <c r="F1346" t="str">
        <f t="shared" si="278"/>
        <v/>
      </c>
      <c r="G1346" t="str">
        <f t="shared" si="279"/>
        <v/>
      </c>
    </row>
    <row r="1347" spans="2:7">
      <c r="B1347" s="46"/>
      <c r="C1347" t="str">
        <f t="shared" si="275"/>
        <v/>
      </c>
      <c r="D1347" s="63">
        <f t="shared" si="276"/>
        <v>15.0340375586854</v>
      </c>
      <c r="E1347" t="str">
        <f t="shared" si="277"/>
        <v/>
      </c>
      <c r="F1347" t="str">
        <f t="shared" si="278"/>
        <v/>
      </c>
      <c r="G1347" t="str">
        <f t="shared" si="279"/>
        <v/>
      </c>
    </row>
    <row r="1348" spans="2:7">
      <c r="B1348" s="46"/>
      <c r="C1348" t="str">
        <f t="shared" si="275"/>
        <v/>
      </c>
      <c r="D1348" s="63">
        <f t="shared" si="276"/>
        <v>15.0340375586854</v>
      </c>
      <c r="E1348" t="str">
        <f t="shared" si="277"/>
        <v/>
      </c>
      <c r="F1348" t="str">
        <f t="shared" si="278"/>
        <v/>
      </c>
      <c r="G1348" t="str">
        <f t="shared" si="279"/>
        <v/>
      </c>
    </row>
    <row r="1349" spans="2:7">
      <c r="B1349" s="46"/>
      <c r="C1349" t="str">
        <f t="shared" si="275"/>
        <v/>
      </c>
      <c r="D1349" s="63">
        <f t="shared" si="276"/>
        <v>16.1343896713615</v>
      </c>
      <c r="E1349" t="str">
        <f t="shared" si="277"/>
        <v/>
      </c>
      <c r="F1349" t="str">
        <f t="shared" si="278"/>
        <v/>
      </c>
      <c r="G1349" t="str">
        <f t="shared" si="279"/>
        <v/>
      </c>
    </row>
    <row r="1350" spans="2:7">
      <c r="B1350" s="46"/>
      <c r="C1350" t="str">
        <f t="shared" si="275"/>
        <v/>
      </c>
      <c r="D1350" s="63">
        <f t="shared" si="276"/>
        <v>16.8620892018779</v>
      </c>
      <c r="E1350" t="str">
        <f t="shared" si="277"/>
        <v/>
      </c>
      <c r="F1350" t="str">
        <f t="shared" si="278"/>
        <v/>
      </c>
      <c r="G1350" t="str">
        <f t="shared" si="279"/>
        <v/>
      </c>
    </row>
    <row r="1351" spans="2:7">
      <c r="B1351" s="46"/>
      <c r="C1351" t="str">
        <f t="shared" si="275"/>
        <v/>
      </c>
      <c r="D1351" s="63" t="str">
        <f t="shared" si="276"/>
        <v/>
      </c>
      <c r="E1351">
        <f t="shared" si="277"/>
        <v>16.1245098039216</v>
      </c>
      <c r="F1351" t="str">
        <f t="shared" si="278"/>
        <v/>
      </c>
      <c r="G1351" t="str">
        <f t="shared" si="279"/>
        <v/>
      </c>
    </row>
    <row r="1352" spans="2:7">
      <c r="B1352" s="46"/>
      <c r="C1352" t="str">
        <f t="shared" si="275"/>
        <v/>
      </c>
      <c r="D1352" s="63" t="str">
        <f t="shared" si="276"/>
        <v/>
      </c>
      <c r="E1352">
        <f t="shared" si="277"/>
        <v>17.9225490196078</v>
      </c>
      <c r="F1352" t="str">
        <f t="shared" si="278"/>
        <v/>
      </c>
      <c r="G1352" t="str">
        <f t="shared" si="279"/>
        <v/>
      </c>
    </row>
    <row r="1353" spans="2:7">
      <c r="B1353" s="46"/>
      <c r="C1353" t="str">
        <f t="shared" si="275"/>
        <v/>
      </c>
      <c r="D1353" s="63" t="str">
        <f t="shared" si="276"/>
        <v/>
      </c>
      <c r="E1353">
        <f t="shared" si="277"/>
        <v>18.7166666666667</v>
      </c>
      <c r="F1353" t="str">
        <f t="shared" si="278"/>
        <v/>
      </c>
      <c r="G1353" t="str">
        <f t="shared" si="279"/>
        <v/>
      </c>
    </row>
    <row r="1354" spans="2:7">
      <c r="B1354" s="46"/>
      <c r="C1354" t="str">
        <f t="shared" si="275"/>
        <v/>
      </c>
      <c r="D1354" s="63" t="str">
        <f t="shared" si="276"/>
        <v/>
      </c>
      <c r="E1354">
        <f t="shared" si="277"/>
        <v>18.9539215686275</v>
      </c>
      <c r="F1354" t="str">
        <f t="shared" si="278"/>
        <v/>
      </c>
      <c r="G1354" t="str">
        <f t="shared" si="279"/>
        <v/>
      </c>
    </row>
    <row r="1355" spans="2:7">
      <c r="B1355" s="46"/>
      <c r="C1355" t="str">
        <f t="shared" si="275"/>
        <v/>
      </c>
      <c r="D1355" s="63" t="str">
        <f t="shared" si="276"/>
        <v/>
      </c>
      <c r="E1355" t="str">
        <f t="shared" si="277"/>
        <v/>
      </c>
      <c r="F1355" t="str">
        <f t="shared" si="278"/>
        <v/>
      </c>
      <c r="G1355">
        <f t="shared" si="279"/>
        <v>15.4449685534591</v>
      </c>
    </row>
    <row r="1356" spans="2:7">
      <c r="B1356" s="46"/>
      <c r="C1356" t="str">
        <f t="shared" si="275"/>
        <v/>
      </c>
      <c r="D1356" s="63" t="str">
        <f t="shared" si="276"/>
        <v/>
      </c>
      <c r="E1356" t="str">
        <f t="shared" si="277"/>
        <v/>
      </c>
      <c r="F1356" t="str">
        <f t="shared" si="278"/>
        <v/>
      </c>
      <c r="G1356">
        <f t="shared" si="279"/>
        <v>16.4669811320755</v>
      </c>
    </row>
    <row r="1357" spans="2:7">
      <c r="B1357" s="46"/>
      <c r="C1357" t="str">
        <f t="shared" si="275"/>
        <v/>
      </c>
      <c r="D1357" s="63" t="str">
        <f t="shared" si="276"/>
        <v/>
      </c>
      <c r="E1357" t="str">
        <f t="shared" si="277"/>
        <v/>
      </c>
      <c r="F1357" t="str">
        <f t="shared" si="278"/>
        <v/>
      </c>
      <c r="G1357">
        <f t="shared" si="279"/>
        <v>17.7877358490566</v>
      </c>
    </row>
    <row r="1358" spans="2:7">
      <c r="B1358" s="46"/>
      <c r="C1358" t="str">
        <f t="shared" si="275"/>
        <v/>
      </c>
      <c r="D1358" s="63" t="str">
        <f t="shared" si="276"/>
        <v/>
      </c>
      <c r="E1358" t="str">
        <f t="shared" si="277"/>
        <v/>
      </c>
      <c r="F1358" t="str">
        <f t="shared" si="278"/>
        <v/>
      </c>
      <c r="G1358">
        <f t="shared" si="279"/>
        <v>18.377358490566</v>
      </c>
    </row>
    <row r="1359" spans="2:7">
      <c r="B1359" s="46"/>
      <c r="C1359" t="str">
        <f t="shared" si="275"/>
        <v/>
      </c>
      <c r="D1359" s="63" t="str">
        <f t="shared" si="276"/>
        <v/>
      </c>
      <c r="E1359" t="str">
        <f t="shared" si="277"/>
        <v/>
      </c>
      <c r="F1359">
        <f t="shared" si="278"/>
        <v>15.4234693877551</v>
      </c>
      <c r="G1359" t="str">
        <f t="shared" si="279"/>
        <v/>
      </c>
    </row>
    <row r="1360" spans="2:7">
      <c r="B1360" s="46"/>
      <c r="C1360" t="str">
        <f t="shared" si="275"/>
        <v/>
      </c>
      <c r="D1360" s="63" t="str">
        <f t="shared" si="276"/>
        <v/>
      </c>
      <c r="E1360" t="str">
        <f t="shared" si="277"/>
        <v/>
      </c>
      <c r="F1360">
        <f t="shared" si="278"/>
        <v>16.7698412698413</v>
      </c>
      <c r="G1360" t="str">
        <f t="shared" si="279"/>
        <v/>
      </c>
    </row>
    <row r="1361" ht="15.75" spans="2:7">
      <c r="B1361" s="46"/>
      <c r="C1361" t="str">
        <f t="shared" si="275"/>
        <v/>
      </c>
      <c r="D1361" s="63" t="str">
        <f t="shared" si="276"/>
        <v/>
      </c>
      <c r="E1361" t="str">
        <f t="shared" si="277"/>
        <v/>
      </c>
      <c r="F1361">
        <f t="shared" si="278"/>
        <v>18.109410430839</v>
      </c>
      <c r="G1361" t="str">
        <f t="shared" si="279"/>
        <v/>
      </c>
    </row>
    <row r="1362" ht="15.75" spans="2:7">
      <c r="B1362" s="74" t="s">
        <v>269</v>
      </c>
      <c r="C1362" s="75">
        <f>MAX(C1319:C1361)</f>
        <v>19.2465277777778</v>
      </c>
      <c r="D1362" s="75">
        <f>MAX(D1319:D1361)</f>
        <v>16.8620892018779</v>
      </c>
      <c r="E1362" s="53">
        <f>MAX(E1319:E1361)</f>
        <v>18.9539215686275</v>
      </c>
      <c r="F1362" s="53">
        <f>MAX(F1319:F1361)</f>
        <v>18.109410430839</v>
      </c>
      <c r="G1362" s="53">
        <f>MAX(G1319:G1361)</f>
        <v>18.377358490566</v>
      </c>
    </row>
    <row r="1363" spans="2:7">
      <c r="B1363" s="76" t="s">
        <v>270</v>
      </c>
      <c r="C1363" s="77">
        <v>1</v>
      </c>
      <c r="D1363" s="78">
        <v>2</v>
      </c>
      <c r="E1363">
        <v>3</v>
      </c>
      <c r="F1363">
        <v>4</v>
      </c>
      <c r="G1363">
        <v>5</v>
      </c>
    </row>
    <row r="1364" spans="2:7">
      <c r="B1364" s="79" t="s">
        <v>271</v>
      </c>
      <c r="C1364" s="72">
        <f>HLOOKUP(MIN(C1362:G1362),C1362:G1363,2,FALSE)</f>
        <v>2</v>
      </c>
      <c r="D1364" s="80"/>
    </row>
    <row r="1366" ht="15.75" spans="2:7">
      <c r="B1366" s="43" t="s">
        <v>316</v>
      </c>
      <c r="C1366" s="44"/>
      <c r="D1366" s="45"/>
    </row>
    <row r="1367" spans="2:7">
      <c r="B1367" s="46"/>
      <c r="C1367" s="61" t="s">
        <v>264</v>
      </c>
      <c r="D1367" s="61" t="s">
        <v>265</v>
      </c>
      <c r="E1367" s="62" t="s">
        <v>286</v>
      </c>
      <c r="F1367" s="62" t="s">
        <v>287</v>
      </c>
      <c r="G1367" s="62" t="s">
        <v>288</v>
      </c>
    </row>
    <row r="1368" spans="2:7">
      <c r="B1368" s="46"/>
      <c r="C1368">
        <f t="shared" ref="C1368:C1411" si="280">IF(J8=1,S8,"")</f>
        <v>0.700231481481482</v>
      </c>
      <c r="D1368" s="63" t="str">
        <f t="shared" ref="D1368:D1411" si="281">IF(J8=2,S8,"")</f>
        <v/>
      </c>
      <c r="E1368" t="str">
        <f t="shared" ref="E1368:E1411" si="282">IF(J8=3,S8,"")</f>
        <v/>
      </c>
      <c r="F1368" t="str">
        <f t="shared" ref="F1368:F1411" si="283">IF(J8=4,S8,"")</f>
        <v/>
      </c>
      <c r="G1368" t="str">
        <f t="shared" ref="G1368:G1411" si="284">IF(J8=5,S8,"")</f>
        <v/>
      </c>
    </row>
    <row r="1369" spans="2:7">
      <c r="B1369" s="46"/>
      <c r="C1369" t="str">
        <f t="shared" si="280"/>
        <v/>
      </c>
      <c r="D1369" s="63">
        <f t="shared" si="281"/>
        <v>0.734154929577465</v>
      </c>
      <c r="E1369" t="str">
        <f t="shared" si="282"/>
        <v/>
      </c>
      <c r="F1369" t="str">
        <f t="shared" si="283"/>
        <v/>
      </c>
      <c r="G1369" t="str">
        <f t="shared" si="284"/>
        <v/>
      </c>
    </row>
    <row r="1370" spans="2:7">
      <c r="B1370" s="46"/>
      <c r="C1370" t="str">
        <f t="shared" si="280"/>
        <v/>
      </c>
      <c r="D1370" s="63" t="str">
        <f t="shared" si="281"/>
        <v/>
      </c>
      <c r="E1370">
        <f t="shared" si="282"/>
        <v>1.83823529411765</v>
      </c>
      <c r="F1370" t="str">
        <f t="shared" si="283"/>
        <v/>
      </c>
      <c r="G1370" t="str">
        <f t="shared" si="284"/>
        <v/>
      </c>
    </row>
    <row r="1371" spans="2:7">
      <c r="B1371" s="46"/>
      <c r="C1371" t="str">
        <f t="shared" si="280"/>
        <v/>
      </c>
      <c r="D1371" s="63" t="str">
        <f t="shared" si="281"/>
        <v/>
      </c>
      <c r="E1371" t="str">
        <f t="shared" si="282"/>
        <v/>
      </c>
      <c r="F1371">
        <f t="shared" si="283"/>
        <v>4.28571428571429</v>
      </c>
      <c r="G1371" t="str">
        <f t="shared" si="284"/>
        <v/>
      </c>
    </row>
    <row r="1372" spans="2:7">
      <c r="B1372" s="46"/>
      <c r="C1372" t="str">
        <f t="shared" si="280"/>
        <v/>
      </c>
      <c r="D1372" s="63" t="str">
        <f t="shared" si="281"/>
        <v/>
      </c>
      <c r="E1372" t="str">
        <f t="shared" si="282"/>
        <v/>
      </c>
      <c r="F1372" t="str">
        <f t="shared" si="283"/>
        <v/>
      </c>
      <c r="G1372">
        <f t="shared" si="284"/>
        <v>3.43396226415094</v>
      </c>
    </row>
    <row r="1373" spans="2:7">
      <c r="B1373" s="46"/>
      <c r="C1373" t="str">
        <f t="shared" si="280"/>
        <v/>
      </c>
      <c r="D1373" s="63" t="str">
        <f t="shared" si="281"/>
        <v/>
      </c>
      <c r="E1373">
        <f t="shared" si="282"/>
        <v>14.5833333333333</v>
      </c>
      <c r="F1373" t="str">
        <f t="shared" si="283"/>
        <v/>
      </c>
      <c r="G1373" t="str">
        <f t="shared" si="284"/>
        <v/>
      </c>
    </row>
    <row r="1374" spans="2:7">
      <c r="B1374" s="46"/>
      <c r="C1374" t="str">
        <f t="shared" si="280"/>
        <v/>
      </c>
      <c r="D1374" s="63" t="str">
        <f t="shared" si="281"/>
        <v/>
      </c>
      <c r="E1374" t="str">
        <f t="shared" si="282"/>
        <v/>
      </c>
      <c r="F1374">
        <f t="shared" si="283"/>
        <v>6.42857142857143</v>
      </c>
      <c r="G1374" t="str">
        <f t="shared" si="284"/>
        <v/>
      </c>
    </row>
    <row r="1375" spans="2:7">
      <c r="B1375" s="46"/>
      <c r="C1375" t="str">
        <f t="shared" si="280"/>
        <v/>
      </c>
      <c r="D1375" s="63" t="str">
        <f t="shared" si="281"/>
        <v/>
      </c>
      <c r="E1375" t="str">
        <f t="shared" si="282"/>
        <v/>
      </c>
      <c r="F1375" t="str">
        <f t="shared" si="283"/>
        <v/>
      </c>
      <c r="G1375">
        <f t="shared" si="284"/>
        <v>3.84591194968553</v>
      </c>
    </row>
    <row r="1376" spans="2:7">
      <c r="B1376" s="46"/>
      <c r="C1376">
        <f t="shared" si="280"/>
        <v>0.844907407407407</v>
      </c>
      <c r="D1376" s="63" t="str">
        <f t="shared" si="281"/>
        <v/>
      </c>
      <c r="E1376" t="str">
        <f t="shared" si="282"/>
        <v/>
      </c>
      <c r="F1376" t="str">
        <f t="shared" si="283"/>
        <v/>
      </c>
      <c r="G1376" t="str">
        <f t="shared" si="284"/>
        <v/>
      </c>
    </row>
    <row r="1377" spans="2:7">
      <c r="B1377" s="46"/>
      <c r="C1377">
        <f t="shared" si="280"/>
        <v>6.79803240740741</v>
      </c>
      <c r="D1377" s="63" t="str">
        <f t="shared" si="281"/>
        <v/>
      </c>
      <c r="E1377" t="str">
        <f t="shared" si="282"/>
        <v/>
      </c>
      <c r="F1377" t="str">
        <f t="shared" si="283"/>
        <v/>
      </c>
      <c r="G1377" t="str">
        <f t="shared" si="284"/>
        <v/>
      </c>
    </row>
    <row r="1378" spans="2:7">
      <c r="B1378" s="46"/>
      <c r="C1378">
        <f t="shared" si="280"/>
        <v>6.79803240740741</v>
      </c>
      <c r="D1378" s="63" t="str">
        <f t="shared" si="281"/>
        <v/>
      </c>
      <c r="E1378" t="str">
        <f t="shared" si="282"/>
        <v/>
      </c>
      <c r="F1378" t="str">
        <f t="shared" si="283"/>
        <v/>
      </c>
      <c r="G1378" t="str">
        <f t="shared" si="284"/>
        <v/>
      </c>
    </row>
    <row r="1379" spans="2:7">
      <c r="B1379" s="46"/>
      <c r="C1379">
        <f t="shared" si="280"/>
        <v>7.52719907407408</v>
      </c>
      <c r="D1379" s="63" t="str">
        <f t="shared" si="281"/>
        <v/>
      </c>
      <c r="E1379" t="str">
        <f t="shared" si="282"/>
        <v/>
      </c>
      <c r="F1379" t="str">
        <f t="shared" si="283"/>
        <v/>
      </c>
      <c r="G1379" t="str">
        <f t="shared" si="284"/>
        <v/>
      </c>
    </row>
    <row r="1380" spans="2:7">
      <c r="B1380" s="46"/>
      <c r="C1380" t="str">
        <f t="shared" si="280"/>
        <v/>
      </c>
      <c r="D1380" s="63">
        <f t="shared" si="281"/>
        <v>2.7881455399061</v>
      </c>
      <c r="E1380" t="str">
        <f t="shared" si="282"/>
        <v/>
      </c>
      <c r="F1380" t="str">
        <f t="shared" si="283"/>
        <v/>
      </c>
      <c r="G1380" t="str">
        <f t="shared" si="284"/>
        <v/>
      </c>
    </row>
    <row r="1381" spans="2:7">
      <c r="B1381" s="46"/>
      <c r="C1381" t="str">
        <f t="shared" si="280"/>
        <v/>
      </c>
      <c r="D1381" s="63">
        <f t="shared" si="281"/>
        <v>4.47535211267606</v>
      </c>
      <c r="E1381" t="str">
        <f t="shared" si="282"/>
        <v/>
      </c>
      <c r="F1381" t="str">
        <f t="shared" si="283"/>
        <v/>
      </c>
      <c r="G1381" t="str">
        <f t="shared" si="284"/>
        <v/>
      </c>
    </row>
    <row r="1382" spans="2:7">
      <c r="B1382" s="46"/>
      <c r="C1382" t="str">
        <f t="shared" si="280"/>
        <v/>
      </c>
      <c r="D1382" s="63">
        <f t="shared" si="281"/>
        <v>6.10680751173709</v>
      </c>
      <c r="E1382" t="str">
        <f t="shared" si="282"/>
        <v/>
      </c>
      <c r="F1382" t="str">
        <f t="shared" si="283"/>
        <v/>
      </c>
      <c r="G1382" t="str">
        <f t="shared" si="284"/>
        <v/>
      </c>
    </row>
    <row r="1383" spans="2:7">
      <c r="B1383" s="46"/>
      <c r="C1383" t="str">
        <f t="shared" si="280"/>
        <v/>
      </c>
      <c r="D1383" s="63">
        <f t="shared" si="281"/>
        <v>8.50821596244131</v>
      </c>
      <c r="E1383" t="str">
        <f t="shared" si="282"/>
        <v/>
      </c>
      <c r="F1383" t="str">
        <f t="shared" si="283"/>
        <v/>
      </c>
      <c r="G1383" t="str">
        <f t="shared" si="284"/>
        <v/>
      </c>
    </row>
    <row r="1384" spans="2:7">
      <c r="B1384" s="46"/>
      <c r="C1384" t="str">
        <f t="shared" si="280"/>
        <v/>
      </c>
      <c r="D1384" s="63">
        <f t="shared" si="281"/>
        <v>10.268779342723</v>
      </c>
      <c r="E1384" t="str">
        <f t="shared" si="282"/>
        <v/>
      </c>
      <c r="F1384" t="str">
        <f t="shared" si="283"/>
        <v/>
      </c>
      <c r="G1384" t="str">
        <f t="shared" si="284"/>
        <v/>
      </c>
    </row>
    <row r="1385" spans="2:7">
      <c r="B1385" s="46"/>
      <c r="C1385" t="str">
        <f t="shared" si="280"/>
        <v/>
      </c>
      <c r="D1385" s="63" t="str">
        <f t="shared" si="281"/>
        <v/>
      </c>
      <c r="E1385" t="str">
        <f t="shared" si="282"/>
        <v/>
      </c>
      <c r="F1385" t="str">
        <f t="shared" si="283"/>
        <v/>
      </c>
      <c r="G1385">
        <f t="shared" si="284"/>
        <v>7.67610062893082</v>
      </c>
    </row>
    <row r="1386" spans="2:7">
      <c r="B1386" s="46"/>
      <c r="C1386" t="str">
        <f t="shared" si="280"/>
        <v/>
      </c>
      <c r="D1386" s="63" t="str">
        <f t="shared" si="281"/>
        <v/>
      </c>
      <c r="E1386" t="str">
        <f t="shared" si="282"/>
        <v/>
      </c>
      <c r="F1386" t="str">
        <f t="shared" si="283"/>
        <v/>
      </c>
      <c r="G1386">
        <f t="shared" si="284"/>
        <v>10.3836477987421</v>
      </c>
    </row>
    <row r="1387" spans="2:7">
      <c r="B1387" s="46"/>
      <c r="C1387" t="str">
        <f t="shared" si="280"/>
        <v/>
      </c>
      <c r="D1387" s="63" t="str">
        <f t="shared" si="281"/>
        <v/>
      </c>
      <c r="E1387" t="str">
        <f t="shared" si="282"/>
        <v/>
      </c>
      <c r="F1387" t="str">
        <f t="shared" si="283"/>
        <v/>
      </c>
      <c r="G1387">
        <f t="shared" si="284"/>
        <v>13.2138364779874</v>
      </c>
    </row>
    <row r="1388" spans="2:7">
      <c r="B1388" s="46"/>
      <c r="C1388" t="str">
        <f t="shared" si="280"/>
        <v/>
      </c>
      <c r="D1388" s="63" t="str">
        <f t="shared" si="281"/>
        <v/>
      </c>
      <c r="E1388" t="str">
        <f t="shared" si="282"/>
        <v/>
      </c>
      <c r="F1388" t="str">
        <f t="shared" si="283"/>
        <v/>
      </c>
      <c r="G1388">
        <f t="shared" si="284"/>
        <v>14.7243186582809</v>
      </c>
    </row>
    <row r="1389" spans="2:7">
      <c r="B1389" s="46"/>
      <c r="C1389" t="str">
        <f t="shared" si="280"/>
        <v/>
      </c>
      <c r="D1389" s="63" t="str">
        <f t="shared" si="281"/>
        <v/>
      </c>
      <c r="E1389" t="str">
        <f t="shared" si="282"/>
        <v/>
      </c>
      <c r="F1389">
        <f t="shared" si="283"/>
        <v>9.17630385487529</v>
      </c>
      <c r="G1389" t="str">
        <f t="shared" si="284"/>
        <v/>
      </c>
    </row>
    <row r="1390" spans="2:7">
      <c r="B1390" s="46"/>
      <c r="C1390" t="str">
        <f t="shared" si="280"/>
        <v/>
      </c>
      <c r="D1390" s="63" t="str">
        <f t="shared" si="281"/>
        <v/>
      </c>
      <c r="E1390" t="str">
        <f t="shared" si="282"/>
        <v/>
      </c>
      <c r="F1390">
        <f t="shared" si="283"/>
        <v>12.328231292517</v>
      </c>
      <c r="G1390" t="str">
        <f t="shared" si="284"/>
        <v/>
      </c>
    </row>
    <row r="1391" spans="2:7">
      <c r="B1391" s="46"/>
      <c r="C1391" t="str">
        <f t="shared" si="280"/>
        <v/>
      </c>
      <c r="D1391" s="63" t="str">
        <f t="shared" si="281"/>
        <v/>
      </c>
      <c r="E1391" t="str">
        <f t="shared" si="282"/>
        <v/>
      </c>
      <c r="F1391">
        <f t="shared" si="283"/>
        <v>15.0017006802721</v>
      </c>
      <c r="G1391" t="str">
        <f t="shared" si="284"/>
        <v/>
      </c>
    </row>
    <row r="1392" spans="2:7">
      <c r="B1392" s="46"/>
      <c r="C1392">
        <f t="shared" si="280"/>
        <v>10.328125</v>
      </c>
      <c r="D1392" s="63" t="str">
        <f t="shared" si="281"/>
        <v/>
      </c>
      <c r="E1392" t="str">
        <f t="shared" si="282"/>
        <v/>
      </c>
      <c r="F1392" t="str">
        <f t="shared" si="283"/>
        <v/>
      </c>
      <c r="G1392" t="str">
        <f t="shared" si="284"/>
        <v/>
      </c>
    </row>
    <row r="1393" spans="2:7">
      <c r="B1393" s="46"/>
      <c r="C1393">
        <f t="shared" si="280"/>
        <v>14.5908564814815</v>
      </c>
      <c r="D1393" s="63" t="str">
        <f t="shared" si="281"/>
        <v/>
      </c>
      <c r="E1393" t="str">
        <f t="shared" si="282"/>
        <v/>
      </c>
      <c r="F1393" t="str">
        <f t="shared" si="283"/>
        <v/>
      </c>
      <c r="G1393" t="str">
        <f t="shared" si="284"/>
        <v/>
      </c>
    </row>
    <row r="1394" spans="2:7">
      <c r="B1394" s="46"/>
      <c r="C1394">
        <f t="shared" si="280"/>
        <v>14.9409722222222</v>
      </c>
      <c r="D1394" s="63" t="str">
        <f t="shared" si="281"/>
        <v/>
      </c>
      <c r="E1394" t="str">
        <f t="shared" si="282"/>
        <v/>
      </c>
      <c r="F1394" t="str">
        <f t="shared" si="283"/>
        <v/>
      </c>
      <c r="G1394" t="str">
        <f t="shared" si="284"/>
        <v/>
      </c>
    </row>
    <row r="1395" spans="2:7">
      <c r="B1395" s="46"/>
      <c r="C1395">
        <f t="shared" si="280"/>
        <v>19.2465277777778</v>
      </c>
      <c r="D1395" s="63" t="str">
        <f t="shared" si="281"/>
        <v/>
      </c>
      <c r="E1395" t="str">
        <f t="shared" si="282"/>
        <v/>
      </c>
      <c r="F1395" t="str">
        <f t="shared" si="283"/>
        <v/>
      </c>
      <c r="G1395" t="str">
        <f t="shared" si="284"/>
        <v/>
      </c>
    </row>
    <row r="1396" spans="2:7">
      <c r="B1396" s="46"/>
      <c r="C1396" t="str">
        <f t="shared" si="280"/>
        <v/>
      </c>
      <c r="D1396" s="63">
        <f t="shared" si="281"/>
        <v>15.0340375586854</v>
      </c>
      <c r="E1396" t="str">
        <f t="shared" si="282"/>
        <v/>
      </c>
      <c r="F1396" t="str">
        <f t="shared" si="283"/>
        <v/>
      </c>
      <c r="G1396" t="str">
        <f t="shared" si="284"/>
        <v/>
      </c>
    </row>
    <row r="1397" spans="2:7">
      <c r="B1397" s="46"/>
      <c r="C1397" t="str">
        <f t="shared" si="280"/>
        <v/>
      </c>
      <c r="D1397" s="63">
        <f t="shared" si="281"/>
        <v>15.0340375586854</v>
      </c>
      <c r="E1397" t="str">
        <f t="shared" si="282"/>
        <v/>
      </c>
      <c r="F1397" t="str">
        <f t="shared" si="283"/>
        <v/>
      </c>
      <c r="G1397" t="str">
        <f t="shared" si="284"/>
        <v/>
      </c>
    </row>
    <row r="1398" spans="2:7">
      <c r="B1398" s="46"/>
      <c r="C1398" t="str">
        <f t="shared" si="280"/>
        <v/>
      </c>
      <c r="D1398" s="63">
        <f t="shared" si="281"/>
        <v>16.1343896713615</v>
      </c>
      <c r="E1398" t="str">
        <f t="shared" si="282"/>
        <v/>
      </c>
      <c r="F1398" t="str">
        <f t="shared" si="283"/>
        <v/>
      </c>
      <c r="G1398" t="str">
        <f t="shared" si="284"/>
        <v/>
      </c>
    </row>
    <row r="1399" spans="2:7">
      <c r="B1399" s="46"/>
      <c r="C1399" t="str">
        <f t="shared" si="280"/>
        <v/>
      </c>
      <c r="D1399" s="63">
        <f t="shared" si="281"/>
        <v>16.8620892018779</v>
      </c>
      <c r="E1399" t="str">
        <f t="shared" si="282"/>
        <v/>
      </c>
      <c r="F1399" t="str">
        <f t="shared" si="283"/>
        <v/>
      </c>
      <c r="G1399" t="str">
        <f t="shared" si="284"/>
        <v/>
      </c>
    </row>
    <row r="1400" spans="2:7">
      <c r="B1400" s="46"/>
      <c r="C1400" t="str">
        <f t="shared" si="280"/>
        <v/>
      </c>
      <c r="D1400" s="63" t="str">
        <f t="shared" si="281"/>
        <v/>
      </c>
      <c r="E1400">
        <f t="shared" si="282"/>
        <v>16.1245098039216</v>
      </c>
      <c r="F1400" t="str">
        <f t="shared" si="283"/>
        <v/>
      </c>
      <c r="G1400" t="str">
        <f t="shared" si="284"/>
        <v/>
      </c>
    </row>
    <row r="1401" spans="2:7">
      <c r="B1401" s="46"/>
      <c r="C1401" t="str">
        <f t="shared" si="280"/>
        <v/>
      </c>
      <c r="D1401" s="63" t="str">
        <f t="shared" si="281"/>
        <v/>
      </c>
      <c r="E1401">
        <f t="shared" si="282"/>
        <v>17.9225490196078</v>
      </c>
      <c r="F1401" t="str">
        <f t="shared" si="283"/>
        <v/>
      </c>
      <c r="G1401" t="str">
        <f t="shared" si="284"/>
        <v/>
      </c>
    </row>
    <row r="1402" spans="2:7">
      <c r="B1402" s="46"/>
      <c r="C1402" t="str">
        <f t="shared" si="280"/>
        <v/>
      </c>
      <c r="D1402" s="63" t="str">
        <f t="shared" si="281"/>
        <v/>
      </c>
      <c r="E1402">
        <f t="shared" si="282"/>
        <v>18.7166666666667</v>
      </c>
      <c r="F1402" t="str">
        <f t="shared" si="283"/>
        <v/>
      </c>
      <c r="G1402" t="str">
        <f t="shared" si="284"/>
        <v/>
      </c>
    </row>
    <row r="1403" spans="2:7">
      <c r="B1403" s="46"/>
      <c r="C1403" t="str">
        <f t="shared" si="280"/>
        <v/>
      </c>
      <c r="D1403" s="63" t="str">
        <f t="shared" si="281"/>
        <v/>
      </c>
      <c r="E1403">
        <f t="shared" si="282"/>
        <v>18.9539215686275</v>
      </c>
      <c r="F1403" t="str">
        <f t="shared" si="283"/>
        <v/>
      </c>
      <c r="G1403" t="str">
        <f t="shared" si="284"/>
        <v/>
      </c>
    </row>
    <row r="1404" spans="2:7">
      <c r="B1404" s="46"/>
      <c r="C1404" t="str">
        <f t="shared" si="280"/>
        <v/>
      </c>
      <c r="D1404" s="63" t="str">
        <f t="shared" si="281"/>
        <v/>
      </c>
      <c r="E1404" t="str">
        <f t="shared" si="282"/>
        <v/>
      </c>
      <c r="F1404" t="str">
        <f t="shared" si="283"/>
        <v/>
      </c>
      <c r="G1404">
        <f t="shared" si="284"/>
        <v>15.4449685534591</v>
      </c>
    </row>
    <row r="1405" spans="2:7">
      <c r="B1405" s="46"/>
      <c r="C1405" t="str">
        <f t="shared" si="280"/>
        <v/>
      </c>
      <c r="D1405" s="63" t="str">
        <f t="shared" si="281"/>
        <v/>
      </c>
      <c r="E1405" t="str">
        <f t="shared" si="282"/>
        <v/>
      </c>
      <c r="F1405" t="str">
        <f t="shared" si="283"/>
        <v/>
      </c>
      <c r="G1405">
        <f t="shared" si="284"/>
        <v>16.4669811320755</v>
      </c>
    </row>
    <row r="1406" spans="2:7">
      <c r="B1406" s="46"/>
      <c r="C1406" t="str">
        <f t="shared" si="280"/>
        <v/>
      </c>
      <c r="D1406" s="63" t="str">
        <f t="shared" si="281"/>
        <v/>
      </c>
      <c r="E1406" t="str">
        <f t="shared" si="282"/>
        <v/>
      </c>
      <c r="F1406" t="str">
        <f t="shared" si="283"/>
        <v/>
      </c>
      <c r="G1406">
        <f t="shared" si="284"/>
        <v>17.7877358490566</v>
      </c>
    </row>
    <row r="1407" spans="2:7">
      <c r="B1407" s="46"/>
      <c r="C1407" t="str">
        <f t="shared" si="280"/>
        <v/>
      </c>
      <c r="D1407" s="63" t="str">
        <f t="shared" si="281"/>
        <v/>
      </c>
      <c r="E1407" t="str">
        <f t="shared" si="282"/>
        <v/>
      </c>
      <c r="F1407" t="str">
        <f t="shared" si="283"/>
        <v/>
      </c>
      <c r="G1407">
        <f t="shared" si="284"/>
        <v>18.377358490566</v>
      </c>
    </row>
    <row r="1408" spans="2:7">
      <c r="B1408" s="46"/>
      <c r="C1408" t="str">
        <f t="shared" si="280"/>
        <v/>
      </c>
      <c r="D1408" s="63" t="str">
        <f t="shared" si="281"/>
        <v/>
      </c>
      <c r="E1408" t="str">
        <f t="shared" si="282"/>
        <v/>
      </c>
      <c r="F1408">
        <f t="shared" si="283"/>
        <v>15.4234693877551</v>
      </c>
      <c r="G1408" t="str">
        <f t="shared" si="284"/>
        <v/>
      </c>
    </row>
    <row r="1409" spans="2:7">
      <c r="B1409" s="46"/>
      <c r="C1409" t="str">
        <f t="shared" si="280"/>
        <v/>
      </c>
      <c r="D1409" s="63" t="str">
        <f t="shared" si="281"/>
        <v/>
      </c>
      <c r="E1409" t="str">
        <f t="shared" si="282"/>
        <v/>
      </c>
      <c r="F1409">
        <f t="shared" si="283"/>
        <v>16.7698412698413</v>
      </c>
      <c r="G1409" t="str">
        <f t="shared" si="284"/>
        <v/>
      </c>
    </row>
    <row r="1410" spans="2:7">
      <c r="B1410" s="46"/>
      <c r="C1410" t="str">
        <f t="shared" si="280"/>
        <v/>
      </c>
      <c r="D1410" s="63" t="str">
        <f t="shared" si="281"/>
        <v/>
      </c>
      <c r="E1410" t="str">
        <f t="shared" si="282"/>
        <v/>
      </c>
      <c r="F1410">
        <f t="shared" si="283"/>
        <v>18.109410430839</v>
      </c>
      <c r="G1410" t="str">
        <f t="shared" si="284"/>
        <v/>
      </c>
    </row>
    <row r="1411" ht="15.75" spans="2:7">
      <c r="B1411" s="46"/>
      <c r="C1411" t="str">
        <f t="shared" si="280"/>
        <v/>
      </c>
      <c r="D1411" s="63" t="str">
        <f t="shared" si="281"/>
        <v/>
      </c>
      <c r="E1411" t="str">
        <f t="shared" si="282"/>
        <v/>
      </c>
      <c r="F1411">
        <f t="shared" si="283"/>
        <v>20.1581632653061</v>
      </c>
      <c r="G1411" t="str">
        <f t="shared" si="284"/>
        <v/>
      </c>
    </row>
    <row r="1412" spans="2:7">
      <c r="B1412" s="74" t="s">
        <v>269</v>
      </c>
      <c r="C1412" s="75">
        <f>MAX(C1368:C1411)</f>
        <v>19.2465277777778</v>
      </c>
      <c r="D1412" s="75">
        <f t="shared" ref="D1412:G1412" si="285">MAX(D1368:D1411)</f>
        <v>16.8620892018779</v>
      </c>
      <c r="E1412" s="75">
        <f t="shared" si="285"/>
        <v>18.9539215686275</v>
      </c>
      <c r="F1412" s="75">
        <f t="shared" si="285"/>
        <v>20.1581632653061</v>
      </c>
      <c r="G1412" s="75">
        <f t="shared" si="285"/>
        <v>18.377358490566</v>
      </c>
    </row>
    <row r="1413" spans="2:7">
      <c r="B1413" s="76" t="s">
        <v>270</v>
      </c>
      <c r="C1413" s="77">
        <v>1</v>
      </c>
      <c r="D1413" s="78">
        <v>2</v>
      </c>
      <c r="E1413">
        <v>3</v>
      </c>
      <c r="F1413">
        <v>4</v>
      </c>
      <c r="G1413">
        <v>5</v>
      </c>
    </row>
    <row r="1414" spans="2:7">
      <c r="B1414" s="79" t="s">
        <v>271</v>
      </c>
      <c r="C1414" s="72">
        <f>HLOOKUP(MIN(C1412:G1412),C1412:G1413,2,FALSE)</f>
        <v>2</v>
      </c>
      <c r="D1414" s="80"/>
    </row>
    <row r="1418" ht="15.75" spans="2:7">
      <c r="B1418" s="43" t="s">
        <v>317</v>
      </c>
      <c r="C1418" s="44"/>
      <c r="D1418" s="45"/>
    </row>
    <row r="1419" spans="2:7">
      <c r="B1419" s="46"/>
      <c r="C1419" s="61" t="s">
        <v>264</v>
      </c>
      <c r="D1419" s="61" t="s">
        <v>265</v>
      </c>
      <c r="E1419" s="62" t="s">
        <v>286</v>
      </c>
      <c r="F1419" s="62" t="s">
        <v>287</v>
      </c>
      <c r="G1419" s="62" t="s">
        <v>288</v>
      </c>
    </row>
    <row r="1420" spans="2:7">
      <c r="B1420" s="46"/>
      <c r="C1420">
        <f t="shared" ref="C1420:C1464" si="286">IF(J8=1,S8,"")</f>
        <v>0.700231481481482</v>
      </c>
      <c r="D1420" s="63" t="str">
        <f t="shared" ref="D1420:D1464" si="287">IF(J8=2,S8,"")</f>
        <v/>
      </c>
      <c r="E1420" t="str">
        <f t="shared" ref="E1420:E1464" si="288">IF(J8=3,S8,"")</f>
        <v/>
      </c>
      <c r="F1420" t="str">
        <f t="shared" ref="F1420:F1464" si="289">IF(J8=4,S8,"")</f>
        <v/>
      </c>
      <c r="G1420" t="str">
        <f t="shared" ref="G1420:G1464" si="290">IF(J8=5,S8,"")</f>
        <v/>
      </c>
    </row>
    <row r="1421" spans="2:7">
      <c r="B1421" s="46"/>
      <c r="C1421" t="str">
        <f t="shared" si="286"/>
        <v/>
      </c>
      <c r="D1421" s="63">
        <f t="shared" si="287"/>
        <v>0.734154929577465</v>
      </c>
      <c r="E1421" t="str">
        <f t="shared" si="288"/>
        <v/>
      </c>
      <c r="F1421" t="str">
        <f t="shared" si="289"/>
        <v/>
      </c>
      <c r="G1421" t="str">
        <f t="shared" si="290"/>
        <v/>
      </c>
    </row>
    <row r="1422" spans="2:7">
      <c r="B1422" s="46"/>
      <c r="C1422" t="str">
        <f t="shared" si="286"/>
        <v/>
      </c>
      <c r="D1422" s="63" t="str">
        <f t="shared" si="287"/>
        <v/>
      </c>
      <c r="E1422">
        <f t="shared" si="288"/>
        <v>1.83823529411765</v>
      </c>
      <c r="F1422" t="str">
        <f t="shared" si="289"/>
        <v/>
      </c>
      <c r="G1422" t="str">
        <f t="shared" si="290"/>
        <v/>
      </c>
    </row>
    <row r="1423" spans="2:7">
      <c r="B1423" s="46"/>
      <c r="C1423" t="str">
        <f t="shared" si="286"/>
        <v/>
      </c>
      <c r="D1423" s="63" t="str">
        <f t="shared" si="287"/>
        <v/>
      </c>
      <c r="E1423" t="str">
        <f t="shared" si="288"/>
        <v/>
      </c>
      <c r="F1423">
        <f t="shared" si="289"/>
        <v>4.28571428571429</v>
      </c>
      <c r="G1423" t="str">
        <f t="shared" si="290"/>
        <v/>
      </c>
    </row>
    <row r="1424" spans="2:7">
      <c r="B1424" s="46"/>
      <c r="C1424" t="str">
        <f t="shared" si="286"/>
        <v/>
      </c>
      <c r="D1424" s="63" t="str">
        <f t="shared" si="287"/>
        <v/>
      </c>
      <c r="E1424" t="str">
        <f t="shared" si="288"/>
        <v/>
      </c>
      <c r="F1424" t="str">
        <f t="shared" si="289"/>
        <v/>
      </c>
      <c r="G1424">
        <f t="shared" si="290"/>
        <v>3.43396226415094</v>
      </c>
    </row>
    <row r="1425" spans="2:7">
      <c r="B1425" s="46"/>
      <c r="C1425" t="str">
        <f t="shared" si="286"/>
        <v/>
      </c>
      <c r="D1425" s="63" t="str">
        <f t="shared" si="287"/>
        <v/>
      </c>
      <c r="E1425">
        <f t="shared" si="288"/>
        <v>14.5833333333333</v>
      </c>
      <c r="F1425" t="str">
        <f t="shared" si="289"/>
        <v/>
      </c>
      <c r="G1425" t="str">
        <f t="shared" si="290"/>
        <v/>
      </c>
    </row>
    <row r="1426" spans="2:7">
      <c r="B1426" s="46"/>
      <c r="C1426" t="str">
        <f t="shared" si="286"/>
        <v/>
      </c>
      <c r="D1426" s="63" t="str">
        <f t="shared" si="287"/>
        <v/>
      </c>
      <c r="E1426" t="str">
        <f t="shared" si="288"/>
        <v/>
      </c>
      <c r="F1426">
        <f t="shared" si="289"/>
        <v>6.42857142857143</v>
      </c>
      <c r="G1426" t="str">
        <f t="shared" si="290"/>
        <v/>
      </c>
    </row>
    <row r="1427" spans="2:7">
      <c r="B1427" s="46"/>
      <c r="C1427" t="str">
        <f t="shared" si="286"/>
        <v/>
      </c>
      <c r="D1427" s="63" t="str">
        <f t="shared" si="287"/>
        <v/>
      </c>
      <c r="E1427" t="str">
        <f t="shared" si="288"/>
        <v/>
      </c>
      <c r="F1427" t="str">
        <f t="shared" si="289"/>
        <v/>
      </c>
      <c r="G1427">
        <f t="shared" si="290"/>
        <v>3.84591194968553</v>
      </c>
    </row>
    <row r="1428" spans="2:7">
      <c r="B1428" s="46"/>
      <c r="C1428">
        <f t="shared" si="286"/>
        <v>0.844907407407407</v>
      </c>
      <c r="D1428" s="63" t="str">
        <f t="shared" si="287"/>
        <v/>
      </c>
      <c r="E1428" t="str">
        <f t="shared" si="288"/>
        <v/>
      </c>
      <c r="F1428" t="str">
        <f t="shared" si="289"/>
        <v/>
      </c>
      <c r="G1428" t="str">
        <f t="shared" si="290"/>
        <v/>
      </c>
    </row>
    <row r="1429" spans="2:7">
      <c r="B1429" s="46"/>
      <c r="C1429">
        <f t="shared" si="286"/>
        <v>6.79803240740741</v>
      </c>
      <c r="D1429" s="63" t="str">
        <f t="shared" si="287"/>
        <v/>
      </c>
      <c r="E1429" t="str">
        <f t="shared" si="288"/>
        <v/>
      </c>
      <c r="F1429" t="str">
        <f t="shared" si="289"/>
        <v/>
      </c>
      <c r="G1429" t="str">
        <f t="shared" si="290"/>
        <v/>
      </c>
    </row>
    <row r="1430" spans="2:7">
      <c r="B1430" s="46"/>
      <c r="C1430">
        <f t="shared" si="286"/>
        <v>6.79803240740741</v>
      </c>
      <c r="D1430" s="63" t="str">
        <f t="shared" si="287"/>
        <v/>
      </c>
      <c r="E1430" t="str">
        <f t="shared" si="288"/>
        <v/>
      </c>
      <c r="F1430" t="str">
        <f t="shared" si="289"/>
        <v/>
      </c>
      <c r="G1430" t="str">
        <f t="shared" si="290"/>
        <v/>
      </c>
    </row>
    <row r="1431" spans="2:7">
      <c r="B1431" s="46"/>
      <c r="C1431">
        <f t="shared" si="286"/>
        <v>7.52719907407408</v>
      </c>
      <c r="D1431" s="63" t="str">
        <f t="shared" si="287"/>
        <v/>
      </c>
      <c r="E1431" t="str">
        <f t="shared" si="288"/>
        <v/>
      </c>
      <c r="F1431" t="str">
        <f t="shared" si="289"/>
        <v/>
      </c>
      <c r="G1431" t="str">
        <f t="shared" si="290"/>
        <v/>
      </c>
    </row>
    <row r="1432" spans="2:7">
      <c r="B1432" s="46"/>
      <c r="C1432" t="str">
        <f t="shared" si="286"/>
        <v/>
      </c>
      <c r="D1432" s="63">
        <f t="shared" si="287"/>
        <v>2.7881455399061</v>
      </c>
      <c r="E1432" t="str">
        <f t="shared" si="288"/>
        <v/>
      </c>
      <c r="F1432" t="str">
        <f t="shared" si="289"/>
        <v/>
      </c>
      <c r="G1432" t="str">
        <f t="shared" si="290"/>
        <v/>
      </c>
    </row>
    <row r="1433" spans="2:7">
      <c r="B1433" s="46"/>
      <c r="C1433" t="str">
        <f t="shared" si="286"/>
        <v/>
      </c>
      <c r="D1433" s="63">
        <f t="shared" si="287"/>
        <v>4.47535211267606</v>
      </c>
      <c r="E1433" t="str">
        <f t="shared" si="288"/>
        <v/>
      </c>
      <c r="F1433" t="str">
        <f t="shared" si="289"/>
        <v/>
      </c>
      <c r="G1433" t="str">
        <f t="shared" si="290"/>
        <v/>
      </c>
    </row>
    <row r="1434" spans="2:7">
      <c r="B1434" s="46"/>
      <c r="C1434" t="str">
        <f t="shared" si="286"/>
        <v/>
      </c>
      <c r="D1434" s="63">
        <f t="shared" si="287"/>
        <v>6.10680751173709</v>
      </c>
      <c r="E1434" t="str">
        <f t="shared" si="288"/>
        <v/>
      </c>
      <c r="F1434" t="str">
        <f t="shared" si="289"/>
        <v/>
      </c>
      <c r="G1434" t="str">
        <f t="shared" si="290"/>
        <v/>
      </c>
    </row>
    <row r="1435" spans="2:7">
      <c r="B1435" s="46"/>
      <c r="C1435" t="str">
        <f t="shared" si="286"/>
        <v/>
      </c>
      <c r="D1435" s="63">
        <f t="shared" si="287"/>
        <v>8.50821596244131</v>
      </c>
      <c r="E1435" t="str">
        <f t="shared" si="288"/>
        <v/>
      </c>
      <c r="F1435" t="str">
        <f t="shared" si="289"/>
        <v/>
      </c>
      <c r="G1435" t="str">
        <f t="shared" si="290"/>
        <v/>
      </c>
    </row>
    <row r="1436" spans="2:7">
      <c r="B1436" s="46"/>
      <c r="C1436" t="str">
        <f t="shared" si="286"/>
        <v/>
      </c>
      <c r="D1436" s="63">
        <f t="shared" si="287"/>
        <v>10.268779342723</v>
      </c>
      <c r="E1436" t="str">
        <f t="shared" si="288"/>
        <v/>
      </c>
      <c r="F1436" t="str">
        <f t="shared" si="289"/>
        <v/>
      </c>
      <c r="G1436" t="str">
        <f t="shared" si="290"/>
        <v/>
      </c>
    </row>
    <row r="1437" spans="2:7">
      <c r="B1437" s="46"/>
      <c r="C1437" t="str">
        <f t="shared" si="286"/>
        <v/>
      </c>
      <c r="D1437" s="63" t="str">
        <f t="shared" si="287"/>
        <v/>
      </c>
      <c r="E1437" t="str">
        <f t="shared" si="288"/>
        <v/>
      </c>
      <c r="F1437" t="str">
        <f t="shared" si="289"/>
        <v/>
      </c>
      <c r="G1437">
        <f t="shared" si="290"/>
        <v>7.67610062893082</v>
      </c>
    </row>
    <row r="1438" spans="2:7">
      <c r="B1438" s="46"/>
      <c r="C1438" t="str">
        <f t="shared" si="286"/>
        <v/>
      </c>
      <c r="D1438" s="63" t="str">
        <f t="shared" si="287"/>
        <v/>
      </c>
      <c r="E1438" t="str">
        <f t="shared" si="288"/>
        <v/>
      </c>
      <c r="F1438" t="str">
        <f t="shared" si="289"/>
        <v/>
      </c>
      <c r="G1438">
        <f t="shared" si="290"/>
        <v>10.3836477987421</v>
      </c>
    </row>
    <row r="1439" spans="2:7">
      <c r="B1439" s="46"/>
      <c r="C1439" t="str">
        <f t="shared" si="286"/>
        <v/>
      </c>
      <c r="D1439" s="63" t="str">
        <f t="shared" si="287"/>
        <v/>
      </c>
      <c r="E1439" t="str">
        <f t="shared" si="288"/>
        <v/>
      </c>
      <c r="F1439" t="str">
        <f t="shared" si="289"/>
        <v/>
      </c>
      <c r="G1439">
        <f t="shared" si="290"/>
        <v>13.2138364779874</v>
      </c>
    </row>
    <row r="1440" spans="2:7">
      <c r="B1440" s="46"/>
      <c r="C1440" t="str">
        <f t="shared" si="286"/>
        <v/>
      </c>
      <c r="D1440" s="63" t="str">
        <f t="shared" si="287"/>
        <v/>
      </c>
      <c r="E1440" t="str">
        <f t="shared" si="288"/>
        <v/>
      </c>
      <c r="F1440" t="str">
        <f t="shared" si="289"/>
        <v/>
      </c>
      <c r="G1440">
        <f t="shared" si="290"/>
        <v>14.7243186582809</v>
      </c>
    </row>
    <row r="1441" spans="2:7">
      <c r="B1441" s="46"/>
      <c r="C1441" t="str">
        <f t="shared" si="286"/>
        <v/>
      </c>
      <c r="D1441" s="63" t="str">
        <f t="shared" si="287"/>
        <v/>
      </c>
      <c r="E1441" t="str">
        <f t="shared" si="288"/>
        <v/>
      </c>
      <c r="F1441">
        <f t="shared" si="289"/>
        <v>9.17630385487529</v>
      </c>
      <c r="G1441" t="str">
        <f t="shared" si="290"/>
        <v/>
      </c>
    </row>
    <row r="1442" spans="2:7">
      <c r="B1442" s="46"/>
      <c r="C1442" t="str">
        <f t="shared" si="286"/>
        <v/>
      </c>
      <c r="D1442" s="63" t="str">
        <f t="shared" si="287"/>
        <v/>
      </c>
      <c r="E1442" t="str">
        <f t="shared" si="288"/>
        <v/>
      </c>
      <c r="F1442">
        <f t="shared" si="289"/>
        <v>12.328231292517</v>
      </c>
      <c r="G1442" t="str">
        <f t="shared" si="290"/>
        <v/>
      </c>
    </row>
    <row r="1443" spans="2:7">
      <c r="B1443" s="46"/>
      <c r="C1443" t="str">
        <f t="shared" si="286"/>
        <v/>
      </c>
      <c r="D1443" s="63" t="str">
        <f t="shared" si="287"/>
        <v/>
      </c>
      <c r="E1443" t="str">
        <f t="shared" si="288"/>
        <v/>
      </c>
      <c r="F1443">
        <f t="shared" si="289"/>
        <v>15.0017006802721</v>
      </c>
      <c r="G1443" t="str">
        <f t="shared" si="290"/>
        <v/>
      </c>
    </row>
    <row r="1444" spans="2:7">
      <c r="B1444" s="46"/>
      <c r="C1444">
        <f t="shared" si="286"/>
        <v>10.328125</v>
      </c>
      <c r="D1444" s="63" t="str">
        <f t="shared" si="287"/>
        <v/>
      </c>
      <c r="E1444" t="str">
        <f t="shared" si="288"/>
        <v/>
      </c>
      <c r="F1444" t="str">
        <f t="shared" si="289"/>
        <v/>
      </c>
      <c r="G1444" t="str">
        <f t="shared" si="290"/>
        <v/>
      </c>
    </row>
    <row r="1445" spans="2:7">
      <c r="B1445" s="46"/>
      <c r="C1445">
        <f t="shared" si="286"/>
        <v>14.5908564814815</v>
      </c>
      <c r="D1445" s="63" t="str">
        <f t="shared" si="287"/>
        <v/>
      </c>
      <c r="E1445" t="str">
        <f t="shared" si="288"/>
        <v/>
      </c>
      <c r="F1445" t="str">
        <f t="shared" si="289"/>
        <v/>
      </c>
      <c r="G1445" t="str">
        <f t="shared" si="290"/>
        <v/>
      </c>
    </row>
    <row r="1446" spans="2:7">
      <c r="B1446" s="46"/>
      <c r="C1446">
        <f t="shared" si="286"/>
        <v>14.9409722222222</v>
      </c>
      <c r="D1446" s="63" t="str">
        <f t="shared" si="287"/>
        <v/>
      </c>
      <c r="E1446" t="str">
        <f t="shared" si="288"/>
        <v/>
      </c>
      <c r="F1446" t="str">
        <f t="shared" si="289"/>
        <v/>
      </c>
      <c r="G1446" t="str">
        <f t="shared" si="290"/>
        <v/>
      </c>
    </row>
    <row r="1447" spans="2:7">
      <c r="B1447" s="46"/>
      <c r="C1447">
        <f t="shared" si="286"/>
        <v>19.2465277777778</v>
      </c>
      <c r="D1447" s="63" t="str">
        <f t="shared" si="287"/>
        <v/>
      </c>
      <c r="E1447" t="str">
        <f t="shared" si="288"/>
        <v/>
      </c>
      <c r="F1447" t="str">
        <f t="shared" si="289"/>
        <v/>
      </c>
      <c r="G1447" t="str">
        <f t="shared" si="290"/>
        <v/>
      </c>
    </row>
    <row r="1448" spans="2:7">
      <c r="B1448" s="46"/>
      <c r="C1448" t="str">
        <f t="shared" si="286"/>
        <v/>
      </c>
      <c r="D1448" s="63">
        <f t="shared" si="287"/>
        <v>15.0340375586854</v>
      </c>
      <c r="E1448" t="str">
        <f t="shared" si="288"/>
        <v/>
      </c>
      <c r="F1448" t="str">
        <f t="shared" si="289"/>
        <v/>
      </c>
      <c r="G1448" t="str">
        <f t="shared" si="290"/>
        <v/>
      </c>
    </row>
    <row r="1449" spans="2:7">
      <c r="B1449" s="46"/>
      <c r="C1449" t="str">
        <f t="shared" si="286"/>
        <v/>
      </c>
      <c r="D1449" s="63">
        <f t="shared" si="287"/>
        <v>15.0340375586854</v>
      </c>
      <c r="E1449" t="str">
        <f t="shared" si="288"/>
        <v/>
      </c>
      <c r="F1449" t="str">
        <f t="shared" si="289"/>
        <v/>
      </c>
      <c r="G1449" t="str">
        <f t="shared" si="290"/>
        <v/>
      </c>
    </row>
    <row r="1450" spans="2:7">
      <c r="B1450" s="46"/>
      <c r="C1450" t="str">
        <f t="shared" si="286"/>
        <v/>
      </c>
      <c r="D1450" s="63">
        <f t="shared" si="287"/>
        <v>16.1343896713615</v>
      </c>
      <c r="E1450" t="str">
        <f t="shared" si="288"/>
        <v/>
      </c>
      <c r="F1450" t="str">
        <f t="shared" si="289"/>
        <v/>
      </c>
      <c r="G1450" t="str">
        <f t="shared" si="290"/>
        <v/>
      </c>
    </row>
    <row r="1451" spans="2:7">
      <c r="B1451" s="46"/>
      <c r="C1451" t="str">
        <f t="shared" si="286"/>
        <v/>
      </c>
      <c r="D1451" s="63">
        <f t="shared" si="287"/>
        <v>16.8620892018779</v>
      </c>
      <c r="E1451" t="str">
        <f t="shared" si="288"/>
        <v/>
      </c>
      <c r="F1451" t="str">
        <f t="shared" si="289"/>
        <v/>
      </c>
      <c r="G1451" t="str">
        <f t="shared" si="290"/>
        <v/>
      </c>
    </row>
    <row r="1452" spans="2:7">
      <c r="B1452" s="46"/>
      <c r="C1452" t="str">
        <f t="shared" si="286"/>
        <v/>
      </c>
      <c r="D1452" s="63" t="str">
        <f t="shared" si="287"/>
        <v/>
      </c>
      <c r="E1452">
        <f t="shared" si="288"/>
        <v>16.1245098039216</v>
      </c>
      <c r="F1452" t="str">
        <f t="shared" si="289"/>
        <v/>
      </c>
      <c r="G1452" t="str">
        <f t="shared" si="290"/>
        <v/>
      </c>
    </row>
    <row r="1453" spans="2:7">
      <c r="B1453" s="46"/>
      <c r="C1453" t="str">
        <f t="shared" si="286"/>
        <v/>
      </c>
      <c r="D1453" s="63" t="str">
        <f t="shared" si="287"/>
        <v/>
      </c>
      <c r="E1453">
        <f t="shared" si="288"/>
        <v>17.9225490196078</v>
      </c>
      <c r="F1453" t="str">
        <f t="shared" si="289"/>
        <v/>
      </c>
      <c r="G1453" t="str">
        <f t="shared" si="290"/>
        <v/>
      </c>
    </row>
    <row r="1454" spans="2:7">
      <c r="B1454" s="46"/>
      <c r="C1454" t="str">
        <f t="shared" si="286"/>
        <v/>
      </c>
      <c r="D1454" s="63" t="str">
        <f t="shared" si="287"/>
        <v/>
      </c>
      <c r="E1454">
        <f t="shared" si="288"/>
        <v>18.7166666666667</v>
      </c>
      <c r="F1454" t="str">
        <f t="shared" si="289"/>
        <v/>
      </c>
      <c r="G1454" t="str">
        <f t="shared" si="290"/>
        <v/>
      </c>
    </row>
    <row r="1455" spans="2:7">
      <c r="B1455" s="46"/>
      <c r="C1455" t="str">
        <f t="shared" si="286"/>
        <v/>
      </c>
      <c r="D1455" s="63" t="str">
        <f t="shared" si="287"/>
        <v/>
      </c>
      <c r="E1455">
        <f t="shared" si="288"/>
        <v>18.9539215686275</v>
      </c>
      <c r="F1455" t="str">
        <f t="shared" si="289"/>
        <v/>
      </c>
      <c r="G1455" t="str">
        <f t="shared" si="290"/>
        <v/>
      </c>
    </row>
    <row r="1456" spans="2:7">
      <c r="B1456" s="46"/>
      <c r="C1456" t="str">
        <f t="shared" si="286"/>
        <v/>
      </c>
      <c r="D1456" s="63" t="str">
        <f t="shared" si="287"/>
        <v/>
      </c>
      <c r="E1456" t="str">
        <f t="shared" si="288"/>
        <v/>
      </c>
      <c r="F1456" t="str">
        <f t="shared" si="289"/>
        <v/>
      </c>
      <c r="G1456">
        <f t="shared" si="290"/>
        <v>15.4449685534591</v>
      </c>
    </row>
    <row r="1457" spans="2:7">
      <c r="B1457" s="46"/>
      <c r="C1457" t="str">
        <f t="shared" si="286"/>
        <v/>
      </c>
      <c r="D1457" s="63" t="str">
        <f t="shared" si="287"/>
        <v/>
      </c>
      <c r="E1457" t="str">
        <f t="shared" si="288"/>
        <v/>
      </c>
      <c r="F1457" t="str">
        <f t="shared" si="289"/>
        <v/>
      </c>
      <c r="G1457">
        <f t="shared" si="290"/>
        <v>16.4669811320755</v>
      </c>
    </row>
    <row r="1458" spans="2:7">
      <c r="B1458" s="46"/>
      <c r="C1458" t="str">
        <f t="shared" si="286"/>
        <v/>
      </c>
      <c r="D1458" s="63" t="str">
        <f t="shared" si="287"/>
        <v/>
      </c>
      <c r="E1458" t="str">
        <f t="shared" si="288"/>
        <v/>
      </c>
      <c r="F1458" t="str">
        <f t="shared" si="289"/>
        <v/>
      </c>
      <c r="G1458">
        <f t="shared" si="290"/>
        <v>17.7877358490566</v>
      </c>
    </row>
    <row r="1459" spans="2:7">
      <c r="B1459" s="46"/>
      <c r="C1459" t="str">
        <f t="shared" si="286"/>
        <v/>
      </c>
      <c r="D1459" s="63" t="str">
        <f t="shared" si="287"/>
        <v/>
      </c>
      <c r="E1459" t="str">
        <f t="shared" si="288"/>
        <v/>
      </c>
      <c r="F1459" t="str">
        <f t="shared" si="289"/>
        <v/>
      </c>
      <c r="G1459">
        <f t="shared" si="290"/>
        <v>18.377358490566</v>
      </c>
    </row>
    <row r="1460" spans="2:7">
      <c r="B1460" s="46"/>
      <c r="C1460" t="str">
        <f t="shared" si="286"/>
        <v/>
      </c>
      <c r="D1460" s="63" t="str">
        <f t="shared" si="287"/>
        <v/>
      </c>
      <c r="E1460" t="str">
        <f t="shared" si="288"/>
        <v/>
      </c>
      <c r="F1460">
        <f t="shared" si="289"/>
        <v>15.4234693877551</v>
      </c>
      <c r="G1460" t="str">
        <f t="shared" si="290"/>
        <v/>
      </c>
    </row>
    <row r="1461" spans="2:7">
      <c r="B1461" s="46"/>
      <c r="C1461" t="str">
        <f t="shared" si="286"/>
        <v/>
      </c>
      <c r="D1461" s="63" t="str">
        <f t="shared" si="287"/>
        <v/>
      </c>
      <c r="E1461" t="str">
        <f t="shared" si="288"/>
        <v/>
      </c>
      <c r="F1461">
        <f t="shared" si="289"/>
        <v>16.7698412698413</v>
      </c>
      <c r="G1461" t="str">
        <f t="shared" si="290"/>
        <v/>
      </c>
    </row>
    <row r="1462" spans="2:7">
      <c r="B1462" s="46"/>
      <c r="C1462" t="str">
        <f t="shared" si="286"/>
        <v/>
      </c>
      <c r="D1462" s="63" t="str">
        <f t="shared" si="287"/>
        <v/>
      </c>
      <c r="E1462" t="str">
        <f t="shared" si="288"/>
        <v/>
      </c>
      <c r="F1462">
        <f t="shared" si="289"/>
        <v>18.109410430839</v>
      </c>
      <c r="G1462" t="str">
        <f t="shared" si="290"/>
        <v/>
      </c>
    </row>
    <row r="1463" spans="2:7">
      <c r="B1463" s="46"/>
      <c r="C1463" t="str">
        <f t="shared" si="286"/>
        <v/>
      </c>
      <c r="D1463" s="63" t="str">
        <f t="shared" si="287"/>
        <v/>
      </c>
      <c r="E1463" t="str">
        <f t="shared" si="288"/>
        <v/>
      </c>
      <c r="F1463">
        <f t="shared" si="289"/>
        <v>20.1581632653061</v>
      </c>
      <c r="G1463" t="str">
        <f t="shared" si="290"/>
        <v/>
      </c>
    </row>
    <row r="1464" ht="15.75" spans="2:7">
      <c r="B1464" s="46"/>
      <c r="C1464" t="str">
        <f t="shared" si="286"/>
        <v/>
      </c>
      <c r="D1464" s="63" t="str">
        <f t="shared" si="287"/>
        <v/>
      </c>
      <c r="E1464" t="str">
        <f t="shared" si="288"/>
        <v/>
      </c>
      <c r="F1464">
        <f t="shared" si="289"/>
        <v>22.1581632653061</v>
      </c>
      <c r="G1464" t="str">
        <f t="shared" si="290"/>
        <v/>
      </c>
    </row>
    <row r="1465" ht="15.75" spans="2:7">
      <c r="B1465" s="74" t="s">
        <v>269</v>
      </c>
      <c r="C1465" s="75">
        <f>MAX(C1420:C1464)</f>
        <v>19.2465277777778</v>
      </c>
      <c r="D1465" s="75">
        <f t="shared" ref="D1465:G1465" si="291">MAX(D1420:D1464)</f>
        <v>16.8620892018779</v>
      </c>
      <c r="E1465" s="75">
        <f t="shared" si="291"/>
        <v>18.9539215686275</v>
      </c>
      <c r="F1465" s="75">
        <f t="shared" si="291"/>
        <v>22.1581632653061</v>
      </c>
      <c r="G1465" s="75">
        <f t="shared" si="291"/>
        <v>18.377358490566</v>
      </c>
    </row>
    <row r="1466" spans="2:7">
      <c r="B1466" s="76" t="s">
        <v>270</v>
      </c>
      <c r="C1466" s="77">
        <v>1</v>
      </c>
      <c r="D1466" s="78">
        <v>2</v>
      </c>
      <c r="E1466" s="75">
        <v>3</v>
      </c>
      <c r="F1466">
        <v>4</v>
      </c>
      <c r="G1466">
        <v>5</v>
      </c>
    </row>
    <row r="1467" spans="2:7">
      <c r="B1467" s="79" t="s">
        <v>271</v>
      </c>
      <c r="C1467" s="72">
        <f>HLOOKUP(MIN(C1465:G1465),C1465:G1466,2,FALSE)</f>
        <v>2</v>
      </c>
      <c r="D1467" s="71"/>
      <c r="E1467" s="81"/>
    </row>
    <row r="1470" ht="15.75" spans="2:7">
      <c r="B1470" s="43" t="s">
        <v>318</v>
      </c>
      <c r="C1470" s="44"/>
      <c r="D1470" s="45"/>
    </row>
    <row r="1471" spans="2:7">
      <c r="B1471" s="46"/>
      <c r="C1471" s="61" t="s">
        <v>264</v>
      </c>
      <c r="D1471" s="61" t="s">
        <v>265</v>
      </c>
      <c r="E1471" s="62" t="s">
        <v>286</v>
      </c>
      <c r="F1471" s="62" t="s">
        <v>287</v>
      </c>
      <c r="G1471" s="62" t="s">
        <v>288</v>
      </c>
    </row>
    <row r="1472" spans="2:7">
      <c r="B1472" s="46"/>
      <c r="C1472">
        <f t="shared" ref="C1472:C1517" si="292">IF(J8=1,S8,"")</f>
        <v>0.700231481481482</v>
      </c>
      <c r="D1472" s="63" t="str">
        <f t="shared" ref="D1472:D1517" si="293">IF(J8=2,S8,"")</f>
        <v/>
      </c>
      <c r="E1472" t="str">
        <f t="shared" ref="E1472:E1517" si="294">IF(J8=3,S8,"")</f>
        <v/>
      </c>
      <c r="F1472" t="str">
        <f t="shared" ref="F1472:F1517" si="295">IF(J8=4,S8,"")</f>
        <v/>
      </c>
      <c r="G1472" t="str">
        <f t="shared" ref="G1472:G1517" si="296">IF(J8=5,S8,"")</f>
        <v/>
      </c>
    </row>
    <row r="1473" spans="2:7">
      <c r="B1473" s="46"/>
      <c r="C1473" t="str">
        <f t="shared" si="292"/>
        <v/>
      </c>
      <c r="D1473" s="63">
        <f t="shared" si="293"/>
        <v>0.734154929577465</v>
      </c>
      <c r="E1473" t="str">
        <f t="shared" si="294"/>
        <v/>
      </c>
      <c r="F1473" t="str">
        <f t="shared" si="295"/>
        <v/>
      </c>
      <c r="G1473" t="str">
        <f t="shared" si="296"/>
        <v/>
      </c>
    </row>
    <row r="1474" spans="2:7">
      <c r="B1474" s="46"/>
      <c r="C1474" t="str">
        <f t="shared" si="292"/>
        <v/>
      </c>
      <c r="D1474" s="63" t="str">
        <f t="shared" si="293"/>
        <v/>
      </c>
      <c r="E1474">
        <f t="shared" si="294"/>
        <v>1.83823529411765</v>
      </c>
      <c r="F1474" t="str">
        <f t="shared" si="295"/>
        <v/>
      </c>
      <c r="G1474" t="str">
        <f t="shared" si="296"/>
        <v/>
      </c>
    </row>
    <row r="1475" spans="2:7">
      <c r="B1475" s="46"/>
      <c r="C1475" t="str">
        <f t="shared" si="292"/>
        <v/>
      </c>
      <c r="D1475" s="63" t="str">
        <f t="shared" si="293"/>
        <v/>
      </c>
      <c r="E1475" t="str">
        <f t="shared" si="294"/>
        <v/>
      </c>
      <c r="F1475">
        <f t="shared" si="295"/>
        <v>4.28571428571429</v>
      </c>
      <c r="G1475" t="str">
        <f t="shared" si="296"/>
        <v/>
      </c>
    </row>
    <row r="1476" spans="2:7">
      <c r="B1476" s="46"/>
      <c r="C1476" t="str">
        <f t="shared" si="292"/>
        <v/>
      </c>
      <c r="D1476" s="63" t="str">
        <f t="shared" si="293"/>
        <v/>
      </c>
      <c r="E1476" t="str">
        <f t="shared" si="294"/>
        <v/>
      </c>
      <c r="F1476" t="str">
        <f t="shared" si="295"/>
        <v/>
      </c>
      <c r="G1476">
        <f t="shared" si="296"/>
        <v>3.43396226415094</v>
      </c>
    </row>
    <row r="1477" spans="2:7">
      <c r="B1477" s="46"/>
      <c r="C1477" t="str">
        <f t="shared" si="292"/>
        <v/>
      </c>
      <c r="D1477" s="63" t="str">
        <f t="shared" si="293"/>
        <v/>
      </c>
      <c r="E1477">
        <f t="shared" si="294"/>
        <v>14.5833333333333</v>
      </c>
      <c r="F1477" t="str">
        <f t="shared" si="295"/>
        <v/>
      </c>
      <c r="G1477" t="str">
        <f t="shared" si="296"/>
        <v/>
      </c>
    </row>
    <row r="1478" spans="2:7">
      <c r="B1478" s="46"/>
      <c r="C1478" t="str">
        <f t="shared" si="292"/>
        <v/>
      </c>
      <c r="D1478" s="63" t="str">
        <f t="shared" si="293"/>
        <v/>
      </c>
      <c r="E1478" t="str">
        <f t="shared" si="294"/>
        <v/>
      </c>
      <c r="F1478">
        <f t="shared" si="295"/>
        <v>6.42857142857143</v>
      </c>
      <c r="G1478" t="str">
        <f t="shared" si="296"/>
        <v/>
      </c>
    </row>
    <row r="1479" spans="2:7">
      <c r="B1479" s="46"/>
      <c r="C1479" t="str">
        <f t="shared" si="292"/>
        <v/>
      </c>
      <c r="D1479" s="63" t="str">
        <f t="shared" si="293"/>
        <v/>
      </c>
      <c r="E1479" t="str">
        <f t="shared" si="294"/>
        <v/>
      </c>
      <c r="F1479" t="str">
        <f t="shared" si="295"/>
        <v/>
      </c>
      <c r="G1479">
        <f t="shared" si="296"/>
        <v>3.84591194968553</v>
      </c>
    </row>
    <row r="1480" spans="2:7">
      <c r="B1480" s="46"/>
      <c r="C1480">
        <f t="shared" si="292"/>
        <v>0.844907407407407</v>
      </c>
      <c r="D1480" s="63" t="str">
        <f t="shared" si="293"/>
        <v/>
      </c>
      <c r="E1480" t="str">
        <f t="shared" si="294"/>
        <v/>
      </c>
      <c r="F1480" t="str">
        <f t="shared" si="295"/>
        <v/>
      </c>
      <c r="G1480" t="str">
        <f t="shared" si="296"/>
        <v/>
      </c>
    </row>
    <row r="1481" spans="2:7">
      <c r="B1481" s="46"/>
      <c r="C1481">
        <f t="shared" si="292"/>
        <v>6.79803240740741</v>
      </c>
      <c r="D1481" s="63" t="str">
        <f t="shared" si="293"/>
        <v/>
      </c>
      <c r="E1481" t="str">
        <f t="shared" si="294"/>
        <v/>
      </c>
      <c r="F1481" t="str">
        <f t="shared" si="295"/>
        <v/>
      </c>
      <c r="G1481" t="str">
        <f t="shared" si="296"/>
        <v/>
      </c>
    </row>
    <row r="1482" spans="2:7">
      <c r="B1482" s="46"/>
      <c r="C1482">
        <f t="shared" si="292"/>
        <v>6.79803240740741</v>
      </c>
      <c r="D1482" s="63" t="str">
        <f t="shared" si="293"/>
        <v/>
      </c>
      <c r="E1482" t="str">
        <f t="shared" si="294"/>
        <v/>
      </c>
      <c r="F1482" t="str">
        <f t="shared" si="295"/>
        <v/>
      </c>
      <c r="G1482" t="str">
        <f t="shared" si="296"/>
        <v/>
      </c>
    </row>
    <row r="1483" spans="2:7">
      <c r="B1483" s="46"/>
      <c r="C1483">
        <f t="shared" si="292"/>
        <v>7.52719907407408</v>
      </c>
      <c r="D1483" s="63" t="str">
        <f t="shared" si="293"/>
        <v/>
      </c>
      <c r="E1483" t="str">
        <f t="shared" si="294"/>
        <v/>
      </c>
      <c r="F1483" t="str">
        <f t="shared" si="295"/>
        <v/>
      </c>
      <c r="G1483" t="str">
        <f t="shared" si="296"/>
        <v/>
      </c>
    </row>
    <row r="1484" spans="2:7">
      <c r="B1484" s="46"/>
      <c r="C1484" t="str">
        <f t="shared" si="292"/>
        <v/>
      </c>
      <c r="D1484" s="63">
        <f t="shared" si="293"/>
        <v>2.7881455399061</v>
      </c>
      <c r="E1484" t="str">
        <f t="shared" si="294"/>
        <v/>
      </c>
      <c r="F1484" t="str">
        <f t="shared" si="295"/>
        <v/>
      </c>
      <c r="G1484" t="str">
        <f t="shared" si="296"/>
        <v/>
      </c>
    </row>
    <row r="1485" spans="2:7">
      <c r="B1485" s="46"/>
      <c r="C1485" t="str">
        <f t="shared" si="292"/>
        <v/>
      </c>
      <c r="D1485" s="63">
        <f t="shared" si="293"/>
        <v>4.47535211267606</v>
      </c>
      <c r="E1485" t="str">
        <f t="shared" si="294"/>
        <v/>
      </c>
      <c r="F1485" t="str">
        <f t="shared" si="295"/>
        <v/>
      </c>
      <c r="G1485" t="str">
        <f t="shared" si="296"/>
        <v/>
      </c>
    </row>
    <row r="1486" spans="2:7">
      <c r="B1486" s="46"/>
      <c r="C1486" t="str">
        <f t="shared" si="292"/>
        <v/>
      </c>
      <c r="D1486" s="63">
        <f t="shared" si="293"/>
        <v>6.10680751173709</v>
      </c>
      <c r="E1486" t="str">
        <f t="shared" si="294"/>
        <v/>
      </c>
      <c r="F1486" t="str">
        <f t="shared" si="295"/>
        <v/>
      </c>
      <c r="G1486" t="str">
        <f t="shared" si="296"/>
        <v/>
      </c>
    </row>
    <row r="1487" spans="2:7">
      <c r="B1487" s="46"/>
      <c r="C1487" t="str">
        <f t="shared" si="292"/>
        <v/>
      </c>
      <c r="D1487" s="63">
        <f t="shared" si="293"/>
        <v>8.50821596244131</v>
      </c>
      <c r="E1487" t="str">
        <f t="shared" si="294"/>
        <v/>
      </c>
      <c r="F1487" t="str">
        <f t="shared" si="295"/>
        <v/>
      </c>
      <c r="G1487" t="str">
        <f t="shared" si="296"/>
        <v/>
      </c>
    </row>
    <row r="1488" spans="2:7">
      <c r="B1488" s="46"/>
      <c r="C1488" t="str">
        <f t="shared" si="292"/>
        <v/>
      </c>
      <c r="D1488" s="63">
        <f t="shared" si="293"/>
        <v>10.268779342723</v>
      </c>
      <c r="E1488" t="str">
        <f t="shared" si="294"/>
        <v/>
      </c>
      <c r="F1488" t="str">
        <f t="shared" si="295"/>
        <v/>
      </c>
      <c r="G1488" t="str">
        <f t="shared" si="296"/>
        <v/>
      </c>
    </row>
    <row r="1489" spans="2:7">
      <c r="B1489" s="46"/>
      <c r="C1489" t="str">
        <f t="shared" si="292"/>
        <v/>
      </c>
      <c r="D1489" s="63" t="str">
        <f t="shared" si="293"/>
        <v/>
      </c>
      <c r="E1489" t="str">
        <f t="shared" si="294"/>
        <v/>
      </c>
      <c r="F1489" t="str">
        <f t="shared" si="295"/>
        <v/>
      </c>
      <c r="G1489">
        <f t="shared" si="296"/>
        <v>7.67610062893082</v>
      </c>
    </row>
    <row r="1490" spans="2:7">
      <c r="B1490" s="46"/>
      <c r="C1490" t="str">
        <f t="shared" si="292"/>
        <v/>
      </c>
      <c r="D1490" s="63" t="str">
        <f t="shared" si="293"/>
        <v/>
      </c>
      <c r="E1490" t="str">
        <f t="shared" si="294"/>
        <v/>
      </c>
      <c r="F1490" t="str">
        <f t="shared" si="295"/>
        <v/>
      </c>
      <c r="G1490">
        <f t="shared" si="296"/>
        <v>10.3836477987421</v>
      </c>
    </row>
    <row r="1491" spans="2:7">
      <c r="B1491" s="46"/>
      <c r="C1491" t="str">
        <f t="shared" si="292"/>
        <v/>
      </c>
      <c r="D1491" s="63" t="str">
        <f t="shared" si="293"/>
        <v/>
      </c>
      <c r="E1491" t="str">
        <f t="shared" si="294"/>
        <v/>
      </c>
      <c r="F1491" t="str">
        <f t="shared" si="295"/>
        <v/>
      </c>
      <c r="G1491">
        <f t="shared" si="296"/>
        <v>13.2138364779874</v>
      </c>
    </row>
    <row r="1492" spans="2:7">
      <c r="B1492" s="46"/>
      <c r="C1492" t="str">
        <f t="shared" si="292"/>
        <v/>
      </c>
      <c r="D1492" s="63" t="str">
        <f t="shared" si="293"/>
        <v/>
      </c>
      <c r="E1492" t="str">
        <f t="shared" si="294"/>
        <v/>
      </c>
      <c r="F1492" t="str">
        <f t="shared" si="295"/>
        <v/>
      </c>
      <c r="G1492">
        <f t="shared" si="296"/>
        <v>14.7243186582809</v>
      </c>
    </row>
    <row r="1493" spans="2:7">
      <c r="B1493" s="46"/>
      <c r="C1493" t="str">
        <f t="shared" si="292"/>
        <v/>
      </c>
      <c r="D1493" s="63" t="str">
        <f t="shared" si="293"/>
        <v/>
      </c>
      <c r="E1493" t="str">
        <f t="shared" si="294"/>
        <v/>
      </c>
      <c r="F1493">
        <f t="shared" si="295"/>
        <v>9.17630385487529</v>
      </c>
      <c r="G1493" t="str">
        <f t="shared" si="296"/>
        <v/>
      </c>
    </row>
    <row r="1494" spans="2:7">
      <c r="B1494" s="46"/>
      <c r="C1494" t="str">
        <f t="shared" si="292"/>
        <v/>
      </c>
      <c r="D1494" s="63" t="str">
        <f t="shared" si="293"/>
        <v/>
      </c>
      <c r="E1494" t="str">
        <f t="shared" si="294"/>
        <v/>
      </c>
      <c r="F1494">
        <f t="shared" si="295"/>
        <v>12.328231292517</v>
      </c>
      <c r="G1494" t="str">
        <f t="shared" si="296"/>
        <v/>
      </c>
    </row>
    <row r="1495" spans="2:7">
      <c r="B1495" s="46"/>
      <c r="C1495" t="str">
        <f t="shared" si="292"/>
        <v/>
      </c>
      <c r="D1495" s="63" t="str">
        <f t="shared" si="293"/>
        <v/>
      </c>
      <c r="E1495" t="str">
        <f t="shared" si="294"/>
        <v/>
      </c>
      <c r="F1495">
        <f t="shared" si="295"/>
        <v>15.0017006802721</v>
      </c>
      <c r="G1495" t="str">
        <f t="shared" si="296"/>
        <v/>
      </c>
    </row>
    <row r="1496" spans="2:7">
      <c r="B1496" s="46"/>
      <c r="C1496">
        <f t="shared" si="292"/>
        <v>10.328125</v>
      </c>
      <c r="D1496" s="63" t="str">
        <f t="shared" si="293"/>
        <v/>
      </c>
      <c r="E1496" t="str">
        <f t="shared" si="294"/>
        <v/>
      </c>
      <c r="F1496" t="str">
        <f t="shared" si="295"/>
        <v/>
      </c>
      <c r="G1496" t="str">
        <f t="shared" si="296"/>
        <v/>
      </c>
    </row>
    <row r="1497" spans="2:7">
      <c r="B1497" s="46"/>
      <c r="C1497">
        <f t="shared" si="292"/>
        <v>14.5908564814815</v>
      </c>
      <c r="D1497" s="63" t="str">
        <f t="shared" si="293"/>
        <v/>
      </c>
      <c r="E1497" t="str">
        <f t="shared" si="294"/>
        <v/>
      </c>
      <c r="F1497" t="str">
        <f t="shared" si="295"/>
        <v/>
      </c>
      <c r="G1497" t="str">
        <f t="shared" si="296"/>
        <v/>
      </c>
    </row>
    <row r="1498" spans="2:7">
      <c r="B1498" s="46"/>
      <c r="C1498">
        <f t="shared" si="292"/>
        <v>14.9409722222222</v>
      </c>
      <c r="D1498" s="63" t="str">
        <f t="shared" si="293"/>
        <v/>
      </c>
      <c r="E1498" t="str">
        <f t="shared" si="294"/>
        <v/>
      </c>
      <c r="F1498" t="str">
        <f t="shared" si="295"/>
        <v/>
      </c>
      <c r="G1498" t="str">
        <f t="shared" si="296"/>
        <v/>
      </c>
    </row>
    <row r="1499" spans="2:7">
      <c r="B1499" s="46"/>
      <c r="C1499">
        <f t="shared" si="292"/>
        <v>19.2465277777778</v>
      </c>
      <c r="D1499" s="63" t="str">
        <f t="shared" si="293"/>
        <v/>
      </c>
      <c r="E1499" t="str">
        <f t="shared" si="294"/>
        <v/>
      </c>
      <c r="F1499" t="str">
        <f t="shared" si="295"/>
        <v/>
      </c>
      <c r="G1499" t="str">
        <f t="shared" si="296"/>
        <v/>
      </c>
    </row>
    <row r="1500" spans="2:7">
      <c r="B1500" s="46"/>
      <c r="C1500" t="str">
        <f t="shared" si="292"/>
        <v/>
      </c>
      <c r="D1500" s="63">
        <f t="shared" si="293"/>
        <v>15.0340375586854</v>
      </c>
      <c r="E1500" t="str">
        <f t="shared" si="294"/>
        <v/>
      </c>
      <c r="F1500" t="str">
        <f t="shared" si="295"/>
        <v/>
      </c>
      <c r="G1500" t="str">
        <f t="shared" si="296"/>
        <v/>
      </c>
    </row>
    <row r="1501" spans="2:7">
      <c r="B1501" s="46"/>
      <c r="C1501" t="str">
        <f t="shared" si="292"/>
        <v/>
      </c>
      <c r="D1501" s="63">
        <f t="shared" si="293"/>
        <v>15.0340375586854</v>
      </c>
      <c r="E1501" t="str">
        <f t="shared" si="294"/>
        <v/>
      </c>
      <c r="F1501" t="str">
        <f t="shared" si="295"/>
        <v/>
      </c>
      <c r="G1501" t="str">
        <f t="shared" si="296"/>
        <v/>
      </c>
    </row>
    <row r="1502" spans="2:7">
      <c r="B1502" s="46"/>
      <c r="C1502" t="str">
        <f t="shared" si="292"/>
        <v/>
      </c>
      <c r="D1502" s="63">
        <f t="shared" si="293"/>
        <v>16.1343896713615</v>
      </c>
      <c r="E1502" t="str">
        <f t="shared" si="294"/>
        <v/>
      </c>
      <c r="F1502" t="str">
        <f t="shared" si="295"/>
        <v/>
      </c>
      <c r="G1502" t="str">
        <f t="shared" si="296"/>
        <v/>
      </c>
    </row>
    <row r="1503" spans="2:7">
      <c r="B1503" s="46"/>
      <c r="C1503" t="str">
        <f t="shared" si="292"/>
        <v/>
      </c>
      <c r="D1503" s="63">
        <f t="shared" si="293"/>
        <v>16.8620892018779</v>
      </c>
      <c r="E1503" t="str">
        <f t="shared" si="294"/>
        <v/>
      </c>
      <c r="F1503" t="str">
        <f t="shared" si="295"/>
        <v/>
      </c>
      <c r="G1503" t="str">
        <f t="shared" si="296"/>
        <v/>
      </c>
    </row>
    <row r="1504" spans="2:7">
      <c r="B1504" s="46"/>
      <c r="C1504" t="str">
        <f t="shared" si="292"/>
        <v/>
      </c>
      <c r="D1504" s="63" t="str">
        <f t="shared" si="293"/>
        <v/>
      </c>
      <c r="E1504">
        <f t="shared" si="294"/>
        <v>16.1245098039216</v>
      </c>
      <c r="F1504" t="str">
        <f t="shared" si="295"/>
        <v/>
      </c>
      <c r="G1504" t="str">
        <f t="shared" si="296"/>
        <v/>
      </c>
    </row>
    <row r="1505" spans="2:7">
      <c r="B1505" s="46"/>
      <c r="C1505" t="str">
        <f t="shared" si="292"/>
        <v/>
      </c>
      <c r="D1505" s="63" t="str">
        <f t="shared" si="293"/>
        <v/>
      </c>
      <c r="E1505">
        <f t="shared" si="294"/>
        <v>17.9225490196078</v>
      </c>
      <c r="F1505" t="str">
        <f t="shared" si="295"/>
        <v/>
      </c>
      <c r="G1505" t="str">
        <f t="shared" si="296"/>
        <v/>
      </c>
    </row>
    <row r="1506" spans="2:7">
      <c r="B1506" s="46"/>
      <c r="C1506" t="str">
        <f t="shared" si="292"/>
        <v/>
      </c>
      <c r="D1506" s="63" t="str">
        <f t="shared" si="293"/>
        <v/>
      </c>
      <c r="E1506">
        <f t="shared" si="294"/>
        <v>18.7166666666667</v>
      </c>
      <c r="F1506" t="str">
        <f t="shared" si="295"/>
        <v/>
      </c>
      <c r="G1506" t="str">
        <f t="shared" si="296"/>
        <v/>
      </c>
    </row>
    <row r="1507" spans="2:7">
      <c r="B1507" s="46"/>
      <c r="C1507" t="str">
        <f t="shared" si="292"/>
        <v/>
      </c>
      <c r="D1507" s="63" t="str">
        <f t="shared" si="293"/>
        <v/>
      </c>
      <c r="E1507">
        <f t="shared" si="294"/>
        <v>18.9539215686275</v>
      </c>
      <c r="F1507" t="str">
        <f t="shared" si="295"/>
        <v/>
      </c>
      <c r="G1507" t="str">
        <f t="shared" si="296"/>
        <v/>
      </c>
    </row>
    <row r="1508" spans="2:7">
      <c r="B1508" s="46"/>
      <c r="C1508" t="str">
        <f t="shared" si="292"/>
        <v/>
      </c>
      <c r="D1508" s="63" t="str">
        <f t="shared" si="293"/>
        <v/>
      </c>
      <c r="E1508" t="str">
        <f t="shared" si="294"/>
        <v/>
      </c>
      <c r="F1508" t="str">
        <f t="shared" si="295"/>
        <v/>
      </c>
      <c r="G1508">
        <f t="shared" si="296"/>
        <v>15.4449685534591</v>
      </c>
    </row>
    <row r="1509" spans="2:7">
      <c r="B1509" s="46"/>
      <c r="C1509" t="str">
        <f t="shared" si="292"/>
        <v/>
      </c>
      <c r="D1509" s="63" t="str">
        <f t="shared" si="293"/>
        <v/>
      </c>
      <c r="E1509" t="str">
        <f t="shared" si="294"/>
        <v/>
      </c>
      <c r="F1509" t="str">
        <f t="shared" si="295"/>
        <v/>
      </c>
      <c r="G1509">
        <f t="shared" si="296"/>
        <v>16.4669811320755</v>
      </c>
    </row>
    <row r="1510" spans="2:7">
      <c r="B1510" s="46"/>
      <c r="C1510" t="str">
        <f t="shared" si="292"/>
        <v/>
      </c>
      <c r="D1510" s="63" t="str">
        <f t="shared" si="293"/>
        <v/>
      </c>
      <c r="E1510" t="str">
        <f t="shared" si="294"/>
        <v/>
      </c>
      <c r="F1510" t="str">
        <f t="shared" si="295"/>
        <v/>
      </c>
      <c r="G1510">
        <f t="shared" si="296"/>
        <v>17.7877358490566</v>
      </c>
    </row>
    <row r="1511" spans="2:7">
      <c r="B1511" s="46"/>
      <c r="C1511" t="str">
        <f t="shared" si="292"/>
        <v/>
      </c>
      <c r="D1511" s="63" t="str">
        <f t="shared" si="293"/>
        <v/>
      </c>
      <c r="E1511" t="str">
        <f t="shared" si="294"/>
        <v/>
      </c>
      <c r="F1511" t="str">
        <f t="shared" si="295"/>
        <v/>
      </c>
      <c r="G1511">
        <f t="shared" si="296"/>
        <v>18.377358490566</v>
      </c>
    </row>
    <row r="1512" spans="2:7">
      <c r="B1512" s="46"/>
      <c r="C1512" t="str">
        <f t="shared" si="292"/>
        <v/>
      </c>
      <c r="D1512" s="63" t="str">
        <f t="shared" si="293"/>
        <v/>
      </c>
      <c r="E1512" t="str">
        <f t="shared" si="294"/>
        <v/>
      </c>
      <c r="F1512">
        <f t="shared" si="295"/>
        <v>15.4234693877551</v>
      </c>
      <c r="G1512" t="str">
        <f t="shared" si="296"/>
        <v/>
      </c>
    </row>
    <row r="1513" spans="2:7">
      <c r="B1513" s="46"/>
      <c r="C1513" t="str">
        <f t="shared" si="292"/>
        <v/>
      </c>
      <c r="D1513" s="63" t="str">
        <f t="shared" si="293"/>
        <v/>
      </c>
      <c r="E1513" t="str">
        <f t="shared" si="294"/>
        <v/>
      </c>
      <c r="F1513">
        <f t="shared" si="295"/>
        <v>16.7698412698413</v>
      </c>
      <c r="G1513" t="str">
        <f t="shared" si="296"/>
        <v/>
      </c>
    </row>
    <row r="1514" spans="2:7">
      <c r="B1514" s="46"/>
      <c r="C1514" t="str">
        <f t="shared" si="292"/>
        <v/>
      </c>
      <c r="D1514" s="63" t="str">
        <f t="shared" si="293"/>
        <v/>
      </c>
      <c r="E1514" t="str">
        <f t="shared" si="294"/>
        <v/>
      </c>
      <c r="F1514">
        <f t="shared" si="295"/>
        <v>18.109410430839</v>
      </c>
      <c r="G1514" t="str">
        <f t="shared" si="296"/>
        <v/>
      </c>
    </row>
    <row r="1515" spans="2:7">
      <c r="B1515" s="46"/>
      <c r="C1515" t="str">
        <f t="shared" si="292"/>
        <v/>
      </c>
      <c r="D1515" s="63" t="str">
        <f t="shared" si="293"/>
        <v/>
      </c>
      <c r="E1515" t="str">
        <f t="shared" si="294"/>
        <v/>
      </c>
      <c r="F1515">
        <f t="shared" si="295"/>
        <v>20.1581632653061</v>
      </c>
      <c r="G1515" t="str">
        <f t="shared" si="296"/>
        <v/>
      </c>
    </row>
    <row r="1516" spans="2:7">
      <c r="B1516" s="46"/>
      <c r="C1516" t="str">
        <f t="shared" si="292"/>
        <v/>
      </c>
      <c r="D1516" s="63" t="str">
        <f t="shared" si="293"/>
        <v/>
      </c>
      <c r="E1516" t="str">
        <f t="shared" si="294"/>
        <v/>
      </c>
      <c r="F1516">
        <f t="shared" si="295"/>
        <v>22.1581632653061</v>
      </c>
      <c r="G1516" t="str">
        <f t="shared" si="296"/>
        <v/>
      </c>
    </row>
    <row r="1517" ht="15.75" spans="2:7">
      <c r="B1517" s="46"/>
      <c r="C1517" t="str">
        <f t="shared" si="292"/>
        <v/>
      </c>
      <c r="D1517" s="63" t="str">
        <f t="shared" si="293"/>
        <v/>
      </c>
      <c r="E1517" t="str">
        <f t="shared" si="294"/>
        <v/>
      </c>
      <c r="F1517">
        <f t="shared" si="295"/>
        <v>22.8781179138322</v>
      </c>
      <c r="G1517" t="str">
        <f t="shared" si="296"/>
        <v/>
      </c>
    </row>
    <row r="1518" spans="2:7">
      <c r="B1518" s="74" t="s">
        <v>269</v>
      </c>
      <c r="C1518" s="75">
        <f>MAX(C1472:C1517)</f>
        <v>19.2465277777778</v>
      </c>
      <c r="D1518" s="75">
        <f t="shared" ref="D1518:G1518" si="297">MAX(D1471:D1517)</f>
        <v>16.8620892018779</v>
      </c>
      <c r="E1518" s="75">
        <f t="shared" si="297"/>
        <v>18.9539215686275</v>
      </c>
      <c r="F1518" s="75">
        <f t="shared" si="297"/>
        <v>22.8781179138322</v>
      </c>
      <c r="G1518" s="75">
        <f t="shared" si="297"/>
        <v>18.377358490566</v>
      </c>
    </row>
    <row r="1519" spans="2:7">
      <c r="B1519" s="76" t="s">
        <v>270</v>
      </c>
      <c r="C1519" s="77">
        <v>1</v>
      </c>
      <c r="D1519" s="78">
        <v>2</v>
      </c>
      <c r="E1519">
        <v>3</v>
      </c>
      <c r="F1519">
        <v>4</v>
      </c>
      <c r="G1519">
        <v>5</v>
      </c>
    </row>
    <row r="1520" spans="2:7">
      <c r="B1520" s="79" t="s">
        <v>271</v>
      </c>
      <c r="C1520" s="72">
        <f>HLOOKUP(MIN(C1518:G1518),C1518:G1519,2,FALSE)</f>
        <v>2</v>
      </c>
      <c r="D1520" s="80"/>
    </row>
    <row r="1523" ht="15.75" spans="2:7">
      <c r="B1523" s="43" t="s">
        <v>319</v>
      </c>
      <c r="C1523" s="44"/>
      <c r="D1523" s="45"/>
    </row>
    <row r="1524" spans="2:7">
      <c r="B1524" s="46"/>
      <c r="C1524" s="61" t="s">
        <v>264</v>
      </c>
      <c r="D1524" s="61" t="s">
        <v>265</v>
      </c>
      <c r="E1524" s="62" t="s">
        <v>286</v>
      </c>
      <c r="F1524" s="62" t="s">
        <v>287</v>
      </c>
      <c r="G1524" s="62" t="s">
        <v>288</v>
      </c>
    </row>
    <row r="1525" spans="2:7">
      <c r="B1525" s="46"/>
      <c r="C1525">
        <f t="shared" ref="C1525:C1571" si="298">IF(J8=1,S8,"")</f>
        <v>0.700231481481482</v>
      </c>
      <c r="D1525" t="str">
        <f t="shared" ref="D1525:D1571" si="299">IF(J8=2,S8,"")</f>
        <v/>
      </c>
      <c r="E1525" t="str">
        <f t="shared" ref="E1525:E1571" si="300">IF(J8=3,S8,"")</f>
        <v/>
      </c>
      <c r="F1525" t="str">
        <f t="shared" ref="F1525:F1571" si="301">IF(J8=4,S8,"")</f>
        <v/>
      </c>
      <c r="G1525">
        <f t="shared" ref="G1525:G1571" si="302">IF(J8=1,S8,"")</f>
        <v>0.700231481481482</v>
      </c>
    </row>
    <row r="1526" spans="2:7">
      <c r="B1526" s="46"/>
      <c r="C1526" t="str">
        <f t="shared" si="298"/>
        <v/>
      </c>
      <c r="D1526">
        <f t="shared" si="299"/>
        <v>0.734154929577465</v>
      </c>
      <c r="E1526" t="str">
        <f t="shared" si="300"/>
        <v/>
      </c>
      <c r="F1526" t="str">
        <f t="shared" si="301"/>
        <v/>
      </c>
      <c r="G1526" t="str">
        <f t="shared" si="302"/>
        <v/>
      </c>
    </row>
    <row r="1527" spans="2:7">
      <c r="B1527" s="46"/>
      <c r="C1527" t="str">
        <f t="shared" si="298"/>
        <v/>
      </c>
      <c r="D1527" t="str">
        <f t="shared" si="299"/>
        <v/>
      </c>
      <c r="E1527">
        <f t="shared" si="300"/>
        <v>1.83823529411765</v>
      </c>
      <c r="F1527" t="str">
        <f t="shared" si="301"/>
        <v/>
      </c>
      <c r="G1527" t="str">
        <f t="shared" si="302"/>
        <v/>
      </c>
    </row>
    <row r="1528" spans="2:7">
      <c r="B1528" s="46"/>
      <c r="C1528" t="str">
        <f t="shared" si="298"/>
        <v/>
      </c>
      <c r="D1528" t="str">
        <f t="shared" si="299"/>
        <v/>
      </c>
      <c r="E1528" t="str">
        <f t="shared" si="300"/>
        <v/>
      </c>
      <c r="F1528">
        <f t="shared" si="301"/>
        <v>4.28571428571429</v>
      </c>
      <c r="G1528" t="str">
        <f t="shared" si="302"/>
        <v/>
      </c>
    </row>
    <row r="1529" spans="2:7">
      <c r="B1529" s="46"/>
      <c r="C1529" t="str">
        <f t="shared" si="298"/>
        <v/>
      </c>
      <c r="D1529" t="str">
        <f t="shared" si="299"/>
        <v/>
      </c>
      <c r="E1529" t="str">
        <f t="shared" si="300"/>
        <v/>
      </c>
      <c r="F1529" t="str">
        <f t="shared" si="301"/>
        <v/>
      </c>
      <c r="G1529" t="str">
        <f t="shared" si="302"/>
        <v/>
      </c>
    </row>
    <row r="1530" spans="2:7">
      <c r="B1530" s="46"/>
      <c r="C1530" t="str">
        <f t="shared" si="298"/>
        <v/>
      </c>
      <c r="D1530" t="str">
        <f t="shared" si="299"/>
        <v/>
      </c>
      <c r="E1530">
        <f t="shared" si="300"/>
        <v>14.5833333333333</v>
      </c>
      <c r="F1530" t="str">
        <f t="shared" si="301"/>
        <v/>
      </c>
      <c r="G1530" t="str">
        <f t="shared" si="302"/>
        <v/>
      </c>
    </row>
    <row r="1531" spans="2:7">
      <c r="B1531" s="46"/>
      <c r="C1531" t="str">
        <f t="shared" si="298"/>
        <v/>
      </c>
      <c r="D1531" t="str">
        <f t="shared" si="299"/>
        <v/>
      </c>
      <c r="E1531" t="str">
        <f t="shared" si="300"/>
        <v/>
      </c>
      <c r="F1531">
        <f t="shared" si="301"/>
        <v>6.42857142857143</v>
      </c>
      <c r="G1531" t="str">
        <f t="shared" si="302"/>
        <v/>
      </c>
    </row>
    <row r="1532" spans="2:7">
      <c r="B1532" s="46"/>
      <c r="C1532" t="str">
        <f t="shared" si="298"/>
        <v/>
      </c>
      <c r="D1532" t="str">
        <f t="shared" si="299"/>
        <v/>
      </c>
      <c r="E1532" t="str">
        <f t="shared" si="300"/>
        <v/>
      </c>
      <c r="F1532" t="str">
        <f t="shared" si="301"/>
        <v/>
      </c>
      <c r="G1532" t="str">
        <f t="shared" si="302"/>
        <v/>
      </c>
    </row>
    <row r="1533" spans="2:7">
      <c r="B1533" s="46"/>
      <c r="C1533">
        <f t="shared" si="298"/>
        <v>0.844907407407407</v>
      </c>
      <c r="D1533" t="str">
        <f t="shared" si="299"/>
        <v/>
      </c>
      <c r="E1533" t="str">
        <f t="shared" si="300"/>
        <v/>
      </c>
      <c r="F1533" t="str">
        <f t="shared" si="301"/>
        <v/>
      </c>
      <c r="G1533">
        <f t="shared" si="302"/>
        <v>0.844907407407407</v>
      </c>
    </row>
    <row r="1534" spans="2:7">
      <c r="B1534" s="46"/>
      <c r="C1534">
        <f t="shared" si="298"/>
        <v>6.79803240740741</v>
      </c>
      <c r="D1534" t="str">
        <f t="shared" si="299"/>
        <v/>
      </c>
      <c r="E1534" t="str">
        <f t="shared" si="300"/>
        <v/>
      </c>
      <c r="F1534" t="str">
        <f t="shared" si="301"/>
        <v/>
      </c>
      <c r="G1534">
        <f t="shared" si="302"/>
        <v>6.79803240740741</v>
      </c>
    </row>
    <row r="1535" spans="2:7">
      <c r="B1535" s="46"/>
      <c r="C1535">
        <f t="shared" si="298"/>
        <v>6.79803240740741</v>
      </c>
      <c r="D1535" t="str">
        <f t="shared" si="299"/>
        <v/>
      </c>
      <c r="E1535" t="str">
        <f t="shared" si="300"/>
        <v/>
      </c>
      <c r="F1535" t="str">
        <f t="shared" si="301"/>
        <v/>
      </c>
      <c r="G1535">
        <f t="shared" si="302"/>
        <v>6.79803240740741</v>
      </c>
    </row>
    <row r="1536" spans="2:7">
      <c r="B1536" s="46"/>
      <c r="C1536">
        <f t="shared" si="298"/>
        <v>7.52719907407408</v>
      </c>
      <c r="D1536" t="str">
        <f t="shared" si="299"/>
        <v/>
      </c>
      <c r="E1536" t="str">
        <f t="shared" si="300"/>
        <v/>
      </c>
      <c r="F1536" t="str">
        <f t="shared" si="301"/>
        <v/>
      </c>
      <c r="G1536">
        <f t="shared" si="302"/>
        <v>7.52719907407408</v>
      </c>
    </row>
    <row r="1537" spans="2:7">
      <c r="B1537" s="46"/>
      <c r="C1537" t="str">
        <f t="shared" si="298"/>
        <v/>
      </c>
      <c r="D1537">
        <f t="shared" si="299"/>
        <v>2.7881455399061</v>
      </c>
      <c r="E1537" t="str">
        <f t="shared" si="300"/>
        <v/>
      </c>
      <c r="F1537" t="str">
        <f t="shared" si="301"/>
        <v/>
      </c>
      <c r="G1537" t="str">
        <f t="shared" si="302"/>
        <v/>
      </c>
    </row>
    <row r="1538" spans="2:7">
      <c r="B1538" s="46"/>
      <c r="C1538" t="str">
        <f t="shared" si="298"/>
        <v/>
      </c>
      <c r="D1538">
        <f t="shared" si="299"/>
        <v>4.47535211267606</v>
      </c>
      <c r="E1538" t="str">
        <f t="shared" si="300"/>
        <v/>
      </c>
      <c r="F1538" t="str">
        <f t="shared" si="301"/>
        <v/>
      </c>
      <c r="G1538" t="str">
        <f t="shared" si="302"/>
        <v/>
      </c>
    </row>
    <row r="1539" spans="2:7">
      <c r="B1539" s="46"/>
      <c r="C1539" t="str">
        <f t="shared" si="298"/>
        <v/>
      </c>
      <c r="D1539">
        <f t="shared" si="299"/>
        <v>6.10680751173709</v>
      </c>
      <c r="E1539" t="str">
        <f t="shared" si="300"/>
        <v/>
      </c>
      <c r="F1539" t="str">
        <f t="shared" si="301"/>
        <v/>
      </c>
      <c r="G1539" t="str">
        <f t="shared" si="302"/>
        <v/>
      </c>
    </row>
    <row r="1540" spans="2:7">
      <c r="B1540" s="46"/>
      <c r="C1540" t="str">
        <f t="shared" si="298"/>
        <v/>
      </c>
      <c r="D1540">
        <f t="shared" si="299"/>
        <v>8.50821596244131</v>
      </c>
      <c r="E1540" t="str">
        <f t="shared" si="300"/>
        <v/>
      </c>
      <c r="F1540" t="str">
        <f t="shared" si="301"/>
        <v/>
      </c>
      <c r="G1540" t="str">
        <f t="shared" si="302"/>
        <v/>
      </c>
    </row>
    <row r="1541" spans="2:7">
      <c r="B1541" s="46"/>
      <c r="C1541" t="str">
        <f t="shared" si="298"/>
        <v/>
      </c>
      <c r="D1541">
        <f t="shared" si="299"/>
        <v>10.268779342723</v>
      </c>
      <c r="E1541" t="str">
        <f t="shared" si="300"/>
        <v/>
      </c>
      <c r="F1541" t="str">
        <f t="shared" si="301"/>
        <v/>
      </c>
      <c r="G1541" t="str">
        <f t="shared" si="302"/>
        <v/>
      </c>
    </row>
    <row r="1542" spans="2:7">
      <c r="B1542" s="46"/>
      <c r="C1542" t="str">
        <f t="shared" si="298"/>
        <v/>
      </c>
      <c r="D1542" t="str">
        <f t="shared" si="299"/>
        <v/>
      </c>
      <c r="E1542" t="str">
        <f t="shared" si="300"/>
        <v/>
      </c>
      <c r="F1542" t="str">
        <f t="shared" si="301"/>
        <v/>
      </c>
      <c r="G1542" t="str">
        <f t="shared" si="302"/>
        <v/>
      </c>
    </row>
    <row r="1543" spans="2:7">
      <c r="B1543" s="46"/>
      <c r="C1543" t="str">
        <f t="shared" si="298"/>
        <v/>
      </c>
      <c r="D1543" t="str">
        <f t="shared" si="299"/>
        <v/>
      </c>
      <c r="E1543" t="str">
        <f t="shared" si="300"/>
        <v/>
      </c>
      <c r="F1543" t="str">
        <f t="shared" si="301"/>
        <v/>
      </c>
      <c r="G1543" t="str">
        <f t="shared" si="302"/>
        <v/>
      </c>
    </row>
    <row r="1544" spans="2:7">
      <c r="B1544" s="46"/>
      <c r="C1544" t="str">
        <f t="shared" si="298"/>
        <v/>
      </c>
      <c r="D1544" t="str">
        <f t="shared" si="299"/>
        <v/>
      </c>
      <c r="E1544" t="str">
        <f t="shared" si="300"/>
        <v/>
      </c>
      <c r="F1544" t="str">
        <f t="shared" si="301"/>
        <v/>
      </c>
      <c r="G1544" t="str">
        <f t="shared" si="302"/>
        <v/>
      </c>
    </row>
    <row r="1545" spans="2:7">
      <c r="B1545" s="46"/>
      <c r="C1545" t="str">
        <f t="shared" si="298"/>
        <v/>
      </c>
      <c r="D1545" t="str">
        <f t="shared" si="299"/>
        <v/>
      </c>
      <c r="E1545" t="str">
        <f t="shared" si="300"/>
        <v/>
      </c>
      <c r="F1545" t="str">
        <f t="shared" si="301"/>
        <v/>
      </c>
      <c r="G1545" t="str">
        <f t="shared" si="302"/>
        <v/>
      </c>
    </row>
    <row r="1546" spans="2:7">
      <c r="B1546" s="46"/>
      <c r="C1546" t="str">
        <f t="shared" si="298"/>
        <v/>
      </c>
      <c r="D1546" t="str">
        <f t="shared" si="299"/>
        <v/>
      </c>
      <c r="E1546" t="str">
        <f t="shared" si="300"/>
        <v/>
      </c>
      <c r="F1546">
        <f t="shared" si="301"/>
        <v>9.17630385487529</v>
      </c>
      <c r="G1546" t="str">
        <f t="shared" si="302"/>
        <v/>
      </c>
    </row>
    <row r="1547" spans="2:7">
      <c r="B1547" s="46"/>
      <c r="C1547" t="str">
        <f t="shared" si="298"/>
        <v/>
      </c>
      <c r="D1547" t="str">
        <f t="shared" si="299"/>
        <v/>
      </c>
      <c r="E1547" t="str">
        <f t="shared" si="300"/>
        <v/>
      </c>
      <c r="F1547">
        <f t="shared" si="301"/>
        <v>12.328231292517</v>
      </c>
      <c r="G1547" t="str">
        <f t="shared" si="302"/>
        <v/>
      </c>
    </row>
    <row r="1548" spans="2:7">
      <c r="B1548" s="46"/>
      <c r="C1548" t="str">
        <f t="shared" si="298"/>
        <v/>
      </c>
      <c r="D1548" t="str">
        <f t="shared" si="299"/>
        <v/>
      </c>
      <c r="E1548" t="str">
        <f t="shared" si="300"/>
        <v/>
      </c>
      <c r="F1548">
        <f t="shared" si="301"/>
        <v>15.0017006802721</v>
      </c>
      <c r="G1548" t="str">
        <f t="shared" si="302"/>
        <v/>
      </c>
    </row>
    <row r="1549" spans="2:7">
      <c r="B1549" s="46"/>
      <c r="C1549">
        <f t="shared" si="298"/>
        <v>10.328125</v>
      </c>
      <c r="D1549" t="str">
        <f t="shared" si="299"/>
        <v/>
      </c>
      <c r="E1549" t="str">
        <f t="shared" si="300"/>
        <v/>
      </c>
      <c r="F1549" t="str">
        <f t="shared" si="301"/>
        <v/>
      </c>
      <c r="G1549">
        <f t="shared" si="302"/>
        <v>10.328125</v>
      </c>
    </row>
    <row r="1550" spans="2:7">
      <c r="B1550" s="46"/>
      <c r="C1550">
        <f t="shared" si="298"/>
        <v>14.5908564814815</v>
      </c>
      <c r="D1550" t="str">
        <f t="shared" si="299"/>
        <v/>
      </c>
      <c r="E1550" t="str">
        <f t="shared" si="300"/>
        <v/>
      </c>
      <c r="F1550" t="str">
        <f t="shared" si="301"/>
        <v/>
      </c>
      <c r="G1550">
        <f t="shared" si="302"/>
        <v>14.5908564814815</v>
      </c>
    </row>
    <row r="1551" spans="2:7">
      <c r="B1551" s="46"/>
      <c r="C1551">
        <f t="shared" si="298"/>
        <v>14.9409722222222</v>
      </c>
      <c r="D1551" t="str">
        <f t="shared" si="299"/>
        <v/>
      </c>
      <c r="E1551" t="str">
        <f t="shared" si="300"/>
        <v/>
      </c>
      <c r="F1551" t="str">
        <f t="shared" si="301"/>
        <v/>
      </c>
      <c r="G1551">
        <f t="shared" si="302"/>
        <v>14.9409722222222</v>
      </c>
    </row>
    <row r="1552" spans="2:7">
      <c r="B1552" s="46"/>
      <c r="C1552">
        <f t="shared" si="298"/>
        <v>19.2465277777778</v>
      </c>
      <c r="D1552" t="str">
        <f t="shared" si="299"/>
        <v/>
      </c>
      <c r="E1552" t="str">
        <f t="shared" si="300"/>
        <v/>
      </c>
      <c r="F1552" t="str">
        <f t="shared" si="301"/>
        <v/>
      </c>
      <c r="G1552">
        <f t="shared" si="302"/>
        <v>19.2465277777778</v>
      </c>
    </row>
    <row r="1553" spans="2:7">
      <c r="B1553" s="46"/>
      <c r="C1553" t="str">
        <f t="shared" si="298"/>
        <v/>
      </c>
      <c r="D1553">
        <f t="shared" si="299"/>
        <v>15.0340375586854</v>
      </c>
      <c r="E1553" t="str">
        <f t="shared" si="300"/>
        <v/>
      </c>
      <c r="F1553" t="str">
        <f t="shared" si="301"/>
        <v/>
      </c>
      <c r="G1553" t="str">
        <f t="shared" si="302"/>
        <v/>
      </c>
    </row>
    <row r="1554" spans="2:7">
      <c r="B1554" s="46"/>
      <c r="C1554" t="str">
        <f t="shared" si="298"/>
        <v/>
      </c>
      <c r="D1554">
        <f t="shared" si="299"/>
        <v>15.0340375586854</v>
      </c>
      <c r="E1554" t="str">
        <f t="shared" si="300"/>
        <v/>
      </c>
      <c r="F1554" t="str">
        <f t="shared" si="301"/>
        <v/>
      </c>
      <c r="G1554" t="str">
        <f t="shared" si="302"/>
        <v/>
      </c>
    </row>
    <row r="1555" spans="2:7">
      <c r="B1555" s="46"/>
      <c r="C1555" t="str">
        <f t="shared" si="298"/>
        <v/>
      </c>
      <c r="D1555">
        <f t="shared" si="299"/>
        <v>16.1343896713615</v>
      </c>
      <c r="E1555" t="str">
        <f t="shared" si="300"/>
        <v/>
      </c>
      <c r="F1555" t="str">
        <f t="shared" si="301"/>
        <v/>
      </c>
      <c r="G1555" t="str">
        <f t="shared" si="302"/>
        <v/>
      </c>
    </row>
    <row r="1556" spans="2:7">
      <c r="B1556" s="46"/>
      <c r="C1556" t="str">
        <f t="shared" si="298"/>
        <v/>
      </c>
      <c r="D1556">
        <f t="shared" si="299"/>
        <v>16.8620892018779</v>
      </c>
      <c r="E1556" t="str">
        <f t="shared" si="300"/>
        <v/>
      </c>
      <c r="F1556" t="str">
        <f t="shared" si="301"/>
        <v/>
      </c>
      <c r="G1556" t="str">
        <f t="shared" si="302"/>
        <v/>
      </c>
    </row>
    <row r="1557" spans="2:7">
      <c r="B1557" s="46"/>
      <c r="C1557" t="str">
        <f t="shared" si="298"/>
        <v/>
      </c>
      <c r="D1557" t="str">
        <f t="shared" si="299"/>
        <v/>
      </c>
      <c r="E1557">
        <f t="shared" si="300"/>
        <v>16.1245098039216</v>
      </c>
      <c r="F1557" t="str">
        <f t="shared" si="301"/>
        <v/>
      </c>
      <c r="G1557" t="str">
        <f t="shared" si="302"/>
        <v/>
      </c>
    </row>
    <row r="1558" spans="2:7">
      <c r="B1558" s="46"/>
      <c r="C1558" t="str">
        <f t="shared" si="298"/>
        <v/>
      </c>
      <c r="D1558" t="str">
        <f t="shared" si="299"/>
        <v/>
      </c>
      <c r="E1558">
        <f t="shared" si="300"/>
        <v>17.9225490196078</v>
      </c>
      <c r="F1558" t="str">
        <f t="shared" si="301"/>
        <v/>
      </c>
      <c r="G1558" t="str">
        <f t="shared" si="302"/>
        <v/>
      </c>
    </row>
    <row r="1559" spans="2:7">
      <c r="B1559" s="46"/>
      <c r="C1559" t="str">
        <f t="shared" si="298"/>
        <v/>
      </c>
      <c r="D1559" t="str">
        <f t="shared" si="299"/>
        <v/>
      </c>
      <c r="E1559">
        <f t="shared" si="300"/>
        <v>18.7166666666667</v>
      </c>
      <c r="F1559" t="str">
        <f t="shared" si="301"/>
        <v/>
      </c>
      <c r="G1559" t="str">
        <f t="shared" si="302"/>
        <v/>
      </c>
    </row>
    <row r="1560" spans="2:7">
      <c r="B1560" s="46"/>
      <c r="C1560" t="str">
        <f t="shared" si="298"/>
        <v/>
      </c>
      <c r="D1560" t="str">
        <f t="shared" si="299"/>
        <v/>
      </c>
      <c r="E1560">
        <f t="shared" si="300"/>
        <v>18.9539215686275</v>
      </c>
      <c r="F1560" t="str">
        <f t="shared" si="301"/>
        <v/>
      </c>
      <c r="G1560" t="str">
        <f t="shared" si="302"/>
        <v/>
      </c>
    </row>
    <row r="1561" spans="2:7">
      <c r="B1561" s="46"/>
      <c r="C1561" t="str">
        <f t="shared" si="298"/>
        <v/>
      </c>
      <c r="D1561" t="str">
        <f t="shared" si="299"/>
        <v/>
      </c>
      <c r="E1561" t="str">
        <f t="shared" si="300"/>
        <v/>
      </c>
      <c r="F1561" t="str">
        <f t="shared" si="301"/>
        <v/>
      </c>
      <c r="G1561" t="str">
        <f t="shared" si="302"/>
        <v/>
      </c>
    </row>
    <row r="1562" spans="2:7">
      <c r="B1562" s="46"/>
      <c r="C1562" t="str">
        <f t="shared" si="298"/>
        <v/>
      </c>
      <c r="D1562" t="str">
        <f t="shared" si="299"/>
        <v/>
      </c>
      <c r="E1562" t="str">
        <f t="shared" si="300"/>
        <v/>
      </c>
      <c r="F1562" t="str">
        <f t="shared" si="301"/>
        <v/>
      </c>
      <c r="G1562" t="str">
        <f t="shared" si="302"/>
        <v/>
      </c>
    </row>
    <row r="1563" spans="2:7">
      <c r="B1563" s="46"/>
      <c r="C1563" t="str">
        <f t="shared" si="298"/>
        <v/>
      </c>
      <c r="D1563" t="str">
        <f t="shared" si="299"/>
        <v/>
      </c>
      <c r="E1563" t="str">
        <f t="shared" si="300"/>
        <v/>
      </c>
      <c r="F1563" t="str">
        <f t="shared" si="301"/>
        <v/>
      </c>
      <c r="G1563" t="str">
        <f t="shared" si="302"/>
        <v/>
      </c>
    </row>
    <row r="1564" spans="2:7">
      <c r="B1564" s="46"/>
      <c r="C1564" t="str">
        <f t="shared" si="298"/>
        <v/>
      </c>
      <c r="D1564" t="str">
        <f t="shared" si="299"/>
        <v/>
      </c>
      <c r="E1564" t="str">
        <f t="shared" si="300"/>
        <v/>
      </c>
      <c r="F1564" t="str">
        <f t="shared" si="301"/>
        <v/>
      </c>
      <c r="G1564" t="str">
        <f t="shared" si="302"/>
        <v/>
      </c>
    </row>
    <row r="1565" spans="2:7">
      <c r="B1565" s="46"/>
      <c r="C1565" t="str">
        <f t="shared" si="298"/>
        <v/>
      </c>
      <c r="D1565" t="str">
        <f t="shared" si="299"/>
        <v/>
      </c>
      <c r="E1565" t="str">
        <f t="shared" si="300"/>
        <v/>
      </c>
      <c r="F1565">
        <f t="shared" si="301"/>
        <v>15.4234693877551</v>
      </c>
      <c r="G1565" t="str">
        <f t="shared" si="302"/>
        <v/>
      </c>
    </row>
    <row r="1566" spans="2:7">
      <c r="B1566" s="46"/>
      <c r="C1566" t="str">
        <f t="shared" si="298"/>
        <v/>
      </c>
      <c r="D1566" t="str">
        <f t="shared" si="299"/>
        <v/>
      </c>
      <c r="E1566" t="str">
        <f t="shared" si="300"/>
        <v/>
      </c>
      <c r="F1566">
        <f t="shared" si="301"/>
        <v>16.7698412698413</v>
      </c>
      <c r="G1566" t="str">
        <f t="shared" si="302"/>
        <v/>
      </c>
    </row>
    <row r="1567" spans="2:7">
      <c r="B1567" s="46"/>
      <c r="C1567" t="str">
        <f t="shared" si="298"/>
        <v/>
      </c>
      <c r="D1567" t="str">
        <f t="shared" si="299"/>
        <v/>
      </c>
      <c r="E1567" t="str">
        <f t="shared" si="300"/>
        <v/>
      </c>
      <c r="F1567">
        <f t="shared" si="301"/>
        <v>18.109410430839</v>
      </c>
      <c r="G1567" t="str">
        <f t="shared" si="302"/>
        <v/>
      </c>
    </row>
    <row r="1568" spans="2:7">
      <c r="B1568" s="46"/>
      <c r="C1568" t="str">
        <f t="shared" si="298"/>
        <v/>
      </c>
      <c r="D1568" t="str">
        <f t="shared" si="299"/>
        <v/>
      </c>
      <c r="E1568" t="str">
        <f t="shared" si="300"/>
        <v/>
      </c>
      <c r="F1568">
        <f t="shared" si="301"/>
        <v>20.1581632653061</v>
      </c>
      <c r="G1568" t="str">
        <f t="shared" si="302"/>
        <v/>
      </c>
    </row>
    <row r="1569" spans="2:7">
      <c r="B1569" s="46"/>
      <c r="C1569" t="str">
        <f t="shared" si="298"/>
        <v/>
      </c>
      <c r="D1569" t="str">
        <f t="shared" si="299"/>
        <v/>
      </c>
      <c r="E1569" t="str">
        <f t="shared" si="300"/>
        <v/>
      </c>
      <c r="F1569">
        <f t="shared" si="301"/>
        <v>22.1581632653061</v>
      </c>
      <c r="G1569" t="str">
        <f t="shared" si="302"/>
        <v/>
      </c>
    </row>
    <row r="1570" spans="2:7">
      <c r="B1570" s="46"/>
      <c r="C1570" t="str">
        <f t="shared" si="298"/>
        <v/>
      </c>
      <c r="D1570" t="str">
        <f t="shared" si="299"/>
        <v/>
      </c>
      <c r="E1570" t="str">
        <f t="shared" si="300"/>
        <v/>
      </c>
      <c r="F1570">
        <f t="shared" si="301"/>
        <v>22.8781179138322</v>
      </c>
      <c r="G1570" t="str">
        <f t="shared" si="302"/>
        <v/>
      </c>
    </row>
    <row r="1571" ht="15.75" spans="2:7">
      <c r="B1571" s="46"/>
      <c r="C1571" t="str">
        <f t="shared" si="298"/>
        <v/>
      </c>
      <c r="D1571">
        <f t="shared" si="299"/>
        <v>17.3022300469484</v>
      </c>
      <c r="E1571" t="str">
        <f t="shared" si="300"/>
        <v/>
      </c>
      <c r="F1571" t="str">
        <f t="shared" si="301"/>
        <v/>
      </c>
      <c r="G1571" t="str">
        <f t="shared" si="302"/>
        <v/>
      </c>
    </row>
    <row r="1572" spans="2:7">
      <c r="B1572" s="74" t="s">
        <v>269</v>
      </c>
      <c r="C1572" s="75">
        <f>MAX(C1525:C1571)</f>
        <v>19.2465277777778</v>
      </c>
      <c r="D1572" s="75">
        <f t="shared" ref="D1572:G1572" si="303">MAX(D1525:D1571)</f>
        <v>17.3022300469484</v>
      </c>
      <c r="E1572" s="75">
        <f t="shared" si="303"/>
        <v>18.9539215686275</v>
      </c>
      <c r="F1572" s="75">
        <f t="shared" si="303"/>
        <v>22.8781179138322</v>
      </c>
      <c r="G1572" s="75">
        <f t="shared" si="303"/>
        <v>19.2465277777778</v>
      </c>
    </row>
    <row r="1573" spans="2:7">
      <c r="B1573" s="76" t="s">
        <v>270</v>
      </c>
      <c r="C1573" s="77">
        <v>1</v>
      </c>
      <c r="D1573" s="78">
        <v>2</v>
      </c>
      <c r="E1573">
        <v>3</v>
      </c>
      <c r="F1573">
        <v>4</v>
      </c>
      <c r="G1573">
        <v>5</v>
      </c>
    </row>
    <row r="1574" spans="2:7">
      <c r="B1574" s="79" t="s">
        <v>271</v>
      </c>
      <c r="C1574" s="72">
        <f>HLOOKUP(MIN(C1572:G1572),C1572:G1573,2,FALSE)</f>
        <v>2</v>
      </c>
      <c r="D1574" s="80"/>
    </row>
    <row r="1578" ht="15.75" spans="2:7">
      <c r="B1578" s="43" t="s">
        <v>320</v>
      </c>
      <c r="C1578" s="44"/>
      <c r="D1578" s="45"/>
    </row>
    <row r="1579" spans="2:7">
      <c r="B1579" s="46"/>
      <c r="C1579" s="61" t="s">
        <v>264</v>
      </c>
      <c r="D1579" s="61" t="s">
        <v>265</v>
      </c>
      <c r="E1579" s="62" t="s">
        <v>286</v>
      </c>
      <c r="F1579" s="62" t="s">
        <v>287</v>
      </c>
      <c r="G1579" s="62" t="s">
        <v>288</v>
      </c>
    </row>
    <row r="1580" spans="2:7">
      <c r="B1580" s="46"/>
      <c r="C1580">
        <f t="shared" ref="C1580:C1627" si="304">IF(J8=1,S8,"")</f>
        <v>0.700231481481482</v>
      </c>
      <c r="D1580" s="63" t="str">
        <f t="shared" ref="D1580:D1627" si="305">IF(J8=2,S8,"")</f>
        <v/>
      </c>
      <c r="E1580" t="str">
        <f t="shared" ref="E1580:E1627" si="306">IF(J8=3,S8,"")</f>
        <v/>
      </c>
      <c r="F1580" t="str">
        <f t="shared" ref="F1580:F1627" si="307">IF(J8=4,S8,"")</f>
        <v/>
      </c>
      <c r="G1580" t="str">
        <f t="shared" ref="G1580:G1627" si="308">IF(J8=5,S8,"")</f>
        <v/>
      </c>
    </row>
    <row r="1581" spans="2:7">
      <c r="B1581" s="46"/>
      <c r="C1581" t="str">
        <f t="shared" si="304"/>
        <v/>
      </c>
      <c r="D1581" s="63">
        <f t="shared" si="305"/>
        <v>0.734154929577465</v>
      </c>
      <c r="E1581" t="str">
        <f t="shared" si="306"/>
        <v/>
      </c>
      <c r="F1581" t="str">
        <f t="shared" si="307"/>
        <v/>
      </c>
      <c r="G1581" t="str">
        <f t="shared" si="308"/>
        <v/>
      </c>
    </row>
    <row r="1582" spans="2:7">
      <c r="B1582" s="46"/>
      <c r="C1582" t="str">
        <f t="shared" si="304"/>
        <v/>
      </c>
      <c r="D1582" s="63" t="str">
        <f t="shared" si="305"/>
        <v/>
      </c>
      <c r="E1582">
        <f t="shared" si="306"/>
        <v>1.83823529411765</v>
      </c>
      <c r="F1582" t="str">
        <f t="shared" si="307"/>
        <v/>
      </c>
      <c r="G1582" t="str">
        <f t="shared" si="308"/>
        <v/>
      </c>
    </row>
    <row r="1583" spans="2:7">
      <c r="B1583" s="46"/>
      <c r="C1583" t="str">
        <f t="shared" si="304"/>
        <v/>
      </c>
      <c r="D1583" s="63" t="str">
        <f t="shared" si="305"/>
        <v/>
      </c>
      <c r="E1583" t="str">
        <f t="shared" si="306"/>
        <v/>
      </c>
      <c r="F1583">
        <f t="shared" si="307"/>
        <v>4.28571428571429</v>
      </c>
      <c r="G1583" t="str">
        <f t="shared" si="308"/>
        <v/>
      </c>
    </row>
    <row r="1584" spans="2:7">
      <c r="B1584" s="46"/>
      <c r="C1584" t="str">
        <f t="shared" si="304"/>
        <v/>
      </c>
      <c r="D1584" s="63" t="str">
        <f t="shared" si="305"/>
        <v/>
      </c>
      <c r="E1584" t="str">
        <f t="shared" si="306"/>
        <v/>
      </c>
      <c r="F1584" t="str">
        <f t="shared" si="307"/>
        <v/>
      </c>
      <c r="G1584">
        <f t="shared" si="308"/>
        <v>3.43396226415094</v>
      </c>
    </row>
    <row r="1585" spans="2:7">
      <c r="B1585" s="46"/>
      <c r="C1585" t="str">
        <f t="shared" si="304"/>
        <v/>
      </c>
      <c r="D1585" s="63" t="str">
        <f t="shared" si="305"/>
        <v/>
      </c>
      <c r="E1585">
        <f t="shared" si="306"/>
        <v>14.5833333333333</v>
      </c>
      <c r="F1585" t="str">
        <f t="shared" si="307"/>
        <v/>
      </c>
      <c r="G1585" t="str">
        <f t="shared" si="308"/>
        <v/>
      </c>
    </row>
    <row r="1586" spans="2:7">
      <c r="B1586" s="46"/>
      <c r="C1586" t="str">
        <f t="shared" si="304"/>
        <v/>
      </c>
      <c r="D1586" s="63" t="str">
        <f t="shared" si="305"/>
        <v/>
      </c>
      <c r="E1586" t="str">
        <f t="shared" si="306"/>
        <v/>
      </c>
      <c r="F1586">
        <f t="shared" si="307"/>
        <v>6.42857142857143</v>
      </c>
      <c r="G1586" t="str">
        <f t="shared" si="308"/>
        <v/>
      </c>
    </row>
    <row r="1587" spans="2:7">
      <c r="B1587" s="46"/>
      <c r="C1587" t="str">
        <f t="shared" si="304"/>
        <v/>
      </c>
      <c r="D1587" s="63" t="str">
        <f t="shared" si="305"/>
        <v/>
      </c>
      <c r="E1587" t="str">
        <f t="shared" si="306"/>
        <v/>
      </c>
      <c r="F1587" t="str">
        <f t="shared" si="307"/>
        <v/>
      </c>
      <c r="G1587">
        <f t="shared" si="308"/>
        <v>3.84591194968553</v>
      </c>
    </row>
    <row r="1588" spans="2:7">
      <c r="B1588" s="46"/>
      <c r="C1588">
        <f t="shared" si="304"/>
        <v>0.844907407407407</v>
      </c>
      <c r="D1588" s="63" t="str">
        <f t="shared" si="305"/>
        <v/>
      </c>
      <c r="E1588" t="str">
        <f t="shared" si="306"/>
        <v/>
      </c>
      <c r="F1588" t="str">
        <f t="shared" si="307"/>
        <v/>
      </c>
      <c r="G1588" t="str">
        <f t="shared" si="308"/>
        <v/>
      </c>
    </row>
    <row r="1589" spans="2:7">
      <c r="B1589" s="46"/>
      <c r="C1589">
        <f t="shared" si="304"/>
        <v>6.79803240740741</v>
      </c>
      <c r="D1589" s="63" t="str">
        <f t="shared" si="305"/>
        <v/>
      </c>
      <c r="E1589" t="str">
        <f t="shared" si="306"/>
        <v/>
      </c>
      <c r="F1589" t="str">
        <f t="shared" si="307"/>
        <v/>
      </c>
      <c r="G1589" t="str">
        <f t="shared" si="308"/>
        <v/>
      </c>
    </row>
    <row r="1590" spans="2:7">
      <c r="B1590" s="46"/>
      <c r="C1590">
        <f t="shared" si="304"/>
        <v>6.79803240740741</v>
      </c>
      <c r="D1590" s="63" t="str">
        <f t="shared" si="305"/>
        <v/>
      </c>
      <c r="E1590" t="str">
        <f t="shared" si="306"/>
        <v/>
      </c>
      <c r="F1590" t="str">
        <f t="shared" si="307"/>
        <v/>
      </c>
      <c r="G1590" t="str">
        <f t="shared" si="308"/>
        <v/>
      </c>
    </row>
    <row r="1591" spans="2:7">
      <c r="B1591" s="46"/>
      <c r="C1591">
        <f t="shared" si="304"/>
        <v>7.52719907407408</v>
      </c>
      <c r="D1591" s="63" t="str">
        <f t="shared" si="305"/>
        <v/>
      </c>
      <c r="E1591" t="str">
        <f t="shared" si="306"/>
        <v/>
      </c>
      <c r="F1591" t="str">
        <f t="shared" si="307"/>
        <v/>
      </c>
      <c r="G1591" t="str">
        <f t="shared" si="308"/>
        <v/>
      </c>
    </row>
    <row r="1592" spans="2:7">
      <c r="B1592" s="46"/>
      <c r="C1592" t="str">
        <f t="shared" si="304"/>
        <v/>
      </c>
      <c r="D1592" s="63">
        <f t="shared" si="305"/>
        <v>2.7881455399061</v>
      </c>
      <c r="E1592" t="str">
        <f t="shared" si="306"/>
        <v/>
      </c>
      <c r="F1592" t="str">
        <f t="shared" si="307"/>
        <v/>
      </c>
      <c r="G1592" t="str">
        <f t="shared" si="308"/>
        <v/>
      </c>
    </row>
    <row r="1593" spans="2:7">
      <c r="B1593" s="46"/>
      <c r="C1593" t="str">
        <f t="shared" si="304"/>
        <v/>
      </c>
      <c r="D1593" s="63">
        <f t="shared" si="305"/>
        <v>4.47535211267606</v>
      </c>
      <c r="E1593" t="str">
        <f t="shared" si="306"/>
        <v/>
      </c>
      <c r="F1593" t="str">
        <f t="shared" si="307"/>
        <v/>
      </c>
      <c r="G1593" t="str">
        <f t="shared" si="308"/>
        <v/>
      </c>
    </row>
    <row r="1594" spans="2:7">
      <c r="B1594" s="46"/>
      <c r="C1594" t="str">
        <f t="shared" si="304"/>
        <v/>
      </c>
      <c r="D1594" s="63">
        <f t="shared" si="305"/>
        <v>6.10680751173709</v>
      </c>
      <c r="E1594" t="str">
        <f t="shared" si="306"/>
        <v/>
      </c>
      <c r="F1594" t="str">
        <f t="shared" si="307"/>
        <v/>
      </c>
      <c r="G1594" t="str">
        <f t="shared" si="308"/>
        <v/>
      </c>
    </row>
    <row r="1595" spans="2:7">
      <c r="B1595" s="46"/>
      <c r="C1595" t="str">
        <f t="shared" si="304"/>
        <v/>
      </c>
      <c r="D1595" s="63">
        <f t="shared" si="305"/>
        <v>8.50821596244131</v>
      </c>
      <c r="E1595" t="str">
        <f t="shared" si="306"/>
        <v/>
      </c>
      <c r="F1595" t="str">
        <f t="shared" si="307"/>
        <v/>
      </c>
      <c r="G1595" t="str">
        <f t="shared" si="308"/>
        <v/>
      </c>
    </row>
    <row r="1596" spans="2:7">
      <c r="B1596" s="46"/>
      <c r="C1596" t="str">
        <f t="shared" si="304"/>
        <v/>
      </c>
      <c r="D1596" s="63">
        <f t="shared" si="305"/>
        <v>10.268779342723</v>
      </c>
      <c r="E1596" t="str">
        <f t="shared" si="306"/>
        <v/>
      </c>
      <c r="F1596" t="str">
        <f t="shared" si="307"/>
        <v/>
      </c>
      <c r="G1596" t="str">
        <f t="shared" si="308"/>
        <v/>
      </c>
    </row>
    <row r="1597" spans="2:7">
      <c r="B1597" s="46"/>
      <c r="C1597" t="str">
        <f t="shared" si="304"/>
        <v/>
      </c>
      <c r="D1597" s="63" t="str">
        <f t="shared" si="305"/>
        <v/>
      </c>
      <c r="E1597" t="str">
        <f t="shared" si="306"/>
        <v/>
      </c>
      <c r="F1597" t="str">
        <f t="shared" si="307"/>
        <v/>
      </c>
      <c r="G1597">
        <f t="shared" si="308"/>
        <v>7.67610062893082</v>
      </c>
    </row>
    <row r="1598" spans="2:7">
      <c r="B1598" s="46"/>
      <c r="C1598" t="str">
        <f t="shared" si="304"/>
        <v/>
      </c>
      <c r="D1598" s="63" t="str">
        <f t="shared" si="305"/>
        <v/>
      </c>
      <c r="E1598" t="str">
        <f t="shared" si="306"/>
        <v/>
      </c>
      <c r="F1598" t="str">
        <f t="shared" si="307"/>
        <v/>
      </c>
      <c r="G1598">
        <f t="shared" si="308"/>
        <v>10.3836477987421</v>
      </c>
    </row>
    <row r="1599" spans="2:7">
      <c r="B1599" s="46"/>
      <c r="C1599" t="str">
        <f t="shared" si="304"/>
        <v/>
      </c>
      <c r="D1599" s="63" t="str">
        <f t="shared" si="305"/>
        <v/>
      </c>
      <c r="E1599" t="str">
        <f t="shared" si="306"/>
        <v/>
      </c>
      <c r="F1599" t="str">
        <f t="shared" si="307"/>
        <v/>
      </c>
      <c r="G1599">
        <f t="shared" si="308"/>
        <v>13.2138364779874</v>
      </c>
    </row>
    <row r="1600" spans="2:7">
      <c r="B1600" s="46"/>
      <c r="C1600" t="str">
        <f t="shared" si="304"/>
        <v/>
      </c>
      <c r="D1600" s="63" t="str">
        <f t="shared" si="305"/>
        <v/>
      </c>
      <c r="E1600" t="str">
        <f t="shared" si="306"/>
        <v/>
      </c>
      <c r="F1600" t="str">
        <f t="shared" si="307"/>
        <v/>
      </c>
      <c r="G1600">
        <f t="shared" si="308"/>
        <v>14.7243186582809</v>
      </c>
    </row>
    <row r="1601" spans="2:7">
      <c r="B1601" s="46"/>
      <c r="C1601" t="str">
        <f t="shared" si="304"/>
        <v/>
      </c>
      <c r="D1601" s="63" t="str">
        <f t="shared" si="305"/>
        <v/>
      </c>
      <c r="E1601" t="str">
        <f t="shared" si="306"/>
        <v/>
      </c>
      <c r="F1601">
        <f t="shared" si="307"/>
        <v>9.17630385487529</v>
      </c>
      <c r="G1601" t="str">
        <f t="shared" si="308"/>
        <v/>
      </c>
    </row>
    <row r="1602" spans="2:7">
      <c r="B1602" s="46"/>
      <c r="C1602" t="str">
        <f t="shared" si="304"/>
        <v/>
      </c>
      <c r="D1602" s="63" t="str">
        <f t="shared" si="305"/>
        <v/>
      </c>
      <c r="E1602" t="str">
        <f t="shared" si="306"/>
        <v/>
      </c>
      <c r="F1602">
        <f t="shared" si="307"/>
        <v>12.328231292517</v>
      </c>
      <c r="G1602" t="str">
        <f t="shared" si="308"/>
        <v/>
      </c>
    </row>
    <row r="1603" spans="2:7">
      <c r="B1603" s="46"/>
      <c r="C1603" t="str">
        <f t="shared" si="304"/>
        <v/>
      </c>
      <c r="D1603" s="63" t="str">
        <f t="shared" si="305"/>
        <v/>
      </c>
      <c r="E1603" t="str">
        <f t="shared" si="306"/>
        <v/>
      </c>
      <c r="F1603">
        <f t="shared" si="307"/>
        <v>15.0017006802721</v>
      </c>
      <c r="G1603" t="str">
        <f t="shared" si="308"/>
        <v/>
      </c>
    </row>
    <row r="1604" spans="2:7">
      <c r="B1604" s="46"/>
      <c r="C1604">
        <f t="shared" si="304"/>
        <v>10.328125</v>
      </c>
      <c r="D1604" s="63" t="str">
        <f t="shared" si="305"/>
        <v/>
      </c>
      <c r="E1604" t="str">
        <f t="shared" si="306"/>
        <v/>
      </c>
      <c r="F1604" t="str">
        <f t="shared" si="307"/>
        <v/>
      </c>
      <c r="G1604" t="str">
        <f t="shared" si="308"/>
        <v/>
      </c>
    </row>
    <row r="1605" spans="2:7">
      <c r="B1605" s="46"/>
      <c r="C1605">
        <f t="shared" si="304"/>
        <v>14.5908564814815</v>
      </c>
      <c r="D1605" s="63" t="str">
        <f t="shared" si="305"/>
        <v/>
      </c>
      <c r="E1605" t="str">
        <f t="shared" si="306"/>
        <v/>
      </c>
      <c r="F1605" t="str">
        <f t="shared" si="307"/>
        <v/>
      </c>
      <c r="G1605" t="str">
        <f t="shared" si="308"/>
        <v/>
      </c>
    </row>
    <row r="1606" spans="2:7">
      <c r="B1606" s="46"/>
      <c r="C1606">
        <f t="shared" si="304"/>
        <v>14.9409722222222</v>
      </c>
      <c r="D1606" s="63" t="str">
        <f t="shared" si="305"/>
        <v/>
      </c>
      <c r="E1606" t="str">
        <f t="shared" si="306"/>
        <v/>
      </c>
      <c r="F1606" t="str">
        <f t="shared" si="307"/>
        <v/>
      </c>
      <c r="G1606" t="str">
        <f t="shared" si="308"/>
        <v/>
      </c>
    </row>
    <row r="1607" spans="2:7">
      <c r="B1607" s="46"/>
      <c r="C1607">
        <f t="shared" si="304"/>
        <v>19.2465277777778</v>
      </c>
      <c r="D1607" s="63" t="str">
        <f t="shared" si="305"/>
        <v/>
      </c>
      <c r="E1607" t="str">
        <f t="shared" si="306"/>
        <v/>
      </c>
      <c r="F1607" t="str">
        <f t="shared" si="307"/>
        <v/>
      </c>
      <c r="G1607" t="str">
        <f t="shared" si="308"/>
        <v/>
      </c>
    </row>
    <row r="1608" spans="2:7">
      <c r="B1608" s="46"/>
      <c r="C1608" t="str">
        <f t="shared" si="304"/>
        <v/>
      </c>
      <c r="D1608" s="63">
        <f t="shared" si="305"/>
        <v>15.0340375586854</v>
      </c>
      <c r="E1608" t="str">
        <f t="shared" si="306"/>
        <v/>
      </c>
      <c r="F1608" t="str">
        <f t="shared" si="307"/>
        <v/>
      </c>
      <c r="G1608" t="str">
        <f t="shared" si="308"/>
        <v/>
      </c>
    </row>
    <row r="1609" spans="2:7">
      <c r="B1609" s="46"/>
      <c r="C1609" t="str">
        <f t="shared" si="304"/>
        <v/>
      </c>
      <c r="D1609" s="63">
        <f t="shared" si="305"/>
        <v>15.0340375586854</v>
      </c>
      <c r="E1609" t="str">
        <f t="shared" si="306"/>
        <v/>
      </c>
      <c r="F1609" t="str">
        <f t="shared" si="307"/>
        <v/>
      </c>
      <c r="G1609" t="str">
        <f t="shared" si="308"/>
        <v/>
      </c>
    </row>
    <row r="1610" spans="2:7">
      <c r="B1610" s="46"/>
      <c r="C1610" t="str">
        <f t="shared" si="304"/>
        <v/>
      </c>
      <c r="D1610" s="63">
        <f t="shared" si="305"/>
        <v>16.1343896713615</v>
      </c>
      <c r="E1610" t="str">
        <f t="shared" si="306"/>
        <v/>
      </c>
      <c r="F1610" t="str">
        <f t="shared" si="307"/>
        <v/>
      </c>
      <c r="G1610" t="str">
        <f t="shared" si="308"/>
        <v/>
      </c>
    </row>
    <row r="1611" spans="2:7">
      <c r="B1611" s="46"/>
      <c r="C1611" t="str">
        <f t="shared" si="304"/>
        <v/>
      </c>
      <c r="D1611" s="63">
        <f t="shared" si="305"/>
        <v>16.8620892018779</v>
      </c>
      <c r="E1611" t="str">
        <f t="shared" si="306"/>
        <v/>
      </c>
      <c r="F1611" t="str">
        <f t="shared" si="307"/>
        <v/>
      </c>
      <c r="G1611" t="str">
        <f t="shared" si="308"/>
        <v/>
      </c>
    </row>
    <row r="1612" spans="2:7">
      <c r="B1612" s="46"/>
      <c r="C1612" t="str">
        <f t="shared" si="304"/>
        <v/>
      </c>
      <c r="D1612" s="63" t="str">
        <f t="shared" si="305"/>
        <v/>
      </c>
      <c r="E1612">
        <f t="shared" si="306"/>
        <v>16.1245098039216</v>
      </c>
      <c r="F1612" t="str">
        <f t="shared" si="307"/>
        <v/>
      </c>
      <c r="G1612" t="str">
        <f t="shared" si="308"/>
        <v/>
      </c>
    </row>
    <row r="1613" spans="2:7">
      <c r="B1613" s="46"/>
      <c r="C1613" t="str">
        <f t="shared" si="304"/>
        <v/>
      </c>
      <c r="D1613" s="63" t="str">
        <f t="shared" si="305"/>
        <v/>
      </c>
      <c r="E1613">
        <f t="shared" si="306"/>
        <v>17.9225490196078</v>
      </c>
      <c r="F1613" t="str">
        <f t="shared" si="307"/>
        <v/>
      </c>
      <c r="G1613" t="str">
        <f t="shared" si="308"/>
        <v/>
      </c>
    </row>
    <row r="1614" spans="2:7">
      <c r="B1614" s="46"/>
      <c r="C1614" t="str">
        <f t="shared" si="304"/>
        <v/>
      </c>
      <c r="D1614" s="63" t="str">
        <f t="shared" si="305"/>
        <v/>
      </c>
      <c r="E1614">
        <f t="shared" si="306"/>
        <v>18.7166666666667</v>
      </c>
      <c r="F1614" t="str">
        <f t="shared" si="307"/>
        <v/>
      </c>
      <c r="G1614" t="str">
        <f t="shared" si="308"/>
        <v/>
      </c>
    </row>
    <row r="1615" spans="2:7">
      <c r="B1615" s="46"/>
      <c r="C1615" t="str">
        <f t="shared" si="304"/>
        <v/>
      </c>
      <c r="D1615" s="63" t="str">
        <f t="shared" si="305"/>
        <v/>
      </c>
      <c r="E1615">
        <f t="shared" si="306"/>
        <v>18.9539215686275</v>
      </c>
      <c r="F1615" t="str">
        <f t="shared" si="307"/>
        <v/>
      </c>
      <c r="G1615" t="str">
        <f t="shared" si="308"/>
        <v/>
      </c>
    </row>
    <row r="1616" spans="2:7">
      <c r="B1616" s="46"/>
      <c r="C1616" t="str">
        <f t="shared" si="304"/>
        <v/>
      </c>
      <c r="D1616" s="63" t="str">
        <f t="shared" si="305"/>
        <v/>
      </c>
      <c r="E1616" t="str">
        <f t="shared" si="306"/>
        <v/>
      </c>
      <c r="F1616" t="str">
        <f t="shared" si="307"/>
        <v/>
      </c>
      <c r="G1616">
        <f t="shared" si="308"/>
        <v>15.4449685534591</v>
      </c>
    </row>
    <row r="1617" spans="2:7">
      <c r="B1617" s="46"/>
      <c r="C1617" t="str">
        <f t="shared" si="304"/>
        <v/>
      </c>
      <c r="D1617" s="63" t="str">
        <f t="shared" si="305"/>
        <v/>
      </c>
      <c r="E1617" t="str">
        <f t="shared" si="306"/>
        <v/>
      </c>
      <c r="F1617" t="str">
        <f t="shared" si="307"/>
        <v/>
      </c>
      <c r="G1617">
        <f t="shared" si="308"/>
        <v>16.4669811320755</v>
      </c>
    </row>
    <row r="1618" spans="2:7">
      <c r="B1618" s="46"/>
      <c r="C1618" t="str">
        <f t="shared" si="304"/>
        <v/>
      </c>
      <c r="D1618" s="63" t="str">
        <f t="shared" si="305"/>
        <v/>
      </c>
      <c r="E1618" t="str">
        <f t="shared" si="306"/>
        <v/>
      </c>
      <c r="F1618" t="str">
        <f t="shared" si="307"/>
        <v/>
      </c>
      <c r="G1618">
        <f t="shared" si="308"/>
        <v>17.7877358490566</v>
      </c>
    </row>
    <row r="1619" spans="2:7">
      <c r="B1619" s="46"/>
      <c r="C1619" t="str">
        <f t="shared" si="304"/>
        <v/>
      </c>
      <c r="D1619" s="63" t="str">
        <f t="shared" si="305"/>
        <v/>
      </c>
      <c r="E1619" t="str">
        <f t="shared" si="306"/>
        <v/>
      </c>
      <c r="F1619" t="str">
        <f t="shared" si="307"/>
        <v/>
      </c>
      <c r="G1619">
        <f t="shared" si="308"/>
        <v>18.377358490566</v>
      </c>
    </row>
    <row r="1620" spans="2:7">
      <c r="B1620" s="46"/>
      <c r="C1620" t="str">
        <f t="shared" si="304"/>
        <v/>
      </c>
      <c r="D1620" s="63" t="str">
        <f t="shared" si="305"/>
        <v/>
      </c>
      <c r="E1620" t="str">
        <f t="shared" si="306"/>
        <v/>
      </c>
      <c r="F1620">
        <f t="shared" si="307"/>
        <v>15.4234693877551</v>
      </c>
      <c r="G1620" t="str">
        <f t="shared" si="308"/>
        <v/>
      </c>
    </row>
    <row r="1621" spans="2:7">
      <c r="B1621" s="46"/>
      <c r="C1621" t="str">
        <f t="shared" si="304"/>
        <v/>
      </c>
      <c r="D1621" s="63" t="str">
        <f t="shared" si="305"/>
        <v/>
      </c>
      <c r="E1621" t="str">
        <f t="shared" si="306"/>
        <v/>
      </c>
      <c r="F1621">
        <f t="shared" si="307"/>
        <v>16.7698412698413</v>
      </c>
      <c r="G1621" t="str">
        <f t="shared" si="308"/>
        <v/>
      </c>
    </row>
    <row r="1622" spans="2:7">
      <c r="B1622" s="46"/>
      <c r="C1622" t="str">
        <f t="shared" si="304"/>
        <v/>
      </c>
      <c r="D1622" s="63" t="str">
        <f t="shared" si="305"/>
        <v/>
      </c>
      <c r="E1622" t="str">
        <f t="shared" si="306"/>
        <v/>
      </c>
      <c r="F1622">
        <f t="shared" si="307"/>
        <v>18.109410430839</v>
      </c>
      <c r="G1622" t="str">
        <f t="shared" si="308"/>
        <v/>
      </c>
    </row>
    <row r="1623" spans="2:7">
      <c r="B1623" s="46"/>
      <c r="C1623" t="str">
        <f t="shared" si="304"/>
        <v/>
      </c>
      <c r="D1623" s="63" t="str">
        <f t="shared" si="305"/>
        <v/>
      </c>
      <c r="E1623" t="str">
        <f t="shared" si="306"/>
        <v/>
      </c>
      <c r="F1623">
        <f t="shared" si="307"/>
        <v>20.1581632653061</v>
      </c>
      <c r="G1623" t="str">
        <f t="shared" si="308"/>
        <v/>
      </c>
    </row>
    <row r="1624" spans="2:7">
      <c r="B1624" s="46"/>
      <c r="C1624" t="str">
        <f t="shared" si="304"/>
        <v/>
      </c>
      <c r="D1624" s="63" t="str">
        <f t="shared" si="305"/>
        <v/>
      </c>
      <c r="E1624" t="str">
        <f t="shared" si="306"/>
        <v/>
      </c>
      <c r="F1624">
        <f t="shared" si="307"/>
        <v>22.1581632653061</v>
      </c>
      <c r="G1624" t="str">
        <f t="shared" si="308"/>
        <v/>
      </c>
    </row>
    <row r="1625" spans="2:7">
      <c r="B1625" s="46"/>
      <c r="C1625" t="str">
        <f t="shared" si="304"/>
        <v/>
      </c>
      <c r="D1625" s="63" t="str">
        <f t="shared" si="305"/>
        <v/>
      </c>
      <c r="E1625" t="str">
        <f t="shared" si="306"/>
        <v/>
      </c>
      <c r="F1625">
        <f t="shared" si="307"/>
        <v>22.8781179138322</v>
      </c>
      <c r="G1625" t="str">
        <f t="shared" si="308"/>
        <v/>
      </c>
    </row>
    <row r="1626" spans="2:7">
      <c r="B1626" s="46"/>
      <c r="C1626" t="str">
        <f t="shared" si="304"/>
        <v/>
      </c>
      <c r="D1626" s="63">
        <f t="shared" si="305"/>
        <v>17.3022300469484</v>
      </c>
      <c r="E1626" t="str">
        <f t="shared" si="306"/>
        <v/>
      </c>
      <c r="F1626" t="str">
        <f t="shared" si="307"/>
        <v/>
      </c>
      <c r="G1626" t="str">
        <f t="shared" si="308"/>
        <v/>
      </c>
    </row>
    <row r="1627" ht="15.75" spans="2:7">
      <c r="B1627" s="46"/>
      <c r="C1627" t="str">
        <f t="shared" si="304"/>
        <v/>
      </c>
      <c r="D1627" s="63">
        <f t="shared" si="305"/>
        <v>22.837441314554</v>
      </c>
      <c r="E1627" t="str">
        <f t="shared" si="306"/>
        <v/>
      </c>
      <c r="F1627" t="str">
        <f t="shared" si="307"/>
        <v/>
      </c>
      <c r="G1627" t="str">
        <f t="shared" si="308"/>
        <v/>
      </c>
    </row>
    <row r="1628" spans="2:7">
      <c r="B1628" s="74" t="s">
        <v>269</v>
      </c>
      <c r="C1628" s="75">
        <f>MAX(C1580:C1627)</f>
        <v>19.2465277777778</v>
      </c>
      <c r="D1628" s="75">
        <f t="shared" ref="D1628:G1628" si="309">MAX(D1580:D1627)</f>
        <v>22.837441314554</v>
      </c>
      <c r="E1628" s="75">
        <f t="shared" si="309"/>
        <v>18.9539215686275</v>
      </c>
      <c r="F1628" s="75">
        <f t="shared" si="309"/>
        <v>22.8781179138322</v>
      </c>
      <c r="G1628" s="75">
        <f t="shared" si="309"/>
        <v>18.377358490566</v>
      </c>
    </row>
    <row r="1629" spans="2:7">
      <c r="B1629" s="76" t="s">
        <v>270</v>
      </c>
      <c r="C1629" s="77">
        <v>1</v>
      </c>
      <c r="D1629" s="78">
        <v>2</v>
      </c>
      <c r="E1629">
        <v>3</v>
      </c>
      <c r="F1629">
        <v>4</v>
      </c>
      <c r="G1629">
        <v>5</v>
      </c>
    </row>
    <row r="1630" spans="2:7">
      <c r="B1630" s="79" t="s">
        <v>271</v>
      </c>
      <c r="C1630" s="72">
        <f>HLOOKUP(MIN(C1628:G1628),C1628:G1629,2,FALSE)</f>
        <v>5</v>
      </c>
      <c r="D1630" s="80"/>
    </row>
    <row r="1633" ht="15.75" spans="2:7">
      <c r="B1633" s="43" t="s">
        <v>321</v>
      </c>
      <c r="C1633" s="44"/>
      <c r="D1633" s="45"/>
    </row>
    <row r="1634" spans="2:7">
      <c r="B1634" s="46"/>
      <c r="C1634" s="61" t="s">
        <v>264</v>
      </c>
      <c r="D1634" s="61" t="s">
        <v>265</v>
      </c>
      <c r="E1634" s="62" t="s">
        <v>286</v>
      </c>
      <c r="F1634" s="62" t="s">
        <v>287</v>
      </c>
      <c r="G1634" s="62" t="s">
        <v>288</v>
      </c>
    </row>
    <row r="1635" spans="2:7">
      <c r="B1635" s="46"/>
      <c r="C1635">
        <f t="shared" ref="C1635:C1683" si="310">IF(J8=1,S8,"")</f>
        <v>0.700231481481482</v>
      </c>
      <c r="D1635" s="63" t="str">
        <f t="shared" ref="D1635:D1683" si="311">IF(J8=2,S8,"")</f>
        <v/>
      </c>
      <c r="E1635" t="str">
        <f t="shared" ref="E1635:E1683" si="312">IF(J8=3,S8,"")</f>
        <v/>
      </c>
      <c r="F1635" t="str">
        <f t="shared" ref="F1635:F1683" si="313">IF(J8=4,S8,"")</f>
        <v/>
      </c>
      <c r="G1635" t="str">
        <f t="shared" ref="G1635:G1683" si="314">IF(J8=5,S8,"")</f>
        <v/>
      </c>
    </row>
    <row r="1636" spans="2:7">
      <c r="B1636" s="46"/>
      <c r="C1636" t="str">
        <f t="shared" si="310"/>
        <v/>
      </c>
      <c r="D1636" s="63">
        <f t="shared" si="311"/>
        <v>0.734154929577465</v>
      </c>
      <c r="E1636" t="str">
        <f t="shared" si="312"/>
        <v/>
      </c>
      <c r="F1636" t="str">
        <f t="shared" si="313"/>
        <v/>
      </c>
      <c r="G1636" t="str">
        <f t="shared" si="314"/>
        <v/>
      </c>
    </row>
    <row r="1637" spans="2:7">
      <c r="B1637" s="46"/>
      <c r="C1637" t="str">
        <f t="shared" si="310"/>
        <v/>
      </c>
      <c r="D1637" s="63" t="str">
        <f t="shared" si="311"/>
        <v/>
      </c>
      <c r="E1637">
        <f t="shared" si="312"/>
        <v>1.83823529411765</v>
      </c>
      <c r="F1637" t="str">
        <f t="shared" si="313"/>
        <v/>
      </c>
      <c r="G1637" t="str">
        <f t="shared" si="314"/>
        <v/>
      </c>
    </row>
    <row r="1638" spans="2:7">
      <c r="B1638" s="46"/>
      <c r="C1638" t="str">
        <f t="shared" si="310"/>
        <v/>
      </c>
      <c r="D1638" s="63" t="str">
        <f t="shared" si="311"/>
        <v/>
      </c>
      <c r="E1638" t="str">
        <f t="shared" si="312"/>
        <v/>
      </c>
      <c r="F1638">
        <f t="shared" si="313"/>
        <v>4.28571428571429</v>
      </c>
      <c r="G1638" t="str">
        <f t="shared" si="314"/>
        <v/>
      </c>
    </row>
    <row r="1639" spans="2:7">
      <c r="B1639" s="46"/>
      <c r="C1639" t="str">
        <f t="shared" si="310"/>
        <v/>
      </c>
      <c r="D1639" s="63" t="str">
        <f t="shared" si="311"/>
        <v/>
      </c>
      <c r="E1639" t="str">
        <f t="shared" si="312"/>
        <v/>
      </c>
      <c r="F1639" t="str">
        <f t="shared" si="313"/>
        <v/>
      </c>
      <c r="G1639">
        <f t="shared" si="314"/>
        <v>3.43396226415094</v>
      </c>
    </row>
    <row r="1640" spans="2:7">
      <c r="B1640" s="46"/>
      <c r="C1640" t="str">
        <f t="shared" si="310"/>
        <v/>
      </c>
      <c r="D1640" s="63" t="str">
        <f t="shared" si="311"/>
        <v/>
      </c>
      <c r="E1640">
        <f t="shared" si="312"/>
        <v>14.5833333333333</v>
      </c>
      <c r="F1640" t="str">
        <f t="shared" si="313"/>
        <v/>
      </c>
      <c r="G1640" t="str">
        <f t="shared" si="314"/>
        <v/>
      </c>
    </row>
    <row r="1641" spans="2:7">
      <c r="B1641" s="46"/>
      <c r="C1641" t="str">
        <f t="shared" si="310"/>
        <v/>
      </c>
      <c r="D1641" s="63" t="str">
        <f t="shared" si="311"/>
        <v/>
      </c>
      <c r="E1641" t="str">
        <f t="shared" si="312"/>
        <v/>
      </c>
      <c r="F1641">
        <f t="shared" si="313"/>
        <v>6.42857142857143</v>
      </c>
      <c r="G1641" t="str">
        <f t="shared" si="314"/>
        <v/>
      </c>
    </row>
    <row r="1642" spans="2:7">
      <c r="B1642" s="46"/>
      <c r="C1642" t="str">
        <f t="shared" si="310"/>
        <v/>
      </c>
      <c r="D1642" s="63" t="str">
        <f t="shared" si="311"/>
        <v/>
      </c>
      <c r="E1642" t="str">
        <f t="shared" si="312"/>
        <v/>
      </c>
      <c r="F1642" t="str">
        <f t="shared" si="313"/>
        <v/>
      </c>
      <c r="G1642">
        <f t="shared" si="314"/>
        <v>3.84591194968553</v>
      </c>
    </row>
    <row r="1643" spans="2:7">
      <c r="B1643" s="46"/>
      <c r="C1643">
        <f t="shared" si="310"/>
        <v>0.844907407407407</v>
      </c>
      <c r="D1643" s="63" t="str">
        <f t="shared" si="311"/>
        <v/>
      </c>
      <c r="E1643" t="str">
        <f t="shared" si="312"/>
        <v/>
      </c>
      <c r="F1643" t="str">
        <f t="shared" si="313"/>
        <v/>
      </c>
      <c r="G1643" t="str">
        <f t="shared" si="314"/>
        <v/>
      </c>
    </row>
    <row r="1644" spans="2:7">
      <c r="B1644" s="46"/>
      <c r="C1644">
        <f t="shared" si="310"/>
        <v>6.79803240740741</v>
      </c>
      <c r="D1644" s="63" t="str">
        <f t="shared" si="311"/>
        <v/>
      </c>
      <c r="E1644" t="str">
        <f t="shared" si="312"/>
        <v/>
      </c>
      <c r="F1644" t="str">
        <f t="shared" si="313"/>
        <v/>
      </c>
      <c r="G1644" t="str">
        <f t="shared" si="314"/>
        <v/>
      </c>
    </row>
    <row r="1645" spans="2:7">
      <c r="B1645" s="46"/>
      <c r="C1645">
        <f t="shared" si="310"/>
        <v>6.79803240740741</v>
      </c>
      <c r="D1645" s="63" t="str">
        <f t="shared" si="311"/>
        <v/>
      </c>
      <c r="E1645" t="str">
        <f t="shared" si="312"/>
        <v/>
      </c>
      <c r="F1645" t="str">
        <f t="shared" si="313"/>
        <v/>
      </c>
      <c r="G1645" t="str">
        <f t="shared" si="314"/>
        <v/>
      </c>
    </row>
    <row r="1646" spans="2:7">
      <c r="B1646" s="46"/>
      <c r="C1646">
        <f t="shared" si="310"/>
        <v>7.52719907407408</v>
      </c>
      <c r="D1646" s="63" t="str">
        <f t="shared" si="311"/>
        <v/>
      </c>
      <c r="E1646" t="str">
        <f t="shared" si="312"/>
        <v/>
      </c>
      <c r="F1646" t="str">
        <f t="shared" si="313"/>
        <v/>
      </c>
      <c r="G1646" t="str">
        <f t="shared" si="314"/>
        <v/>
      </c>
    </row>
    <row r="1647" spans="2:7">
      <c r="B1647" s="46"/>
      <c r="C1647" t="str">
        <f t="shared" si="310"/>
        <v/>
      </c>
      <c r="D1647" s="63">
        <f t="shared" si="311"/>
        <v>2.7881455399061</v>
      </c>
      <c r="E1647" t="str">
        <f t="shared" si="312"/>
        <v/>
      </c>
      <c r="F1647" t="str">
        <f t="shared" si="313"/>
        <v/>
      </c>
      <c r="G1647" t="str">
        <f t="shared" si="314"/>
        <v/>
      </c>
    </row>
    <row r="1648" spans="2:7">
      <c r="B1648" s="46"/>
      <c r="C1648" t="str">
        <f t="shared" si="310"/>
        <v/>
      </c>
      <c r="D1648" s="63">
        <f t="shared" si="311"/>
        <v>4.47535211267606</v>
      </c>
      <c r="E1648" t="str">
        <f t="shared" si="312"/>
        <v/>
      </c>
      <c r="F1648" t="str">
        <f t="shared" si="313"/>
        <v/>
      </c>
      <c r="G1648" t="str">
        <f t="shared" si="314"/>
        <v/>
      </c>
    </row>
    <row r="1649" spans="2:7">
      <c r="B1649" s="46"/>
      <c r="C1649" t="str">
        <f t="shared" si="310"/>
        <v/>
      </c>
      <c r="D1649" s="63">
        <f t="shared" si="311"/>
        <v>6.10680751173709</v>
      </c>
      <c r="E1649" t="str">
        <f t="shared" si="312"/>
        <v/>
      </c>
      <c r="F1649" t="str">
        <f t="shared" si="313"/>
        <v/>
      </c>
      <c r="G1649" t="str">
        <f t="shared" si="314"/>
        <v/>
      </c>
    </row>
    <row r="1650" spans="2:7">
      <c r="B1650" s="46"/>
      <c r="C1650" t="str">
        <f t="shared" si="310"/>
        <v/>
      </c>
      <c r="D1650" s="63">
        <f t="shared" si="311"/>
        <v>8.50821596244131</v>
      </c>
      <c r="E1650" t="str">
        <f t="shared" si="312"/>
        <v/>
      </c>
      <c r="F1650" t="str">
        <f t="shared" si="313"/>
        <v/>
      </c>
      <c r="G1650" t="str">
        <f t="shared" si="314"/>
        <v/>
      </c>
    </row>
    <row r="1651" spans="2:7">
      <c r="B1651" s="46"/>
      <c r="C1651" t="str">
        <f t="shared" si="310"/>
        <v/>
      </c>
      <c r="D1651" s="63">
        <f t="shared" si="311"/>
        <v>10.268779342723</v>
      </c>
      <c r="E1651" t="str">
        <f t="shared" si="312"/>
        <v/>
      </c>
      <c r="F1651" t="str">
        <f t="shared" si="313"/>
        <v/>
      </c>
      <c r="G1651" t="str">
        <f t="shared" si="314"/>
        <v/>
      </c>
    </row>
    <row r="1652" spans="2:7">
      <c r="B1652" s="46"/>
      <c r="C1652" t="str">
        <f t="shared" si="310"/>
        <v/>
      </c>
      <c r="D1652" s="63" t="str">
        <f t="shared" si="311"/>
        <v/>
      </c>
      <c r="E1652" t="str">
        <f t="shared" si="312"/>
        <v/>
      </c>
      <c r="F1652" t="str">
        <f t="shared" si="313"/>
        <v/>
      </c>
      <c r="G1652">
        <f t="shared" si="314"/>
        <v>7.67610062893082</v>
      </c>
    </row>
    <row r="1653" spans="2:7">
      <c r="B1653" s="46"/>
      <c r="C1653" t="str">
        <f t="shared" si="310"/>
        <v/>
      </c>
      <c r="D1653" s="63" t="str">
        <f t="shared" si="311"/>
        <v/>
      </c>
      <c r="E1653" t="str">
        <f t="shared" si="312"/>
        <v/>
      </c>
      <c r="F1653" t="str">
        <f t="shared" si="313"/>
        <v/>
      </c>
      <c r="G1653">
        <f t="shared" si="314"/>
        <v>10.3836477987421</v>
      </c>
    </row>
    <row r="1654" spans="2:7">
      <c r="B1654" s="46"/>
      <c r="C1654" t="str">
        <f t="shared" si="310"/>
        <v/>
      </c>
      <c r="D1654" s="63" t="str">
        <f t="shared" si="311"/>
        <v/>
      </c>
      <c r="E1654" t="str">
        <f t="shared" si="312"/>
        <v/>
      </c>
      <c r="F1654" t="str">
        <f t="shared" si="313"/>
        <v/>
      </c>
      <c r="G1654">
        <f t="shared" si="314"/>
        <v>13.2138364779874</v>
      </c>
    </row>
    <row r="1655" spans="2:7">
      <c r="B1655" s="46"/>
      <c r="C1655" t="str">
        <f t="shared" si="310"/>
        <v/>
      </c>
      <c r="D1655" s="63" t="str">
        <f t="shared" si="311"/>
        <v/>
      </c>
      <c r="E1655" t="str">
        <f t="shared" si="312"/>
        <v/>
      </c>
      <c r="F1655" t="str">
        <f t="shared" si="313"/>
        <v/>
      </c>
      <c r="G1655">
        <f t="shared" si="314"/>
        <v>14.7243186582809</v>
      </c>
    </row>
    <row r="1656" spans="2:7">
      <c r="B1656" s="46"/>
      <c r="C1656" t="str">
        <f t="shared" si="310"/>
        <v/>
      </c>
      <c r="D1656" s="63" t="str">
        <f t="shared" si="311"/>
        <v/>
      </c>
      <c r="E1656" t="str">
        <f t="shared" si="312"/>
        <v/>
      </c>
      <c r="F1656">
        <f t="shared" si="313"/>
        <v>9.17630385487529</v>
      </c>
      <c r="G1656" t="str">
        <f t="shared" si="314"/>
        <v/>
      </c>
    </row>
    <row r="1657" spans="2:7">
      <c r="B1657" s="46"/>
      <c r="C1657" t="str">
        <f t="shared" si="310"/>
        <v/>
      </c>
      <c r="D1657" s="63" t="str">
        <f t="shared" si="311"/>
        <v/>
      </c>
      <c r="E1657" t="str">
        <f t="shared" si="312"/>
        <v/>
      </c>
      <c r="F1657">
        <f t="shared" si="313"/>
        <v>12.328231292517</v>
      </c>
      <c r="G1657" t="str">
        <f t="shared" si="314"/>
        <v/>
      </c>
    </row>
    <row r="1658" spans="2:7">
      <c r="B1658" s="46"/>
      <c r="C1658" t="str">
        <f t="shared" si="310"/>
        <v/>
      </c>
      <c r="D1658" s="63" t="str">
        <f t="shared" si="311"/>
        <v/>
      </c>
      <c r="E1658" t="str">
        <f t="shared" si="312"/>
        <v/>
      </c>
      <c r="F1658">
        <f t="shared" si="313"/>
        <v>15.0017006802721</v>
      </c>
      <c r="G1658" t="str">
        <f t="shared" si="314"/>
        <v/>
      </c>
    </row>
    <row r="1659" spans="2:7">
      <c r="B1659" s="46"/>
      <c r="C1659">
        <f t="shared" si="310"/>
        <v>10.328125</v>
      </c>
      <c r="D1659" s="63" t="str">
        <f t="shared" si="311"/>
        <v/>
      </c>
      <c r="E1659" t="str">
        <f t="shared" si="312"/>
        <v/>
      </c>
      <c r="F1659" t="str">
        <f t="shared" si="313"/>
        <v/>
      </c>
      <c r="G1659" t="str">
        <f t="shared" si="314"/>
        <v/>
      </c>
    </row>
    <row r="1660" spans="2:7">
      <c r="B1660" s="46"/>
      <c r="C1660">
        <f t="shared" si="310"/>
        <v>14.5908564814815</v>
      </c>
      <c r="D1660" s="63" t="str">
        <f t="shared" si="311"/>
        <v/>
      </c>
      <c r="E1660" t="str">
        <f t="shared" si="312"/>
        <v/>
      </c>
      <c r="F1660" t="str">
        <f t="shared" si="313"/>
        <v/>
      </c>
      <c r="G1660" t="str">
        <f t="shared" si="314"/>
        <v/>
      </c>
    </row>
    <row r="1661" spans="2:7">
      <c r="B1661" s="46"/>
      <c r="C1661">
        <f t="shared" si="310"/>
        <v>14.9409722222222</v>
      </c>
      <c r="D1661" s="63" t="str">
        <f t="shared" si="311"/>
        <v/>
      </c>
      <c r="E1661" t="str">
        <f t="shared" si="312"/>
        <v/>
      </c>
      <c r="F1661" t="str">
        <f t="shared" si="313"/>
        <v/>
      </c>
      <c r="G1661" t="str">
        <f t="shared" si="314"/>
        <v/>
      </c>
    </row>
    <row r="1662" spans="2:7">
      <c r="B1662" s="46"/>
      <c r="C1662">
        <f t="shared" si="310"/>
        <v>19.2465277777778</v>
      </c>
      <c r="D1662" s="63" t="str">
        <f t="shared" si="311"/>
        <v/>
      </c>
      <c r="E1662" t="str">
        <f t="shared" si="312"/>
        <v/>
      </c>
      <c r="F1662" t="str">
        <f t="shared" si="313"/>
        <v/>
      </c>
      <c r="G1662" t="str">
        <f t="shared" si="314"/>
        <v/>
      </c>
    </row>
    <row r="1663" spans="2:7">
      <c r="B1663" s="46"/>
      <c r="C1663" t="str">
        <f t="shared" si="310"/>
        <v/>
      </c>
      <c r="D1663" s="63">
        <f t="shared" si="311"/>
        <v>15.0340375586854</v>
      </c>
      <c r="E1663" t="str">
        <f t="shared" si="312"/>
        <v/>
      </c>
      <c r="F1663" t="str">
        <f t="shared" si="313"/>
        <v/>
      </c>
      <c r="G1663" t="str">
        <f t="shared" si="314"/>
        <v/>
      </c>
    </row>
    <row r="1664" spans="2:7">
      <c r="B1664" s="46"/>
      <c r="C1664" t="str">
        <f t="shared" si="310"/>
        <v/>
      </c>
      <c r="D1664" s="63">
        <f t="shared" si="311"/>
        <v>15.0340375586854</v>
      </c>
      <c r="E1664" t="str">
        <f t="shared" si="312"/>
        <v/>
      </c>
      <c r="F1664" t="str">
        <f t="shared" si="313"/>
        <v/>
      </c>
      <c r="G1664" t="str">
        <f t="shared" si="314"/>
        <v/>
      </c>
    </row>
    <row r="1665" spans="2:7">
      <c r="B1665" s="46"/>
      <c r="C1665" t="str">
        <f t="shared" si="310"/>
        <v/>
      </c>
      <c r="D1665" s="63">
        <f t="shared" si="311"/>
        <v>16.1343896713615</v>
      </c>
      <c r="E1665" t="str">
        <f t="shared" si="312"/>
        <v/>
      </c>
      <c r="F1665" t="str">
        <f t="shared" si="313"/>
        <v/>
      </c>
      <c r="G1665" t="str">
        <f t="shared" si="314"/>
        <v/>
      </c>
    </row>
    <row r="1666" spans="2:7">
      <c r="B1666" s="46"/>
      <c r="C1666" t="str">
        <f t="shared" si="310"/>
        <v/>
      </c>
      <c r="D1666" s="63">
        <f t="shared" si="311"/>
        <v>16.8620892018779</v>
      </c>
      <c r="E1666" t="str">
        <f t="shared" si="312"/>
        <v/>
      </c>
      <c r="F1666" t="str">
        <f t="shared" si="313"/>
        <v/>
      </c>
      <c r="G1666" t="str">
        <f t="shared" si="314"/>
        <v/>
      </c>
    </row>
    <row r="1667" spans="2:7">
      <c r="B1667" s="46"/>
      <c r="C1667" t="str">
        <f t="shared" si="310"/>
        <v/>
      </c>
      <c r="D1667" s="63" t="str">
        <f t="shared" si="311"/>
        <v/>
      </c>
      <c r="E1667">
        <f t="shared" si="312"/>
        <v>16.1245098039216</v>
      </c>
      <c r="F1667" t="str">
        <f t="shared" si="313"/>
        <v/>
      </c>
      <c r="G1667" t="str">
        <f t="shared" si="314"/>
        <v/>
      </c>
    </row>
    <row r="1668" spans="2:7">
      <c r="B1668" s="46"/>
      <c r="C1668" t="str">
        <f t="shared" si="310"/>
        <v/>
      </c>
      <c r="D1668" s="63" t="str">
        <f t="shared" si="311"/>
        <v/>
      </c>
      <c r="E1668">
        <f t="shared" si="312"/>
        <v>17.9225490196078</v>
      </c>
      <c r="F1668" t="str">
        <f t="shared" si="313"/>
        <v/>
      </c>
      <c r="G1668" t="str">
        <f t="shared" si="314"/>
        <v/>
      </c>
    </row>
    <row r="1669" spans="2:7">
      <c r="B1669" s="46"/>
      <c r="C1669" t="str">
        <f t="shared" si="310"/>
        <v/>
      </c>
      <c r="D1669" s="63" t="str">
        <f t="shared" si="311"/>
        <v/>
      </c>
      <c r="E1669">
        <f t="shared" si="312"/>
        <v>18.7166666666667</v>
      </c>
      <c r="F1669" t="str">
        <f t="shared" si="313"/>
        <v/>
      </c>
      <c r="G1669" t="str">
        <f t="shared" si="314"/>
        <v/>
      </c>
    </row>
    <row r="1670" spans="2:7">
      <c r="B1670" s="46"/>
      <c r="C1670" t="str">
        <f t="shared" si="310"/>
        <v/>
      </c>
      <c r="D1670" s="63" t="str">
        <f t="shared" si="311"/>
        <v/>
      </c>
      <c r="E1670">
        <f t="shared" si="312"/>
        <v>18.9539215686275</v>
      </c>
      <c r="F1670" t="str">
        <f t="shared" si="313"/>
        <v/>
      </c>
      <c r="G1670" t="str">
        <f t="shared" si="314"/>
        <v/>
      </c>
    </row>
    <row r="1671" spans="2:7">
      <c r="B1671" s="46"/>
      <c r="C1671" t="str">
        <f t="shared" si="310"/>
        <v/>
      </c>
      <c r="D1671" s="63" t="str">
        <f t="shared" si="311"/>
        <v/>
      </c>
      <c r="E1671" t="str">
        <f t="shared" si="312"/>
        <v/>
      </c>
      <c r="F1671" t="str">
        <f t="shared" si="313"/>
        <v/>
      </c>
      <c r="G1671">
        <f t="shared" si="314"/>
        <v>15.4449685534591</v>
      </c>
    </row>
    <row r="1672" spans="2:7">
      <c r="B1672" s="46"/>
      <c r="C1672" t="str">
        <f t="shared" si="310"/>
        <v/>
      </c>
      <c r="D1672" s="63" t="str">
        <f t="shared" si="311"/>
        <v/>
      </c>
      <c r="E1672" t="str">
        <f t="shared" si="312"/>
        <v/>
      </c>
      <c r="F1672" t="str">
        <f t="shared" si="313"/>
        <v/>
      </c>
      <c r="G1672">
        <f t="shared" si="314"/>
        <v>16.4669811320755</v>
      </c>
    </row>
    <row r="1673" spans="2:7">
      <c r="B1673" s="46"/>
      <c r="C1673" t="str">
        <f t="shared" si="310"/>
        <v/>
      </c>
      <c r="D1673" s="63" t="str">
        <f t="shared" si="311"/>
        <v/>
      </c>
      <c r="E1673" t="str">
        <f t="shared" si="312"/>
        <v/>
      </c>
      <c r="F1673" t="str">
        <f t="shared" si="313"/>
        <v/>
      </c>
      <c r="G1673">
        <f t="shared" si="314"/>
        <v>17.7877358490566</v>
      </c>
    </row>
    <row r="1674" spans="2:7">
      <c r="B1674" s="46"/>
      <c r="C1674" t="str">
        <f t="shared" si="310"/>
        <v/>
      </c>
      <c r="D1674" s="63" t="str">
        <f t="shared" si="311"/>
        <v/>
      </c>
      <c r="E1674" t="str">
        <f t="shared" si="312"/>
        <v/>
      </c>
      <c r="F1674" t="str">
        <f t="shared" si="313"/>
        <v/>
      </c>
      <c r="G1674">
        <f t="shared" si="314"/>
        <v>18.377358490566</v>
      </c>
    </row>
    <row r="1675" spans="2:7">
      <c r="B1675" s="46"/>
      <c r="C1675" t="str">
        <f t="shared" si="310"/>
        <v/>
      </c>
      <c r="D1675" s="63" t="str">
        <f t="shared" si="311"/>
        <v/>
      </c>
      <c r="E1675" t="str">
        <f t="shared" si="312"/>
        <v/>
      </c>
      <c r="F1675">
        <f t="shared" si="313"/>
        <v>15.4234693877551</v>
      </c>
      <c r="G1675" t="str">
        <f t="shared" si="314"/>
        <v/>
      </c>
    </row>
    <row r="1676" spans="2:7">
      <c r="B1676" s="46"/>
      <c r="C1676" t="str">
        <f t="shared" si="310"/>
        <v/>
      </c>
      <c r="D1676" s="63" t="str">
        <f t="shared" si="311"/>
        <v/>
      </c>
      <c r="E1676" t="str">
        <f t="shared" si="312"/>
        <v/>
      </c>
      <c r="F1676">
        <f t="shared" si="313"/>
        <v>16.7698412698413</v>
      </c>
      <c r="G1676" t="str">
        <f t="shared" si="314"/>
        <v/>
      </c>
    </row>
    <row r="1677" spans="2:7">
      <c r="B1677" s="46"/>
      <c r="C1677" t="str">
        <f t="shared" si="310"/>
        <v/>
      </c>
      <c r="D1677" s="63" t="str">
        <f t="shared" si="311"/>
        <v/>
      </c>
      <c r="E1677" t="str">
        <f t="shared" si="312"/>
        <v/>
      </c>
      <c r="F1677">
        <f t="shared" si="313"/>
        <v>18.109410430839</v>
      </c>
      <c r="G1677" t="str">
        <f t="shared" si="314"/>
        <v/>
      </c>
    </row>
    <row r="1678" spans="2:7">
      <c r="B1678" s="46"/>
      <c r="C1678" t="str">
        <f t="shared" si="310"/>
        <v/>
      </c>
      <c r="D1678" s="63" t="str">
        <f t="shared" si="311"/>
        <v/>
      </c>
      <c r="E1678" t="str">
        <f t="shared" si="312"/>
        <v/>
      </c>
      <c r="F1678">
        <f t="shared" si="313"/>
        <v>20.1581632653061</v>
      </c>
      <c r="G1678" t="str">
        <f t="shared" si="314"/>
        <v/>
      </c>
    </row>
    <row r="1679" spans="2:7">
      <c r="B1679" s="46"/>
      <c r="C1679" t="str">
        <f t="shared" si="310"/>
        <v/>
      </c>
      <c r="D1679" s="63" t="str">
        <f t="shared" si="311"/>
        <v/>
      </c>
      <c r="E1679" t="str">
        <f t="shared" si="312"/>
        <v/>
      </c>
      <c r="F1679">
        <f t="shared" si="313"/>
        <v>22.1581632653061</v>
      </c>
      <c r="G1679" t="str">
        <f t="shared" si="314"/>
        <v/>
      </c>
    </row>
    <row r="1680" spans="2:7">
      <c r="B1680" s="46"/>
      <c r="C1680" t="str">
        <f t="shared" si="310"/>
        <v/>
      </c>
      <c r="D1680" s="63" t="str">
        <f t="shared" si="311"/>
        <v/>
      </c>
      <c r="E1680" t="str">
        <f t="shared" si="312"/>
        <v/>
      </c>
      <c r="F1680">
        <f t="shared" si="313"/>
        <v>22.8781179138322</v>
      </c>
      <c r="G1680" t="str">
        <f t="shared" si="314"/>
        <v/>
      </c>
    </row>
    <row r="1681" spans="2:7">
      <c r="B1681" s="46"/>
      <c r="C1681" t="str">
        <f t="shared" si="310"/>
        <v/>
      </c>
      <c r="D1681" s="63">
        <f t="shared" si="311"/>
        <v>17.3022300469484</v>
      </c>
      <c r="E1681" t="str">
        <f t="shared" si="312"/>
        <v/>
      </c>
      <c r="F1681" t="str">
        <f t="shared" si="313"/>
        <v/>
      </c>
      <c r="G1681" t="str">
        <f t="shared" si="314"/>
        <v/>
      </c>
    </row>
    <row r="1682" spans="2:7">
      <c r="B1682" s="46"/>
      <c r="C1682" t="str">
        <f t="shared" si="310"/>
        <v/>
      </c>
      <c r="D1682" s="63">
        <f t="shared" si="311"/>
        <v>22.837441314554</v>
      </c>
      <c r="E1682" t="str">
        <f t="shared" si="312"/>
        <v/>
      </c>
      <c r="F1682" t="str">
        <f t="shared" si="313"/>
        <v/>
      </c>
      <c r="G1682" t="str">
        <f t="shared" si="314"/>
        <v/>
      </c>
    </row>
    <row r="1683" ht="15.75" spans="2:7">
      <c r="B1683" s="46"/>
      <c r="C1683" t="str">
        <f t="shared" si="310"/>
        <v/>
      </c>
      <c r="D1683" s="63">
        <f t="shared" si="311"/>
        <v>23.7089201877934</v>
      </c>
      <c r="E1683" t="str">
        <f t="shared" si="312"/>
        <v/>
      </c>
      <c r="F1683" t="str">
        <f t="shared" si="313"/>
        <v/>
      </c>
      <c r="G1683" t="str">
        <f t="shared" si="314"/>
        <v/>
      </c>
    </row>
    <row r="1684" spans="2:7">
      <c r="B1684" s="74" t="s">
        <v>269</v>
      </c>
      <c r="C1684" s="75">
        <f>MAX(C1635:C1683)</f>
        <v>19.2465277777778</v>
      </c>
      <c r="D1684" s="75">
        <f t="shared" ref="D1684:G1684" si="315">MAX(D1635:D1683)</f>
        <v>23.7089201877934</v>
      </c>
      <c r="E1684" s="75">
        <f t="shared" si="315"/>
        <v>18.9539215686275</v>
      </c>
      <c r="F1684" s="75">
        <f t="shared" si="315"/>
        <v>22.8781179138322</v>
      </c>
      <c r="G1684" s="75">
        <f t="shared" si="315"/>
        <v>18.377358490566</v>
      </c>
    </row>
    <row r="1685" spans="2:7">
      <c r="B1685" s="76" t="s">
        <v>270</v>
      </c>
      <c r="C1685" s="77">
        <v>1</v>
      </c>
      <c r="D1685" s="78">
        <v>2</v>
      </c>
      <c r="E1685">
        <v>3</v>
      </c>
      <c r="F1685">
        <v>4</v>
      </c>
      <c r="G1685">
        <v>5</v>
      </c>
    </row>
    <row r="1686" spans="2:7">
      <c r="B1686" s="79" t="s">
        <v>271</v>
      </c>
      <c r="C1686" s="72">
        <f>HLOOKUP(MIN(C1684:G1684),C1684:G1685,2,FALSE)</f>
        <v>5</v>
      </c>
      <c r="D1686" s="80"/>
    </row>
    <row r="1689" ht="15.75" spans="2:7">
      <c r="B1689" s="43" t="s">
        <v>322</v>
      </c>
      <c r="C1689" s="44"/>
      <c r="D1689" s="45"/>
    </row>
    <row r="1690" spans="2:7">
      <c r="B1690" s="46"/>
      <c r="C1690" s="61" t="s">
        <v>264</v>
      </c>
      <c r="D1690" s="61" t="s">
        <v>265</v>
      </c>
      <c r="E1690" s="62" t="s">
        <v>286</v>
      </c>
      <c r="F1690" s="62" t="s">
        <v>287</v>
      </c>
      <c r="G1690" s="62" t="s">
        <v>288</v>
      </c>
    </row>
    <row r="1691" spans="2:7">
      <c r="B1691" s="46"/>
      <c r="C1691">
        <f t="shared" ref="C1691:C1740" si="316">IF(J8=1,S8,"")</f>
        <v>0.700231481481482</v>
      </c>
      <c r="D1691" s="63" t="str">
        <f t="shared" ref="D1691:D1740" si="317">IF(J8=2,S8,"")</f>
        <v/>
      </c>
      <c r="E1691" t="str">
        <f t="shared" ref="E1691:E1740" si="318">IF(J8=3,S8,"")</f>
        <v/>
      </c>
      <c r="F1691" t="str">
        <f t="shared" ref="F1691:F1740" si="319">IF(J8=4,S8,"")</f>
        <v/>
      </c>
      <c r="G1691" t="str">
        <f t="shared" ref="G1691:G1740" si="320">IF(J8=5,S8,"")</f>
        <v/>
      </c>
    </row>
    <row r="1692" spans="2:7">
      <c r="B1692" s="46"/>
      <c r="C1692" t="str">
        <f t="shared" si="316"/>
        <v/>
      </c>
      <c r="D1692" s="63">
        <f t="shared" si="317"/>
        <v>0.734154929577465</v>
      </c>
      <c r="E1692" t="str">
        <f t="shared" si="318"/>
        <v/>
      </c>
      <c r="F1692" t="str">
        <f t="shared" si="319"/>
        <v/>
      </c>
      <c r="G1692" t="str">
        <f t="shared" si="320"/>
        <v/>
      </c>
    </row>
    <row r="1693" spans="2:7">
      <c r="B1693" s="46"/>
      <c r="C1693" t="str">
        <f t="shared" si="316"/>
        <v/>
      </c>
      <c r="D1693" s="63" t="str">
        <f t="shared" si="317"/>
        <v/>
      </c>
      <c r="E1693">
        <f t="shared" si="318"/>
        <v>1.83823529411765</v>
      </c>
      <c r="F1693" t="str">
        <f t="shared" si="319"/>
        <v/>
      </c>
      <c r="G1693" t="str">
        <f t="shared" si="320"/>
        <v/>
      </c>
    </row>
    <row r="1694" spans="2:7">
      <c r="B1694" s="46"/>
      <c r="C1694" t="str">
        <f t="shared" si="316"/>
        <v/>
      </c>
      <c r="D1694" s="63" t="str">
        <f t="shared" si="317"/>
        <v/>
      </c>
      <c r="E1694" t="str">
        <f t="shared" si="318"/>
        <v/>
      </c>
      <c r="F1694">
        <f t="shared" si="319"/>
        <v>4.28571428571429</v>
      </c>
      <c r="G1694" t="str">
        <f t="shared" si="320"/>
        <v/>
      </c>
    </row>
    <row r="1695" spans="2:7">
      <c r="B1695" s="46"/>
      <c r="C1695" t="str">
        <f t="shared" si="316"/>
        <v/>
      </c>
      <c r="D1695" s="63" t="str">
        <f t="shared" si="317"/>
        <v/>
      </c>
      <c r="E1695" t="str">
        <f t="shared" si="318"/>
        <v/>
      </c>
      <c r="F1695" t="str">
        <f t="shared" si="319"/>
        <v/>
      </c>
      <c r="G1695">
        <f t="shared" si="320"/>
        <v>3.43396226415094</v>
      </c>
    </row>
    <row r="1696" spans="2:7">
      <c r="B1696" s="46"/>
      <c r="C1696" t="str">
        <f t="shared" si="316"/>
        <v/>
      </c>
      <c r="D1696" s="63" t="str">
        <f t="shared" si="317"/>
        <v/>
      </c>
      <c r="E1696">
        <f t="shared" si="318"/>
        <v>14.5833333333333</v>
      </c>
      <c r="F1696" t="str">
        <f t="shared" si="319"/>
        <v/>
      </c>
      <c r="G1696" t="str">
        <f t="shared" si="320"/>
        <v/>
      </c>
    </row>
    <row r="1697" spans="2:7">
      <c r="B1697" s="46"/>
      <c r="C1697" t="str">
        <f t="shared" si="316"/>
        <v/>
      </c>
      <c r="D1697" s="63" t="str">
        <f t="shared" si="317"/>
        <v/>
      </c>
      <c r="E1697" t="str">
        <f t="shared" si="318"/>
        <v/>
      </c>
      <c r="F1697">
        <f t="shared" si="319"/>
        <v>6.42857142857143</v>
      </c>
      <c r="G1697" t="str">
        <f t="shared" si="320"/>
        <v/>
      </c>
    </row>
    <row r="1698" spans="2:7">
      <c r="B1698" s="46"/>
      <c r="C1698" t="str">
        <f t="shared" si="316"/>
        <v/>
      </c>
      <c r="D1698" s="63" t="str">
        <f t="shared" si="317"/>
        <v/>
      </c>
      <c r="E1698" t="str">
        <f t="shared" si="318"/>
        <v/>
      </c>
      <c r="F1698" t="str">
        <f t="shared" si="319"/>
        <v/>
      </c>
      <c r="G1698">
        <f t="shared" si="320"/>
        <v>3.84591194968553</v>
      </c>
    </row>
    <row r="1699" spans="2:7">
      <c r="B1699" s="46"/>
      <c r="C1699">
        <f t="shared" si="316"/>
        <v>0.844907407407407</v>
      </c>
      <c r="D1699" s="63" t="str">
        <f t="shared" si="317"/>
        <v/>
      </c>
      <c r="E1699" t="str">
        <f t="shared" si="318"/>
        <v/>
      </c>
      <c r="F1699" t="str">
        <f t="shared" si="319"/>
        <v/>
      </c>
      <c r="G1699" t="str">
        <f t="shared" si="320"/>
        <v/>
      </c>
    </row>
    <row r="1700" spans="2:7">
      <c r="B1700" s="46"/>
      <c r="C1700">
        <f t="shared" si="316"/>
        <v>6.79803240740741</v>
      </c>
      <c r="D1700" s="63" t="str">
        <f t="shared" si="317"/>
        <v/>
      </c>
      <c r="E1700" t="str">
        <f t="shared" si="318"/>
        <v/>
      </c>
      <c r="F1700" t="str">
        <f t="shared" si="319"/>
        <v/>
      </c>
      <c r="G1700" t="str">
        <f t="shared" si="320"/>
        <v/>
      </c>
    </row>
    <row r="1701" spans="2:7">
      <c r="B1701" s="46"/>
      <c r="C1701">
        <f t="shared" si="316"/>
        <v>6.79803240740741</v>
      </c>
      <c r="D1701" s="63" t="str">
        <f t="shared" si="317"/>
        <v/>
      </c>
      <c r="E1701" t="str">
        <f t="shared" si="318"/>
        <v/>
      </c>
      <c r="F1701" t="str">
        <f t="shared" si="319"/>
        <v/>
      </c>
      <c r="G1701" t="str">
        <f t="shared" si="320"/>
        <v/>
      </c>
    </row>
    <row r="1702" spans="2:7">
      <c r="B1702" s="46"/>
      <c r="C1702">
        <f t="shared" si="316"/>
        <v>7.52719907407408</v>
      </c>
      <c r="D1702" s="63" t="str">
        <f t="shared" si="317"/>
        <v/>
      </c>
      <c r="E1702" t="str">
        <f t="shared" si="318"/>
        <v/>
      </c>
      <c r="F1702" t="str">
        <f t="shared" si="319"/>
        <v/>
      </c>
      <c r="G1702" t="str">
        <f t="shared" si="320"/>
        <v/>
      </c>
    </row>
    <row r="1703" spans="2:7">
      <c r="B1703" s="46"/>
      <c r="C1703" t="str">
        <f t="shared" si="316"/>
        <v/>
      </c>
      <c r="D1703" s="63">
        <f t="shared" si="317"/>
        <v>2.7881455399061</v>
      </c>
      <c r="E1703" t="str">
        <f t="shared" si="318"/>
        <v/>
      </c>
      <c r="F1703" t="str">
        <f t="shared" si="319"/>
        <v/>
      </c>
      <c r="G1703" t="str">
        <f t="shared" si="320"/>
        <v/>
      </c>
    </row>
    <row r="1704" spans="2:7">
      <c r="B1704" s="46"/>
      <c r="C1704" t="str">
        <f t="shared" si="316"/>
        <v/>
      </c>
      <c r="D1704" s="63">
        <f t="shared" si="317"/>
        <v>4.47535211267606</v>
      </c>
      <c r="E1704" t="str">
        <f t="shared" si="318"/>
        <v/>
      </c>
      <c r="F1704" t="str">
        <f t="shared" si="319"/>
        <v/>
      </c>
      <c r="G1704" t="str">
        <f t="shared" si="320"/>
        <v/>
      </c>
    </row>
    <row r="1705" spans="2:7">
      <c r="B1705" s="46"/>
      <c r="C1705" t="str">
        <f t="shared" si="316"/>
        <v/>
      </c>
      <c r="D1705" s="63">
        <f t="shared" si="317"/>
        <v>6.10680751173709</v>
      </c>
      <c r="E1705" t="str">
        <f t="shared" si="318"/>
        <v/>
      </c>
      <c r="F1705" t="str">
        <f t="shared" si="319"/>
        <v/>
      </c>
      <c r="G1705" t="str">
        <f t="shared" si="320"/>
        <v/>
      </c>
    </row>
    <row r="1706" spans="2:7">
      <c r="B1706" s="46"/>
      <c r="C1706" t="str">
        <f t="shared" si="316"/>
        <v/>
      </c>
      <c r="D1706" s="63">
        <f t="shared" si="317"/>
        <v>8.50821596244131</v>
      </c>
      <c r="E1706" t="str">
        <f t="shared" si="318"/>
        <v/>
      </c>
      <c r="F1706" t="str">
        <f t="shared" si="319"/>
        <v/>
      </c>
      <c r="G1706" t="str">
        <f t="shared" si="320"/>
        <v/>
      </c>
    </row>
    <row r="1707" spans="2:7">
      <c r="B1707" s="46"/>
      <c r="C1707" t="str">
        <f t="shared" si="316"/>
        <v/>
      </c>
      <c r="D1707" s="63">
        <f t="shared" si="317"/>
        <v>10.268779342723</v>
      </c>
      <c r="E1707" t="str">
        <f t="shared" si="318"/>
        <v/>
      </c>
      <c r="F1707" t="str">
        <f t="shared" si="319"/>
        <v/>
      </c>
      <c r="G1707" t="str">
        <f t="shared" si="320"/>
        <v/>
      </c>
    </row>
    <row r="1708" spans="2:7">
      <c r="B1708" s="46"/>
      <c r="C1708" t="str">
        <f t="shared" si="316"/>
        <v/>
      </c>
      <c r="D1708" s="63" t="str">
        <f t="shared" si="317"/>
        <v/>
      </c>
      <c r="E1708" t="str">
        <f t="shared" si="318"/>
        <v/>
      </c>
      <c r="F1708" t="str">
        <f t="shared" si="319"/>
        <v/>
      </c>
      <c r="G1708">
        <f t="shared" si="320"/>
        <v>7.67610062893082</v>
      </c>
    </row>
    <row r="1709" spans="2:7">
      <c r="B1709" s="46"/>
      <c r="C1709" t="str">
        <f t="shared" si="316"/>
        <v/>
      </c>
      <c r="D1709" s="63" t="str">
        <f t="shared" si="317"/>
        <v/>
      </c>
      <c r="E1709" t="str">
        <f t="shared" si="318"/>
        <v/>
      </c>
      <c r="F1709" t="str">
        <f t="shared" si="319"/>
        <v/>
      </c>
      <c r="G1709">
        <f t="shared" si="320"/>
        <v>10.3836477987421</v>
      </c>
    </row>
    <row r="1710" spans="2:7">
      <c r="B1710" s="46"/>
      <c r="C1710" t="str">
        <f t="shared" si="316"/>
        <v/>
      </c>
      <c r="D1710" s="63" t="str">
        <f t="shared" si="317"/>
        <v/>
      </c>
      <c r="E1710" t="str">
        <f t="shared" si="318"/>
        <v/>
      </c>
      <c r="F1710" t="str">
        <f t="shared" si="319"/>
        <v/>
      </c>
      <c r="G1710">
        <f t="shared" si="320"/>
        <v>13.2138364779874</v>
      </c>
    </row>
    <row r="1711" spans="2:7">
      <c r="B1711" s="46"/>
      <c r="C1711" t="str">
        <f t="shared" si="316"/>
        <v/>
      </c>
      <c r="D1711" s="63" t="str">
        <f t="shared" si="317"/>
        <v/>
      </c>
      <c r="E1711" t="str">
        <f t="shared" si="318"/>
        <v/>
      </c>
      <c r="F1711" t="str">
        <f t="shared" si="319"/>
        <v/>
      </c>
      <c r="G1711">
        <f t="shared" si="320"/>
        <v>14.7243186582809</v>
      </c>
    </row>
    <row r="1712" spans="2:7">
      <c r="B1712" s="46"/>
      <c r="C1712" t="str">
        <f t="shared" si="316"/>
        <v/>
      </c>
      <c r="D1712" s="63" t="str">
        <f t="shared" si="317"/>
        <v/>
      </c>
      <c r="E1712" t="str">
        <f t="shared" si="318"/>
        <v/>
      </c>
      <c r="F1712">
        <f t="shared" si="319"/>
        <v>9.17630385487529</v>
      </c>
      <c r="G1712" t="str">
        <f t="shared" si="320"/>
        <v/>
      </c>
    </row>
    <row r="1713" spans="2:7">
      <c r="B1713" s="46"/>
      <c r="C1713" t="str">
        <f t="shared" si="316"/>
        <v/>
      </c>
      <c r="D1713" s="63" t="str">
        <f t="shared" si="317"/>
        <v/>
      </c>
      <c r="E1713" t="str">
        <f t="shared" si="318"/>
        <v/>
      </c>
      <c r="F1713">
        <f t="shared" si="319"/>
        <v>12.328231292517</v>
      </c>
      <c r="G1713" t="str">
        <f t="shared" si="320"/>
        <v/>
      </c>
    </row>
    <row r="1714" spans="2:7">
      <c r="B1714" s="46"/>
      <c r="C1714" t="str">
        <f t="shared" si="316"/>
        <v/>
      </c>
      <c r="D1714" s="63" t="str">
        <f t="shared" si="317"/>
        <v/>
      </c>
      <c r="E1714" t="str">
        <f t="shared" si="318"/>
        <v/>
      </c>
      <c r="F1714">
        <f t="shared" si="319"/>
        <v>15.0017006802721</v>
      </c>
      <c r="G1714" t="str">
        <f t="shared" si="320"/>
        <v/>
      </c>
    </row>
    <row r="1715" spans="2:7">
      <c r="B1715" s="46"/>
      <c r="C1715">
        <f t="shared" si="316"/>
        <v>10.328125</v>
      </c>
      <c r="D1715" s="63" t="str">
        <f t="shared" si="317"/>
        <v/>
      </c>
      <c r="E1715" t="str">
        <f t="shared" si="318"/>
        <v/>
      </c>
      <c r="F1715" t="str">
        <f t="shared" si="319"/>
        <v/>
      </c>
      <c r="G1715" t="str">
        <f t="shared" si="320"/>
        <v/>
      </c>
    </row>
    <row r="1716" spans="2:7">
      <c r="B1716" s="46"/>
      <c r="C1716">
        <f t="shared" si="316"/>
        <v>14.5908564814815</v>
      </c>
      <c r="D1716" s="63" t="str">
        <f t="shared" si="317"/>
        <v/>
      </c>
      <c r="E1716" t="str">
        <f t="shared" si="318"/>
        <v/>
      </c>
      <c r="F1716" t="str">
        <f t="shared" si="319"/>
        <v/>
      </c>
      <c r="G1716" t="str">
        <f t="shared" si="320"/>
        <v/>
      </c>
    </row>
    <row r="1717" spans="2:7">
      <c r="B1717" s="46"/>
      <c r="C1717">
        <f t="shared" si="316"/>
        <v>14.9409722222222</v>
      </c>
      <c r="D1717" s="63" t="str">
        <f t="shared" si="317"/>
        <v/>
      </c>
      <c r="E1717" t="str">
        <f t="shared" si="318"/>
        <v/>
      </c>
      <c r="F1717" t="str">
        <f t="shared" si="319"/>
        <v/>
      </c>
      <c r="G1717" t="str">
        <f t="shared" si="320"/>
        <v/>
      </c>
    </row>
    <row r="1718" spans="2:7">
      <c r="B1718" s="46"/>
      <c r="C1718">
        <f t="shared" si="316"/>
        <v>19.2465277777778</v>
      </c>
      <c r="D1718" s="63" t="str">
        <f t="shared" si="317"/>
        <v/>
      </c>
      <c r="E1718" t="str">
        <f t="shared" si="318"/>
        <v/>
      </c>
      <c r="F1718" t="str">
        <f t="shared" si="319"/>
        <v/>
      </c>
      <c r="G1718" t="str">
        <f t="shared" si="320"/>
        <v/>
      </c>
    </row>
    <row r="1719" spans="2:7">
      <c r="B1719" s="46"/>
      <c r="C1719" t="str">
        <f t="shared" si="316"/>
        <v/>
      </c>
      <c r="D1719" s="63">
        <f t="shared" si="317"/>
        <v>15.0340375586854</v>
      </c>
      <c r="E1719" t="str">
        <f t="shared" si="318"/>
        <v/>
      </c>
      <c r="F1719" t="str">
        <f t="shared" si="319"/>
        <v/>
      </c>
      <c r="G1719" t="str">
        <f t="shared" si="320"/>
        <v/>
      </c>
    </row>
    <row r="1720" spans="2:7">
      <c r="B1720" s="46"/>
      <c r="C1720" t="str">
        <f t="shared" si="316"/>
        <v/>
      </c>
      <c r="D1720" s="63">
        <f t="shared" si="317"/>
        <v>15.0340375586854</v>
      </c>
      <c r="E1720" t="str">
        <f t="shared" si="318"/>
        <v/>
      </c>
      <c r="F1720" t="str">
        <f t="shared" si="319"/>
        <v/>
      </c>
      <c r="G1720" t="str">
        <f t="shared" si="320"/>
        <v/>
      </c>
    </row>
    <row r="1721" spans="2:7">
      <c r="B1721" s="46"/>
      <c r="C1721" t="str">
        <f t="shared" si="316"/>
        <v/>
      </c>
      <c r="D1721" s="63">
        <f t="shared" si="317"/>
        <v>16.1343896713615</v>
      </c>
      <c r="E1721" t="str">
        <f t="shared" si="318"/>
        <v/>
      </c>
      <c r="F1721" t="str">
        <f t="shared" si="319"/>
        <v/>
      </c>
      <c r="G1721" t="str">
        <f t="shared" si="320"/>
        <v/>
      </c>
    </row>
    <row r="1722" spans="2:7">
      <c r="B1722" s="46"/>
      <c r="C1722" t="str">
        <f t="shared" si="316"/>
        <v/>
      </c>
      <c r="D1722" s="63">
        <f t="shared" si="317"/>
        <v>16.8620892018779</v>
      </c>
      <c r="E1722" t="str">
        <f t="shared" si="318"/>
        <v/>
      </c>
      <c r="F1722" t="str">
        <f t="shared" si="319"/>
        <v/>
      </c>
      <c r="G1722" t="str">
        <f t="shared" si="320"/>
        <v/>
      </c>
    </row>
    <row r="1723" spans="2:7">
      <c r="B1723" s="46"/>
      <c r="C1723" t="str">
        <f t="shared" si="316"/>
        <v/>
      </c>
      <c r="D1723" s="63" t="str">
        <f t="shared" si="317"/>
        <v/>
      </c>
      <c r="E1723">
        <f t="shared" si="318"/>
        <v>16.1245098039216</v>
      </c>
      <c r="F1723" t="str">
        <f t="shared" si="319"/>
        <v/>
      </c>
      <c r="G1723" t="str">
        <f t="shared" si="320"/>
        <v/>
      </c>
    </row>
    <row r="1724" spans="2:7">
      <c r="B1724" s="46"/>
      <c r="C1724" t="str">
        <f t="shared" si="316"/>
        <v/>
      </c>
      <c r="D1724" s="63" t="str">
        <f t="shared" si="317"/>
        <v/>
      </c>
      <c r="E1724">
        <f t="shared" si="318"/>
        <v>17.9225490196078</v>
      </c>
      <c r="F1724" t="str">
        <f t="shared" si="319"/>
        <v/>
      </c>
      <c r="G1724" t="str">
        <f t="shared" si="320"/>
        <v/>
      </c>
    </row>
    <row r="1725" spans="2:7">
      <c r="B1725" s="46"/>
      <c r="C1725" t="str">
        <f t="shared" si="316"/>
        <v/>
      </c>
      <c r="D1725" s="63" t="str">
        <f t="shared" si="317"/>
        <v/>
      </c>
      <c r="E1725">
        <f t="shared" si="318"/>
        <v>18.7166666666667</v>
      </c>
      <c r="F1725" t="str">
        <f t="shared" si="319"/>
        <v/>
      </c>
      <c r="G1725" t="str">
        <f t="shared" si="320"/>
        <v/>
      </c>
    </row>
    <row r="1726" spans="2:7">
      <c r="B1726" s="46"/>
      <c r="C1726" t="str">
        <f t="shared" si="316"/>
        <v/>
      </c>
      <c r="D1726" s="63" t="str">
        <f t="shared" si="317"/>
        <v/>
      </c>
      <c r="E1726">
        <f t="shared" si="318"/>
        <v>18.9539215686275</v>
      </c>
      <c r="F1726" t="str">
        <f t="shared" si="319"/>
        <v/>
      </c>
      <c r="G1726" t="str">
        <f t="shared" si="320"/>
        <v/>
      </c>
    </row>
    <row r="1727" spans="2:7">
      <c r="B1727" s="46"/>
      <c r="C1727" t="str">
        <f t="shared" si="316"/>
        <v/>
      </c>
      <c r="D1727" s="63" t="str">
        <f t="shared" si="317"/>
        <v/>
      </c>
      <c r="E1727" t="str">
        <f t="shared" si="318"/>
        <v/>
      </c>
      <c r="F1727" t="str">
        <f t="shared" si="319"/>
        <v/>
      </c>
      <c r="G1727">
        <f t="shared" si="320"/>
        <v>15.4449685534591</v>
      </c>
    </row>
    <row r="1728" spans="2:7">
      <c r="B1728" s="46"/>
      <c r="C1728" t="str">
        <f t="shared" si="316"/>
        <v/>
      </c>
      <c r="D1728" s="63" t="str">
        <f t="shared" si="317"/>
        <v/>
      </c>
      <c r="E1728" t="str">
        <f t="shared" si="318"/>
        <v/>
      </c>
      <c r="F1728" t="str">
        <f t="shared" si="319"/>
        <v/>
      </c>
      <c r="G1728">
        <f t="shared" si="320"/>
        <v>16.4669811320755</v>
      </c>
    </row>
    <row r="1729" spans="2:7">
      <c r="B1729" s="46"/>
      <c r="C1729" t="str">
        <f t="shared" si="316"/>
        <v/>
      </c>
      <c r="D1729" s="63" t="str">
        <f t="shared" si="317"/>
        <v/>
      </c>
      <c r="E1729" t="str">
        <f t="shared" si="318"/>
        <v/>
      </c>
      <c r="F1729" t="str">
        <f t="shared" si="319"/>
        <v/>
      </c>
      <c r="G1729">
        <f t="shared" si="320"/>
        <v>17.7877358490566</v>
      </c>
    </row>
    <row r="1730" spans="2:7">
      <c r="B1730" s="46"/>
      <c r="C1730" t="str">
        <f t="shared" si="316"/>
        <v/>
      </c>
      <c r="D1730" s="63" t="str">
        <f t="shared" si="317"/>
        <v/>
      </c>
      <c r="E1730" t="str">
        <f t="shared" si="318"/>
        <v/>
      </c>
      <c r="F1730" t="str">
        <f t="shared" si="319"/>
        <v/>
      </c>
      <c r="G1730">
        <f t="shared" si="320"/>
        <v>18.377358490566</v>
      </c>
    </row>
    <row r="1731" spans="2:7">
      <c r="B1731" s="46"/>
      <c r="C1731" t="str">
        <f t="shared" si="316"/>
        <v/>
      </c>
      <c r="D1731" s="63" t="str">
        <f t="shared" si="317"/>
        <v/>
      </c>
      <c r="E1731" t="str">
        <f t="shared" si="318"/>
        <v/>
      </c>
      <c r="F1731">
        <f t="shared" si="319"/>
        <v>15.4234693877551</v>
      </c>
      <c r="G1731" t="str">
        <f t="shared" si="320"/>
        <v/>
      </c>
    </row>
    <row r="1732" spans="2:7">
      <c r="B1732" s="46"/>
      <c r="C1732" t="str">
        <f t="shared" si="316"/>
        <v/>
      </c>
      <c r="D1732" s="63" t="str">
        <f t="shared" si="317"/>
        <v/>
      </c>
      <c r="E1732" t="str">
        <f t="shared" si="318"/>
        <v/>
      </c>
      <c r="F1732">
        <f t="shared" si="319"/>
        <v>16.7698412698413</v>
      </c>
      <c r="G1732" t="str">
        <f t="shared" si="320"/>
        <v/>
      </c>
    </row>
    <row r="1733" spans="2:7">
      <c r="B1733" s="46"/>
      <c r="C1733" t="str">
        <f t="shared" si="316"/>
        <v/>
      </c>
      <c r="D1733" s="63" t="str">
        <f t="shared" si="317"/>
        <v/>
      </c>
      <c r="E1733" t="str">
        <f t="shared" si="318"/>
        <v/>
      </c>
      <c r="F1733">
        <f t="shared" si="319"/>
        <v>18.109410430839</v>
      </c>
      <c r="G1733" t="str">
        <f t="shared" si="320"/>
        <v/>
      </c>
    </row>
    <row r="1734" spans="2:7">
      <c r="B1734" s="46"/>
      <c r="C1734" t="str">
        <f t="shared" si="316"/>
        <v/>
      </c>
      <c r="D1734" s="63" t="str">
        <f t="shared" si="317"/>
        <v/>
      </c>
      <c r="E1734" t="str">
        <f t="shared" si="318"/>
        <v/>
      </c>
      <c r="F1734">
        <f t="shared" si="319"/>
        <v>20.1581632653061</v>
      </c>
      <c r="G1734" t="str">
        <f t="shared" si="320"/>
        <v/>
      </c>
    </row>
    <row r="1735" spans="2:7">
      <c r="B1735" s="46"/>
      <c r="C1735" t="str">
        <f t="shared" si="316"/>
        <v/>
      </c>
      <c r="D1735" s="63" t="str">
        <f t="shared" si="317"/>
        <v/>
      </c>
      <c r="E1735" t="str">
        <f t="shared" si="318"/>
        <v/>
      </c>
      <c r="F1735">
        <f t="shared" si="319"/>
        <v>22.1581632653061</v>
      </c>
      <c r="G1735" t="str">
        <f t="shared" si="320"/>
        <v/>
      </c>
    </row>
    <row r="1736" spans="2:7">
      <c r="B1736" s="46"/>
      <c r="C1736" t="str">
        <f t="shared" si="316"/>
        <v/>
      </c>
      <c r="D1736" s="63" t="str">
        <f t="shared" si="317"/>
        <v/>
      </c>
      <c r="E1736" t="str">
        <f t="shared" si="318"/>
        <v/>
      </c>
      <c r="F1736">
        <f t="shared" si="319"/>
        <v>22.8781179138322</v>
      </c>
      <c r="G1736" t="str">
        <f t="shared" si="320"/>
        <v/>
      </c>
    </row>
    <row r="1737" spans="2:7">
      <c r="B1737" s="46"/>
      <c r="C1737" t="str">
        <f t="shared" si="316"/>
        <v/>
      </c>
      <c r="D1737" s="63">
        <f t="shared" si="317"/>
        <v>17.3022300469484</v>
      </c>
      <c r="E1737" t="str">
        <f t="shared" si="318"/>
        <v/>
      </c>
      <c r="F1737" t="str">
        <f t="shared" si="319"/>
        <v/>
      </c>
      <c r="G1737" t="str">
        <f t="shared" si="320"/>
        <v/>
      </c>
    </row>
    <row r="1738" spans="2:7">
      <c r="B1738" s="46"/>
      <c r="C1738" t="str">
        <f t="shared" si="316"/>
        <v/>
      </c>
      <c r="D1738" s="63">
        <f t="shared" si="317"/>
        <v>22.837441314554</v>
      </c>
      <c r="E1738" t="str">
        <f t="shared" si="318"/>
        <v/>
      </c>
      <c r="F1738" t="str">
        <f t="shared" si="319"/>
        <v/>
      </c>
      <c r="G1738" t="str">
        <f t="shared" si="320"/>
        <v/>
      </c>
    </row>
    <row r="1739" spans="2:7">
      <c r="B1739" s="46"/>
      <c r="C1739" t="str">
        <f t="shared" si="316"/>
        <v/>
      </c>
      <c r="D1739" s="63">
        <f t="shared" si="317"/>
        <v>23.7089201877934</v>
      </c>
      <c r="E1739" t="str">
        <f t="shared" si="318"/>
        <v/>
      </c>
      <c r="F1739" t="str">
        <f t="shared" si="319"/>
        <v/>
      </c>
      <c r="G1739" t="str">
        <f t="shared" si="320"/>
        <v/>
      </c>
    </row>
    <row r="1740" ht="15.75" spans="2:7">
      <c r="B1740" s="46"/>
      <c r="C1740" t="str">
        <f t="shared" si="316"/>
        <v/>
      </c>
      <c r="D1740" s="63">
        <f t="shared" si="317"/>
        <v>24.3427230046948</v>
      </c>
      <c r="E1740" t="str">
        <f t="shared" si="318"/>
        <v/>
      </c>
      <c r="F1740" t="str">
        <f t="shared" si="319"/>
        <v/>
      </c>
      <c r="G1740" t="str">
        <f t="shared" si="320"/>
        <v/>
      </c>
    </row>
    <row r="1741" spans="2:7">
      <c r="B1741" s="74" t="s">
        <v>269</v>
      </c>
      <c r="C1741" s="75">
        <f>MAX(C1691:C1740)</f>
        <v>19.2465277777778</v>
      </c>
      <c r="D1741" s="75">
        <f t="shared" ref="D1741:G1741" si="321">MAX(D1691:D1740)</f>
        <v>24.3427230046948</v>
      </c>
      <c r="E1741" s="75">
        <f t="shared" si="321"/>
        <v>18.9539215686275</v>
      </c>
      <c r="F1741" s="75">
        <f t="shared" si="321"/>
        <v>22.8781179138322</v>
      </c>
      <c r="G1741" s="75">
        <f t="shared" si="321"/>
        <v>18.377358490566</v>
      </c>
    </row>
    <row r="1742" spans="2:7">
      <c r="B1742" s="76" t="s">
        <v>270</v>
      </c>
      <c r="C1742" s="77">
        <v>1</v>
      </c>
      <c r="D1742" s="78">
        <v>2</v>
      </c>
      <c r="E1742">
        <v>3</v>
      </c>
      <c r="F1742">
        <v>4</v>
      </c>
      <c r="G1742">
        <v>5</v>
      </c>
    </row>
    <row r="1743" spans="2:7">
      <c r="B1743" s="79" t="s">
        <v>271</v>
      </c>
      <c r="C1743" s="72">
        <f>HLOOKUP(MIN(C1741:G1741),C1741:G1742,2,FALSE)</f>
        <v>5</v>
      </c>
      <c r="D1743" s="80"/>
    </row>
    <row r="1747" ht="15.75" spans="2:7">
      <c r="B1747" s="43" t="s">
        <v>323</v>
      </c>
      <c r="C1747" s="44"/>
      <c r="D1747" s="45"/>
    </row>
    <row r="1748" spans="2:7">
      <c r="B1748" s="46"/>
      <c r="C1748" s="61" t="s">
        <v>264</v>
      </c>
      <c r="D1748" s="61" t="s">
        <v>265</v>
      </c>
      <c r="E1748" s="62" t="s">
        <v>286</v>
      </c>
      <c r="F1748" s="62" t="s">
        <v>287</v>
      </c>
      <c r="G1748" s="62" t="s">
        <v>288</v>
      </c>
    </row>
    <row r="1749" spans="2:7">
      <c r="B1749" s="46"/>
      <c r="C1749">
        <f t="shared" ref="C1749:C1799" si="322">IF(J8=1,S8,"")</f>
        <v>0.700231481481482</v>
      </c>
      <c r="D1749" s="63" t="str">
        <f t="shared" ref="D1749:D1799" si="323">IF(J8=2,S8,"")</f>
        <v/>
      </c>
      <c r="E1749" t="str">
        <f t="shared" ref="E1749:E1799" si="324">IF(J8=3,S8,"")</f>
        <v/>
      </c>
      <c r="F1749" t="str">
        <f t="shared" ref="F1749:F1799" si="325">IF(J8=4,S8,"")</f>
        <v/>
      </c>
      <c r="G1749" t="str">
        <f t="shared" ref="G1749:G1799" si="326">IF(J8=5,S8,"")</f>
        <v/>
      </c>
    </row>
    <row r="1750" spans="2:7">
      <c r="B1750" s="46"/>
      <c r="C1750" t="str">
        <f t="shared" si="322"/>
        <v/>
      </c>
      <c r="D1750" s="63">
        <f t="shared" si="323"/>
        <v>0.734154929577465</v>
      </c>
      <c r="E1750" t="str">
        <f t="shared" si="324"/>
        <v/>
      </c>
      <c r="F1750" t="str">
        <f t="shared" si="325"/>
        <v/>
      </c>
      <c r="G1750" t="str">
        <f t="shared" si="326"/>
        <v/>
      </c>
    </row>
    <row r="1751" spans="2:7">
      <c r="B1751" s="46"/>
      <c r="C1751" t="str">
        <f t="shared" si="322"/>
        <v/>
      </c>
      <c r="D1751" s="63" t="str">
        <f t="shared" si="323"/>
        <v/>
      </c>
      <c r="E1751">
        <f t="shared" si="324"/>
        <v>1.83823529411765</v>
      </c>
      <c r="F1751" t="str">
        <f t="shared" si="325"/>
        <v/>
      </c>
      <c r="G1751" t="str">
        <f t="shared" si="326"/>
        <v/>
      </c>
    </row>
    <row r="1752" spans="2:7">
      <c r="B1752" s="46"/>
      <c r="C1752" t="str">
        <f t="shared" si="322"/>
        <v/>
      </c>
      <c r="D1752" s="63" t="str">
        <f t="shared" si="323"/>
        <v/>
      </c>
      <c r="E1752" t="str">
        <f t="shared" si="324"/>
        <v/>
      </c>
      <c r="F1752">
        <f t="shared" si="325"/>
        <v>4.28571428571429</v>
      </c>
      <c r="G1752" t="str">
        <f t="shared" si="326"/>
        <v/>
      </c>
    </row>
    <row r="1753" spans="2:7">
      <c r="B1753" s="46"/>
      <c r="C1753" t="str">
        <f t="shared" si="322"/>
        <v/>
      </c>
      <c r="D1753" s="63" t="str">
        <f t="shared" si="323"/>
        <v/>
      </c>
      <c r="E1753" t="str">
        <f t="shared" si="324"/>
        <v/>
      </c>
      <c r="F1753" t="str">
        <f t="shared" si="325"/>
        <v/>
      </c>
      <c r="G1753">
        <f t="shared" si="326"/>
        <v>3.43396226415094</v>
      </c>
    </row>
    <row r="1754" spans="2:7">
      <c r="B1754" s="46"/>
      <c r="C1754" t="str">
        <f t="shared" si="322"/>
        <v/>
      </c>
      <c r="D1754" s="63" t="str">
        <f t="shared" si="323"/>
        <v/>
      </c>
      <c r="E1754">
        <f t="shared" si="324"/>
        <v>14.5833333333333</v>
      </c>
      <c r="F1754" t="str">
        <f t="shared" si="325"/>
        <v/>
      </c>
      <c r="G1754" t="str">
        <f t="shared" si="326"/>
        <v/>
      </c>
    </row>
    <row r="1755" spans="2:7">
      <c r="B1755" s="46"/>
      <c r="C1755" t="str">
        <f t="shared" si="322"/>
        <v/>
      </c>
      <c r="D1755" s="63" t="str">
        <f t="shared" si="323"/>
        <v/>
      </c>
      <c r="E1755" t="str">
        <f t="shared" si="324"/>
        <v/>
      </c>
      <c r="F1755">
        <f t="shared" si="325"/>
        <v>6.42857142857143</v>
      </c>
      <c r="G1755" t="str">
        <f t="shared" si="326"/>
        <v/>
      </c>
    </row>
    <row r="1756" spans="2:7">
      <c r="B1756" s="46"/>
      <c r="C1756" t="str">
        <f t="shared" si="322"/>
        <v/>
      </c>
      <c r="D1756" s="63" t="str">
        <f t="shared" si="323"/>
        <v/>
      </c>
      <c r="E1756" t="str">
        <f t="shared" si="324"/>
        <v/>
      </c>
      <c r="F1756" t="str">
        <f t="shared" si="325"/>
        <v/>
      </c>
      <c r="G1756">
        <f t="shared" si="326"/>
        <v>3.84591194968553</v>
      </c>
    </row>
    <row r="1757" spans="2:7">
      <c r="B1757" s="46"/>
      <c r="C1757">
        <f t="shared" si="322"/>
        <v>0.844907407407407</v>
      </c>
      <c r="D1757" s="63" t="str">
        <f t="shared" si="323"/>
        <v/>
      </c>
      <c r="E1757" t="str">
        <f t="shared" si="324"/>
        <v/>
      </c>
      <c r="F1757" t="str">
        <f t="shared" si="325"/>
        <v/>
      </c>
      <c r="G1757" t="str">
        <f t="shared" si="326"/>
        <v/>
      </c>
    </row>
    <row r="1758" spans="2:7">
      <c r="B1758" s="46"/>
      <c r="C1758">
        <f t="shared" si="322"/>
        <v>6.79803240740741</v>
      </c>
      <c r="D1758" s="63" t="str">
        <f t="shared" si="323"/>
        <v/>
      </c>
      <c r="E1758" t="str">
        <f t="shared" si="324"/>
        <v/>
      </c>
      <c r="F1758" t="str">
        <f t="shared" si="325"/>
        <v/>
      </c>
      <c r="G1758" t="str">
        <f t="shared" si="326"/>
        <v/>
      </c>
    </row>
    <row r="1759" spans="2:7">
      <c r="B1759" s="46"/>
      <c r="C1759">
        <f t="shared" si="322"/>
        <v>6.79803240740741</v>
      </c>
      <c r="D1759" s="63" t="str">
        <f t="shared" si="323"/>
        <v/>
      </c>
      <c r="E1759" t="str">
        <f t="shared" si="324"/>
        <v/>
      </c>
      <c r="F1759" t="str">
        <f t="shared" si="325"/>
        <v/>
      </c>
      <c r="G1759" t="str">
        <f t="shared" si="326"/>
        <v/>
      </c>
    </row>
    <row r="1760" spans="2:7">
      <c r="B1760" s="46"/>
      <c r="C1760">
        <f t="shared" si="322"/>
        <v>7.52719907407408</v>
      </c>
      <c r="D1760" s="63" t="str">
        <f t="shared" si="323"/>
        <v/>
      </c>
      <c r="E1760" t="str">
        <f t="shared" si="324"/>
        <v/>
      </c>
      <c r="F1760" t="str">
        <f t="shared" si="325"/>
        <v/>
      </c>
      <c r="G1760" t="str">
        <f t="shared" si="326"/>
        <v/>
      </c>
    </row>
    <row r="1761" spans="2:7">
      <c r="B1761" s="46"/>
      <c r="C1761" t="str">
        <f t="shared" si="322"/>
        <v/>
      </c>
      <c r="D1761" s="63">
        <f t="shared" si="323"/>
        <v>2.7881455399061</v>
      </c>
      <c r="E1761" t="str">
        <f t="shared" si="324"/>
        <v/>
      </c>
      <c r="F1761" t="str">
        <f t="shared" si="325"/>
        <v/>
      </c>
      <c r="G1761" t="str">
        <f t="shared" si="326"/>
        <v/>
      </c>
    </row>
    <row r="1762" spans="2:7">
      <c r="B1762" s="46"/>
      <c r="C1762" t="str">
        <f t="shared" si="322"/>
        <v/>
      </c>
      <c r="D1762" s="63">
        <f t="shared" si="323"/>
        <v>4.47535211267606</v>
      </c>
      <c r="E1762" t="str">
        <f t="shared" si="324"/>
        <v/>
      </c>
      <c r="F1762" t="str">
        <f t="shared" si="325"/>
        <v/>
      </c>
      <c r="G1762" t="str">
        <f t="shared" si="326"/>
        <v/>
      </c>
    </row>
    <row r="1763" spans="2:7">
      <c r="B1763" s="46"/>
      <c r="C1763" t="str">
        <f t="shared" si="322"/>
        <v/>
      </c>
      <c r="D1763" s="63">
        <f t="shared" si="323"/>
        <v>6.10680751173709</v>
      </c>
      <c r="E1763" t="str">
        <f t="shared" si="324"/>
        <v/>
      </c>
      <c r="F1763" t="str">
        <f t="shared" si="325"/>
        <v/>
      </c>
      <c r="G1763" t="str">
        <f t="shared" si="326"/>
        <v/>
      </c>
    </row>
    <row r="1764" spans="2:7">
      <c r="B1764" s="46"/>
      <c r="C1764" t="str">
        <f t="shared" si="322"/>
        <v/>
      </c>
      <c r="D1764" s="63">
        <f t="shared" si="323"/>
        <v>8.50821596244131</v>
      </c>
      <c r="E1764" t="str">
        <f t="shared" si="324"/>
        <v/>
      </c>
      <c r="F1764" t="str">
        <f t="shared" si="325"/>
        <v/>
      </c>
      <c r="G1764" t="str">
        <f t="shared" si="326"/>
        <v/>
      </c>
    </row>
    <row r="1765" spans="2:7">
      <c r="B1765" s="46"/>
      <c r="C1765" t="str">
        <f t="shared" si="322"/>
        <v/>
      </c>
      <c r="D1765" s="63">
        <f t="shared" si="323"/>
        <v>10.268779342723</v>
      </c>
      <c r="E1765" t="str">
        <f t="shared" si="324"/>
        <v/>
      </c>
      <c r="F1765" t="str">
        <f t="shared" si="325"/>
        <v/>
      </c>
      <c r="G1765" t="str">
        <f t="shared" si="326"/>
        <v/>
      </c>
    </row>
    <row r="1766" spans="2:7">
      <c r="B1766" s="46"/>
      <c r="C1766" t="str">
        <f t="shared" si="322"/>
        <v/>
      </c>
      <c r="D1766" s="63" t="str">
        <f t="shared" si="323"/>
        <v/>
      </c>
      <c r="E1766" t="str">
        <f t="shared" si="324"/>
        <v/>
      </c>
      <c r="F1766" t="str">
        <f t="shared" si="325"/>
        <v/>
      </c>
      <c r="G1766">
        <f t="shared" si="326"/>
        <v>7.67610062893082</v>
      </c>
    </row>
    <row r="1767" spans="2:7">
      <c r="B1767" s="46"/>
      <c r="C1767" t="str">
        <f t="shared" si="322"/>
        <v/>
      </c>
      <c r="D1767" s="63" t="str">
        <f t="shared" si="323"/>
        <v/>
      </c>
      <c r="E1767" t="str">
        <f t="shared" si="324"/>
        <v/>
      </c>
      <c r="F1767" t="str">
        <f t="shared" si="325"/>
        <v/>
      </c>
      <c r="G1767">
        <f t="shared" si="326"/>
        <v>10.3836477987421</v>
      </c>
    </row>
    <row r="1768" spans="2:7">
      <c r="B1768" s="46"/>
      <c r="C1768" t="str">
        <f t="shared" si="322"/>
        <v/>
      </c>
      <c r="D1768" s="63" t="str">
        <f t="shared" si="323"/>
        <v/>
      </c>
      <c r="E1768" t="str">
        <f t="shared" si="324"/>
        <v/>
      </c>
      <c r="F1768" t="str">
        <f t="shared" si="325"/>
        <v/>
      </c>
      <c r="G1768">
        <f t="shared" si="326"/>
        <v>13.2138364779874</v>
      </c>
    </row>
    <row r="1769" spans="2:7">
      <c r="B1769" s="46"/>
      <c r="C1769" t="str">
        <f t="shared" si="322"/>
        <v/>
      </c>
      <c r="D1769" s="63" t="str">
        <f t="shared" si="323"/>
        <v/>
      </c>
      <c r="E1769" t="str">
        <f t="shared" si="324"/>
        <v/>
      </c>
      <c r="F1769" t="str">
        <f t="shared" si="325"/>
        <v/>
      </c>
      <c r="G1769">
        <f t="shared" si="326"/>
        <v>14.7243186582809</v>
      </c>
    </row>
    <row r="1770" spans="2:7">
      <c r="B1770" s="46"/>
      <c r="C1770" t="str">
        <f t="shared" si="322"/>
        <v/>
      </c>
      <c r="D1770" s="63" t="str">
        <f t="shared" si="323"/>
        <v/>
      </c>
      <c r="E1770" t="str">
        <f t="shared" si="324"/>
        <v/>
      </c>
      <c r="F1770">
        <f t="shared" si="325"/>
        <v>9.17630385487529</v>
      </c>
      <c r="G1770" t="str">
        <f t="shared" si="326"/>
        <v/>
      </c>
    </row>
    <row r="1771" spans="2:7">
      <c r="B1771" s="46"/>
      <c r="C1771" t="str">
        <f t="shared" si="322"/>
        <v/>
      </c>
      <c r="D1771" s="63" t="str">
        <f t="shared" si="323"/>
        <v/>
      </c>
      <c r="E1771" t="str">
        <f t="shared" si="324"/>
        <v/>
      </c>
      <c r="F1771">
        <f t="shared" si="325"/>
        <v>12.328231292517</v>
      </c>
      <c r="G1771" t="str">
        <f t="shared" si="326"/>
        <v/>
      </c>
    </row>
    <row r="1772" spans="2:7">
      <c r="B1772" s="46"/>
      <c r="C1772" t="str">
        <f t="shared" si="322"/>
        <v/>
      </c>
      <c r="D1772" s="63" t="str">
        <f t="shared" si="323"/>
        <v/>
      </c>
      <c r="E1772" t="str">
        <f t="shared" si="324"/>
        <v/>
      </c>
      <c r="F1772">
        <f t="shared" si="325"/>
        <v>15.0017006802721</v>
      </c>
      <c r="G1772" t="str">
        <f t="shared" si="326"/>
        <v/>
      </c>
    </row>
    <row r="1773" spans="2:7">
      <c r="B1773" s="46"/>
      <c r="C1773">
        <f t="shared" si="322"/>
        <v>10.328125</v>
      </c>
      <c r="D1773" s="63" t="str">
        <f t="shared" si="323"/>
        <v/>
      </c>
      <c r="E1773" t="str">
        <f t="shared" si="324"/>
        <v/>
      </c>
      <c r="F1773" t="str">
        <f t="shared" si="325"/>
        <v/>
      </c>
      <c r="G1773" t="str">
        <f t="shared" si="326"/>
        <v/>
      </c>
    </row>
    <row r="1774" spans="2:7">
      <c r="B1774" s="46"/>
      <c r="C1774">
        <f t="shared" si="322"/>
        <v>14.5908564814815</v>
      </c>
      <c r="D1774" s="63" t="str">
        <f t="shared" si="323"/>
        <v/>
      </c>
      <c r="E1774" t="str">
        <f t="shared" si="324"/>
        <v/>
      </c>
      <c r="F1774" t="str">
        <f t="shared" si="325"/>
        <v/>
      </c>
      <c r="G1774" t="str">
        <f t="shared" si="326"/>
        <v/>
      </c>
    </row>
    <row r="1775" spans="2:7">
      <c r="B1775" s="46"/>
      <c r="C1775">
        <f t="shared" si="322"/>
        <v>14.9409722222222</v>
      </c>
      <c r="D1775" s="63" t="str">
        <f t="shared" si="323"/>
        <v/>
      </c>
      <c r="E1775" t="str">
        <f t="shared" si="324"/>
        <v/>
      </c>
      <c r="F1775" t="str">
        <f t="shared" si="325"/>
        <v/>
      </c>
      <c r="G1775" t="str">
        <f t="shared" si="326"/>
        <v/>
      </c>
    </row>
    <row r="1776" spans="2:7">
      <c r="B1776" s="46"/>
      <c r="C1776">
        <f t="shared" si="322"/>
        <v>19.2465277777778</v>
      </c>
      <c r="D1776" s="63" t="str">
        <f t="shared" si="323"/>
        <v/>
      </c>
      <c r="E1776" t="str">
        <f t="shared" si="324"/>
        <v/>
      </c>
      <c r="F1776" t="str">
        <f t="shared" si="325"/>
        <v/>
      </c>
      <c r="G1776" t="str">
        <f t="shared" si="326"/>
        <v/>
      </c>
    </row>
    <row r="1777" spans="2:7">
      <c r="B1777" s="46"/>
      <c r="C1777" t="str">
        <f t="shared" si="322"/>
        <v/>
      </c>
      <c r="D1777" s="63">
        <f t="shared" si="323"/>
        <v>15.0340375586854</v>
      </c>
      <c r="E1777" t="str">
        <f t="shared" si="324"/>
        <v/>
      </c>
      <c r="F1777" t="str">
        <f t="shared" si="325"/>
        <v/>
      </c>
      <c r="G1777" t="str">
        <f t="shared" si="326"/>
        <v/>
      </c>
    </row>
    <row r="1778" spans="2:7">
      <c r="B1778" s="46"/>
      <c r="C1778" t="str">
        <f t="shared" si="322"/>
        <v/>
      </c>
      <c r="D1778" s="63">
        <f t="shared" si="323"/>
        <v>15.0340375586854</v>
      </c>
      <c r="E1778" t="str">
        <f t="shared" si="324"/>
        <v/>
      </c>
      <c r="F1778" t="str">
        <f t="shared" si="325"/>
        <v/>
      </c>
      <c r="G1778" t="str">
        <f t="shared" si="326"/>
        <v/>
      </c>
    </row>
    <row r="1779" spans="2:7">
      <c r="B1779" s="46"/>
      <c r="C1779" t="str">
        <f t="shared" si="322"/>
        <v/>
      </c>
      <c r="D1779" s="63">
        <f t="shared" si="323"/>
        <v>16.1343896713615</v>
      </c>
      <c r="E1779" t="str">
        <f t="shared" si="324"/>
        <v/>
      </c>
      <c r="F1779" t="str">
        <f t="shared" si="325"/>
        <v/>
      </c>
      <c r="G1779" t="str">
        <f t="shared" si="326"/>
        <v/>
      </c>
    </row>
    <row r="1780" spans="2:7">
      <c r="B1780" s="46"/>
      <c r="C1780" t="str">
        <f t="shared" si="322"/>
        <v/>
      </c>
      <c r="D1780" s="63">
        <f t="shared" si="323"/>
        <v>16.8620892018779</v>
      </c>
      <c r="E1780" t="str">
        <f t="shared" si="324"/>
        <v/>
      </c>
      <c r="F1780" t="str">
        <f t="shared" si="325"/>
        <v/>
      </c>
      <c r="G1780" t="str">
        <f t="shared" si="326"/>
        <v/>
      </c>
    </row>
    <row r="1781" spans="2:7">
      <c r="B1781" s="46"/>
      <c r="C1781" t="str">
        <f t="shared" si="322"/>
        <v/>
      </c>
      <c r="D1781" s="63" t="str">
        <f t="shared" si="323"/>
        <v/>
      </c>
      <c r="E1781">
        <f t="shared" si="324"/>
        <v>16.1245098039216</v>
      </c>
      <c r="F1781" t="str">
        <f t="shared" si="325"/>
        <v/>
      </c>
      <c r="G1781" t="str">
        <f t="shared" si="326"/>
        <v/>
      </c>
    </row>
    <row r="1782" spans="2:7">
      <c r="B1782" s="46"/>
      <c r="C1782" t="str">
        <f t="shared" si="322"/>
        <v/>
      </c>
      <c r="D1782" s="63" t="str">
        <f t="shared" si="323"/>
        <v/>
      </c>
      <c r="E1782">
        <f t="shared" si="324"/>
        <v>17.9225490196078</v>
      </c>
      <c r="F1782" t="str">
        <f t="shared" si="325"/>
        <v/>
      </c>
      <c r="G1782" t="str">
        <f t="shared" si="326"/>
        <v/>
      </c>
    </row>
    <row r="1783" spans="2:7">
      <c r="B1783" s="46"/>
      <c r="C1783" t="str">
        <f t="shared" si="322"/>
        <v/>
      </c>
      <c r="D1783" s="63" t="str">
        <f t="shared" si="323"/>
        <v/>
      </c>
      <c r="E1783">
        <f t="shared" si="324"/>
        <v>18.7166666666667</v>
      </c>
      <c r="F1783" t="str">
        <f t="shared" si="325"/>
        <v/>
      </c>
      <c r="G1783" t="str">
        <f t="shared" si="326"/>
        <v/>
      </c>
    </row>
    <row r="1784" spans="2:7">
      <c r="B1784" s="46"/>
      <c r="C1784" t="str">
        <f t="shared" si="322"/>
        <v/>
      </c>
      <c r="D1784" s="63" t="str">
        <f t="shared" si="323"/>
        <v/>
      </c>
      <c r="E1784">
        <f t="shared" si="324"/>
        <v>18.9539215686275</v>
      </c>
      <c r="F1784" t="str">
        <f t="shared" si="325"/>
        <v/>
      </c>
      <c r="G1784" t="str">
        <f t="shared" si="326"/>
        <v/>
      </c>
    </row>
    <row r="1785" spans="2:7">
      <c r="B1785" s="46"/>
      <c r="C1785" t="str">
        <f t="shared" si="322"/>
        <v/>
      </c>
      <c r="D1785" s="63" t="str">
        <f t="shared" si="323"/>
        <v/>
      </c>
      <c r="E1785" t="str">
        <f t="shared" si="324"/>
        <v/>
      </c>
      <c r="F1785" t="str">
        <f t="shared" si="325"/>
        <v/>
      </c>
      <c r="G1785">
        <f t="shared" si="326"/>
        <v>15.4449685534591</v>
      </c>
    </row>
    <row r="1786" spans="2:7">
      <c r="B1786" s="46"/>
      <c r="C1786" t="str">
        <f t="shared" si="322"/>
        <v/>
      </c>
      <c r="D1786" s="63" t="str">
        <f t="shared" si="323"/>
        <v/>
      </c>
      <c r="E1786" t="str">
        <f t="shared" si="324"/>
        <v/>
      </c>
      <c r="F1786" t="str">
        <f t="shared" si="325"/>
        <v/>
      </c>
      <c r="G1786">
        <f t="shared" si="326"/>
        <v>16.4669811320755</v>
      </c>
    </row>
    <row r="1787" spans="2:7">
      <c r="B1787" s="46"/>
      <c r="C1787" t="str">
        <f t="shared" si="322"/>
        <v/>
      </c>
      <c r="D1787" s="63" t="str">
        <f t="shared" si="323"/>
        <v/>
      </c>
      <c r="E1787" t="str">
        <f t="shared" si="324"/>
        <v/>
      </c>
      <c r="F1787" t="str">
        <f t="shared" si="325"/>
        <v/>
      </c>
      <c r="G1787">
        <f t="shared" si="326"/>
        <v>17.7877358490566</v>
      </c>
    </row>
    <row r="1788" spans="2:7">
      <c r="B1788" s="46"/>
      <c r="C1788" t="str">
        <f t="shared" si="322"/>
        <v/>
      </c>
      <c r="D1788" s="63" t="str">
        <f t="shared" si="323"/>
        <v/>
      </c>
      <c r="E1788" t="str">
        <f t="shared" si="324"/>
        <v/>
      </c>
      <c r="F1788" t="str">
        <f t="shared" si="325"/>
        <v/>
      </c>
      <c r="G1788">
        <f t="shared" si="326"/>
        <v>18.377358490566</v>
      </c>
    </row>
    <row r="1789" spans="2:7">
      <c r="B1789" s="46"/>
      <c r="C1789" t="str">
        <f t="shared" si="322"/>
        <v/>
      </c>
      <c r="D1789" s="63" t="str">
        <f t="shared" si="323"/>
        <v/>
      </c>
      <c r="E1789" t="str">
        <f t="shared" si="324"/>
        <v/>
      </c>
      <c r="F1789">
        <f t="shared" si="325"/>
        <v>15.4234693877551</v>
      </c>
      <c r="G1789" t="str">
        <f t="shared" si="326"/>
        <v/>
      </c>
    </row>
    <row r="1790" spans="2:7">
      <c r="B1790" s="46"/>
      <c r="C1790" t="str">
        <f t="shared" si="322"/>
        <v/>
      </c>
      <c r="D1790" s="63" t="str">
        <f t="shared" si="323"/>
        <v/>
      </c>
      <c r="E1790" t="str">
        <f t="shared" si="324"/>
        <v/>
      </c>
      <c r="F1790">
        <f t="shared" si="325"/>
        <v>16.7698412698413</v>
      </c>
      <c r="G1790" t="str">
        <f t="shared" si="326"/>
        <v/>
      </c>
    </row>
    <row r="1791" spans="2:7">
      <c r="B1791" s="46"/>
      <c r="C1791" t="str">
        <f t="shared" si="322"/>
        <v/>
      </c>
      <c r="D1791" s="63" t="str">
        <f t="shared" si="323"/>
        <v/>
      </c>
      <c r="E1791" t="str">
        <f t="shared" si="324"/>
        <v/>
      </c>
      <c r="F1791">
        <f t="shared" si="325"/>
        <v>18.109410430839</v>
      </c>
      <c r="G1791" t="str">
        <f t="shared" si="326"/>
        <v/>
      </c>
    </row>
    <row r="1792" spans="2:7">
      <c r="B1792" s="46"/>
      <c r="C1792" t="str">
        <f t="shared" si="322"/>
        <v/>
      </c>
      <c r="D1792" s="63" t="str">
        <f t="shared" si="323"/>
        <v/>
      </c>
      <c r="E1792" t="str">
        <f t="shared" si="324"/>
        <v/>
      </c>
      <c r="F1792">
        <f t="shared" si="325"/>
        <v>20.1581632653061</v>
      </c>
      <c r="G1792" t="str">
        <f t="shared" si="326"/>
        <v/>
      </c>
    </row>
    <row r="1793" spans="2:7">
      <c r="B1793" s="46"/>
      <c r="C1793" t="str">
        <f t="shared" si="322"/>
        <v/>
      </c>
      <c r="D1793" s="63" t="str">
        <f t="shared" si="323"/>
        <v/>
      </c>
      <c r="E1793" t="str">
        <f t="shared" si="324"/>
        <v/>
      </c>
      <c r="F1793">
        <f t="shared" si="325"/>
        <v>22.1581632653061</v>
      </c>
      <c r="G1793" t="str">
        <f t="shared" si="326"/>
        <v/>
      </c>
    </row>
    <row r="1794" spans="2:7">
      <c r="B1794" s="46"/>
      <c r="C1794" t="str">
        <f t="shared" si="322"/>
        <v/>
      </c>
      <c r="D1794" s="63" t="str">
        <f t="shared" si="323"/>
        <v/>
      </c>
      <c r="E1794" t="str">
        <f t="shared" si="324"/>
        <v/>
      </c>
      <c r="F1794">
        <f t="shared" si="325"/>
        <v>22.8781179138322</v>
      </c>
      <c r="G1794" t="str">
        <f t="shared" si="326"/>
        <v/>
      </c>
    </row>
    <row r="1795" spans="2:7">
      <c r="B1795" s="46"/>
      <c r="C1795" t="str">
        <f t="shared" si="322"/>
        <v/>
      </c>
      <c r="D1795" s="63">
        <f t="shared" si="323"/>
        <v>17.3022300469484</v>
      </c>
      <c r="E1795" t="str">
        <f t="shared" si="324"/>
        <v/>
      </c>
      <c r="F1795" t="str">
        <f t="shared" si="325"/>
        <v/>
      </c>
      <c r="G1795" t="str">
        <f t="shared" si="326"/>
        <v/>
      </c>
    </row>
    <row r="1796" spans="2:7">
      <c r="B1796" s="46"/>
      <c r="C1796" t="str">
        <f t="shared" si="322"/>
        <v/>
      </c>
      <c r="D1796" s="63">
        <f t="shared" si="323"/>
        <v>22.837441314554</v>
      </c>
      <c r="E1796" t="str">
        <f t="shared" si="324"/>
        <v/>
      </c>
      <c r="F1796" t="str">
        <f t="shared" si="325"/>
        <v/>
      </c>
      <c r="G1796" t="str">
        <f t="shared" si="326"/>
        <v/>
      </c>
    </row>
    <row r="1797" spans="2:7">
      <c r="B1797" s="46"/>
      <c r="C1797" t="str">
        <f t="shared" si="322"/>
        <v/>
      </c>
      <c r="D1797" s="63">
        <f t="shared" si="323"/>
        <v>23.7089201877934</v>
      </c>
      <c r="E1797" t="str">
        <f t="shared" si="324"/>
        <v/>
      </c>
      <c r="F1797" t="str">
        <f t="shared" si="325"/>
        <v/>
      </c>
      <c r="G1797" t="str">
        <f t="shared" si="326"/>
        <v/>
      </c>
    </row>
    <row r="1798" spans="2:7">
      <c r="B1798" s="46"/>
      <c r="C1798" t="str">
        <f t="shared" si="322"/>
        <v/>
      </c>
      <c r="D1798" s="63">
        <f t="shared" si="323"/>
        <v>24.3427230046948</v>
      </c>
      <c r="E1798" t="str">
        <f t="shared" si="324"/>
        <v/>
      </c>
      <c r="F1798" t="str">
        <f t="shared" si="325"/>
        <v/>
      </c>
      <c r="G1798" t="str">
        <f t="shared" si="326"/>
        <v/>
      </c>
    </row>
    <row r="1799" ht="15.75" spans="2:7">
      <c r="B1799" s="46"/>
      <c r="C1799" t="str">
        <f t="shared" si="322"/>
        <v/>
      </c>
      <c r="D1799" s="63">
        <f t="shared" si="323"/>
        <v>27.5704225352113</v>
      </c>
      <c r="E1799" t="str">
        <f t="shared" si="324"/>
        <v/>
      </c>
      <c r="F1799" t="str">
        <f t="shared" si="325"/>
        <v/>
      </c>
      <c r="G1799" t="str">
        <f t="shared" si="326"/>
        <v/>
      </c>
    </row>
    <row r="1800" spans="2:7">
      <c r="B1800" s="74" t="s">
        <v>269</v>
      </c>
      <c r="C1800" s="75">
        <f>MAX(C1749:C1799)</f>
        <v>19.2465277777778</v>
      </c>
      <c r="D1800" s="75">
        <f>MAX(D1749:D1799)</f>
        <v>27.5704225352113</v>
      </c>
      <c r="E1800" s="75">
        <f t="shared" ref="E1800:G1800" si="327">MAX(E1749:E1799)</f>
        <v>18.9539215686275</v>
      </c>
      <c r="F1800" s="75">
        <f t="shared" si="327"/>
        <v>22.8781179138322</v>
      </c>
      <c r="G1800" s="75">
        <f t="shared" si="327"/>
        <v>18.377358490566</v>
      </c>
    </row>
    <row r="1801" spans="2:7">
      <c r="B1801" s="76" t="s">
        <v>270</v>
      </c>
      <c r="C1801" s="77">
        <v>1</v>
      </c>
      <c r="D1801" s="78">
        <v>2</v>
      </c>
      <c r="E1801">
        <v>3</v>
      </c>
      <c r="F1801">
        <v>4</v>
      </c>
      <c r="G1801">
        <v>5</v>
      </c>
    </row>
    <row r="1802" spans="2:7">
      <c r="B1802" s="79" t="s">
        <v>271</v>
      </c>
      <c r="C1802" s="72">
        <f>HLOOKUP(MIN(C1800:G1800),C1800:G1801,2,FALSE)</f>
        <v>5</v>
      </c>
      <c r="D1802" s="80"/>
    </row>
    <row r="1806" ht="15.75" spans="2:7">
      <c r="B1806" s="43" t="s">
        <v>324</v>
      </c>
      <c r="C1806" s="44"/>
      <c r="D1806" s="45"/>
    </row>
    <row r="1807" spans="2:7">
      <c r="B1807" s="46"/>
      <c r="C1807" s="61" t="s">
        <v>264</v>
      </c>
      <c r="D1807" s="61" t="s">
        <v>265</v>
      </c>
      <c r="E1807" s="62" t="s">
        <v>286</v>
      </c>
      <c r="F1807" s="62" t="s">
        <v>287</v>
      </c>
      <c r="G1807" s="62" t="s">
        <v>288</v>
      </c>
    </row>
    <row r="1808" spans="2:7">
      <c r="B1808" s="46"/>
      <c r="C1808">
        <f t="shared" ref="C1808:C1859" si="328">IF(J8=1,S8,"")</f>
        <v>0.700231481481482</v>
      </c>
      <c r="D1808" s="63" t="str">
        <f t="shared" ref="D1808:D1859" si="329">IF(J8=2,S8,"")</f>
        <v/>
      </c>
      <c r="E1808" t="str">
        <f t="shared" ref="E1808:E1859" si="330">IF(J8=3,S8,"")</f>
        <v/>
      </c>
      <c r="F1808" t="str">
        <f t="shared" ref="F1808:F1859" si="331">IF(J8=4,S8,"")</f>
        <v/>
      </c>
      <c r="G1808" t="str">
        <f t="shared" ref="G1808:G1859" si="332">IF(J8=5,S8,"")</f>
        <v/>
      </c>
    </row>
    <row r="1809" spans="2:7">
      <c r="B1809" s="46"/>
      <c r="C1809" t="str">
        <f t="shared" si="328"/>
        <v/>
      </c>
      <c r="D1809" s="63">
        <f t="shared" si="329"/>
        <v>0.734154929577465</v>
      </c>
      <c r="E1809" t="str">
        <f t="shared" si="330"/>
        <v/>
      </c>
      <c r="F1809" t="str">
        <f t="shared" si="331"/>
        <v/>
      </c>
      <c r="G1809" t="str">
        <f t="shared" si="332"/>
        <v/>
      </c>
    </row>
    <row r="1810" spans="2:7">
      <c r="B1810" s="46"/>
      <c r="C1810" t="str">
        <f t="shared" si="328"/>
        <v/>
      </c>
      <c r="D1810" s="63" t="str">
        <f t="shared" si="329"/>
        <v/>
      </c>
      <c r="E1810">
        <f t="shared" si="330"/>
        <v>1.83823529411765</v>
      </c>
      <c r="F1810" t="str">
        <f t="shared" si="331"/>
        <v/>
      </c>
      <c r="G1810" t="str">
        <f t="shared" si="332"/>
        <v/>
      </c>
    </row>
    <row r="1811" spans="2:7">
      <c r="B1811" s="46"/>
      <c r="C1811" t="str">
        <f t="shared" si="328"/>
        <v/>
      </c>
      <c r="D1811" s="63" t="str">
        <f t="shared" si="329"/>
        <v/>
      </c>
      <c r="E1811" t="str">
        <f t="shared" si="330"/>
        <v/>
      </c>
      <c r="F1811">
        <f t="shared" si="331"/>
        <v>4.28571428571429</v>
      </c>
      <c r="G1811" t="str">
        <f t="shared" si="332"/>
        <v/>
      </c>
    </row>
    <row r="1812" spans="2:7">
      <c r="B1812" s="46"/>
      <c r="C1812" t="str">
        <f t="shared" si="328"/>
        <v/>
      </c>
      <c r="D1812" s="63" t="str">
        <f t="shared" si="329"/>
        <v/>
      </c>
      <c r="E1812" t="str">
        <f t="shared" si="330"/>
        <v/>
      </c>
      <c r="F1812" t="str">
        <f t="shared" si="331"/>
        <v/>
      </c>
      <c r="G1812">
        <f t="shared" si="332"/>
        <v>3.43396226415094</v>
      </c>
    </row>
    <row r="1813" spans="2:7">
      <c r="B1813" s="46"/>
      <c r="C1813" t="str">
        <f t="shared" si="328"/>
        <v/>
      </c>
      <c r="D1813" s="63" t="str">
        <f t="shared" si="329"/>
        <v/>
      </c>
      <c r="E1813">
        <f t="shared" si="330"/>
        <v>14.5833333333333</v>
      </c>
      <c r="F1813" t="str">
        <f t="shared" si="331"/>
        <v/>
      </c>
      <c r="G1813" t="str">
        <f t="shared" si="332"/>
        <v/>
      </c>
    </row>
    <row r="1814" spans="2:7">
      <c r="B1814" s="46"/>
      <c r="C1814" t="str">
        <f t="shared" si="328"/>
        <v/>
      </c>
      <c r="D1814" s="63" t="str">
        <f t="shared" si="329"/>
        <v/>
      </c>
      <c r="E1814" t="str">
        <f t="shared" si="330"/>
        <v/>
      </c>
      <c r="F1814">
        <f t="shared" si="331"/>
        <v>6.42857142857143</v>
      </c>
      <c r="G1814" t="str">
        <f t="shared" si="332"/>
        <v/>
      </c>
    </row>
    <row r="1815" spans="2:7">
      <c r="B1815" s="46"/>
      <c r="C1815" t="str">
        <f t="shared" si="328"/>
        <v/>
      </c>
      <c r="D1815" s="63" t="str">
        <f t="shared" si="329"/>
        <v/>
      </c>
      <c r="E1815" t="str">
        <f t="shared" si="330"/>
        <v/>
      </c>
      <c r="F1815" t="str">
        <f t="shared" si="331"/>
        <v/>
      </c>
      <c r="G1815">
        <f t="shared" si="332"/>
        <v>3.84591194968553</v>
      </c>
    </row>
    <row r="1816" spans="2:7">
      <c r="B1816" s="46"/>
      <c r="C1816">
        <f t="shared" si="328"/>
        <v>0.844907407407407</v>
      </c>
      <c r="D1816" s="63" t="str">
        <f t="shared" si="329"/>
        <v/>
      </c>
      <c r="E1816" t="str">
        <f t="shared" si="330"/>
        <v/>
      </c>
      <c r="F1816" t="str">
        <f t="shared" si="331"/>
        <v/>
      </c>
      <c r="G1816" t="str">
        <f t="shared" si="332"/>
        <v/>
      </c>
    </row>
    <row r="1817" spans="2:7">
      <c r="B1817" s="46"/>
      <c r="C1817">
        <f t="shared" si="328"/>
        <v>6.79803240740741</v>
      </c>
      <c r="D1817" s="63" t="str">
        <f t="shared" si="329"/>
        <v/>
      </c>
      <c r="E1817" t="str">
        <f t="shared" si="330"/>
        <v/>
      </c>
      <c r="F1817" t="str">
        <f t="shared" si="331"/>
        <v/>
      </c>
      <c r="G1817" t="str">
        <f t="shared" si="332"/>
        <v/>
      </c>
    </row>
    <row r="1818" spans="2:7">
      <c r="B1818" s="46"/>
      <c r="C1818">
        <f t="shared" si="328"/>
        <v>6.79803240740741</v>
      </c>
      <c r="D1818" s="63" t="str">
        <f t="shared" si="329"/>
        <v/>
      </c>
      <c r="E1818" t="str">
        <f t="shared" si="330"/>
        <v/>
      </c>
      <c r="F1818" t="str">
        <f t="shared" si="331"/>
        <v/>
      </c>
      <c r="G1818" t="str">
        <f t="shared" si="332"/>
        <v/>
      </c>
    </row>
    <row r="1819" spans="2:7">
      <c r="B1819" s="46"/>
      <c r="C1819">
        <f t="shared" si="328"/>
        <v>7.52719907407408</v>
      </c>
      <c r="D1819" s="63" t="str">
        <f t="shared" si="329"/>
        <v/>
      </c>
      <c r="E1819" t="str">
        <f t="shared" si="330"/>
        <v/>
      </c>
      <c r="F1819" t="str">
        <f t="shared" si="331"/>
        <v/>
      </c>
      <c r="G1819" t="str">
        <f t="shared" si="332"/>
        <v/>
      </c>
    </row>
    <row r="1820" spans="2:7">
      <c r="B1820" s="46"/>
      <c r="C1820" t="str">
        <f t="shared" si="328"/>
        <v/>
      </c>
      <c r="D1820" s="63">
        <f t="shared" si="329"/>
        <v>2.7881455399061</v>
      </c>
      <c r="E1820" t="str">
        <f t="shared" si="330"/>
        <v/>
      </c>
      <c r="F1820" t="str">
        <f t="shared" si="331"/>
        <v/>
      </c>
      <c r="G1820" t="str">
        <f t="shared" si="332"/>
        <v/>
      </c>
    </row>
    <row r="1821" spans="2:7">
      <c r="B1821" s="46"/>
      <c r="C1821" t="str">
        <f t="shared" si="328"/>
        <v/>
      </c>
      <c r="D1821" s="63">
        <f t="shared" si="329"/>
        <v>4.47535211267606</v>
      </c>
      <c r="E1821" t="str">
        <f t="shared" si="330"/>
        <v/>
      </c>
      <c r="F1821" t="str">
        <f t="shared" si="331"/>
        <v/>
      </c>
      <c r="G1821" t="str">
        <f t="shared" si="332"/>
        <v/>
      </c>
    </row>
    <row r="1822" spans="2:7">
      <c r="B1822" s="46"/>
      <c r="C1822" t="str">
        <f t="shared" si="328"/>
        <v/>
      </c>
      <c r="D1822" s="63">
        <f t="shared" si="329"/>
        <v>6.10680751173709</v>
      </c>
      <c r="E1822" t="str">
        <f t="shared" si="330"/>
        <v/>
      </c>
      <c r="F1822" t="str">
        <f t="shared" si="331"/>
        <v/>
      </c>
      <c r="G1822" t="str">
        <f t="shared" si="332"/>
        <v/>
      </c>
    </row>
    <row r="1823" spans="2:7">
      <c r="B1823" s="46"/>
      <c r="C1823" t="str">
        <f t="shared" si="328"/>
        <v/>
      </c>
      <c r="D1823" s="63">
        <f t="shared" si="329"/>
        <v>8.50821596244131</v>
      </c>
      <c r="E1823" t="str">
        <f t="shared" si="330"/>
        <v/>
      </c>
      <c r="F1823" t="str">
        <f t="shared" si="331"/>
        <v/>
      </c>
      <c r="G1823" t="str">
        <f t="shared" si="332"/>
        <v/>
      </c>
    </row>
    <row r="1824" spans="2:7">
      <c r="B1824" s="46"/>
      <c r="C1824" t="str">
        <f t="shared" si="328"/>
        <v/>
      </c>
      <c r="D1824" s="63">
        <f t="shared" si="329"/>
        <v>10.268779342723</v>
      </c>
      <c r="E1824" t="str">
        <f t="shared" si="330"/>
        <v/>
      </c>
      <c r="F1824" t="str">
        <f t="shared" si="331"/>
        <v/>
      </c>
      <c r="G1824" t="str">
        <f t="shared" si="332"/>
        <v/>
      </c>
    </row>
    <row r="1825" spans="2:7">
      <c r="B1825" s="46"/>
      <c r="C1825" t="str">
        <f t="shared" si="328"/>
        <v/>
      </c>
      <c r="D1825" s="63" t="str">
        <f t="shared" si="329"/>
        <v/>
      </c>
      <c r="E1825" t="str">
        <f t="shared" si="330"/>
        <v/>
      </c>
      <c r="F1825" t="str">
        <f t="shared" si="331"/>
        <v/>
      </c>
      <c r="G1825">
        <f t="shared" si="332"/>
        <v>7.67610062893082</v>
      </c>
    </row>
    <row r="1826" spans="2:7">
      <c r="B1826" s="46"/>
      <c r="C1826" t="str">
        <f t="shared" si="328"/>
        <v/>
      </c>
      <c r="D1826" s="63" t="str">
        <f t="shared" si="329"/>
        <v/>
      </c>
      <c r="E1826" t="str">
        <f t="shared" si="330"/>
        <v/>
      </c>
      <c r="F1826" t="str">
        <f t="shared" si="331"/>
        <v/>
      </c>
      <c r="G1826">
        <f t="shared" si="332"/>
        <v>10.3836477987421</v>
      </c>
    </row>
    <row r="1827" spans="2:7">
      <c r="B1827" s="46"/>
      <c r="C1827" t="str">
        <f t="shared" si="328"/>
        <v/>
      </c>
      <c r="D1827" s="63" t="str">
        <f t="shared" si="329"/>
        <v/>
      </c>
      <c r="E1827" t="str">
        <f t="shared" si="330"/>
        <v/>
      </c>
      <c r="F1827" t="str">
        <f t="shared" si="331"/>
        <v/>
      </c>
      <c r="G1827">
        <f t="shared" si="332"/>
        <v>13.2138364779874</v>
      </c>
    </row>
    <row r="1828" spans="2:7">
      <c r="B1828" s="46"/>
      <c r="C1828" t="str">
        <f t="shared" si="328"/>
        <v/>
      </c>
      <c r="D1828" s="63" t="str">
        <f t="shared" si="329"/>
        <v/>
      </c>
      <c r="E1828" t="str">
        <f t="shared" si="330"/>
        <v/>
      </c>
      <c r="F1828" t="str">
        <f t="shared" si="331"/>
        <v/>
      </c>
      <c r="G1828">
        <f t="shared" si="332"/>
        <v>14.7243186582809</v>
      </c>
    </row>
    <row r="1829" spans="2:7">
      <c r="B1829" s="46"/>
      <c r="C1829" t="str">
        <f t="shared" si="328"/>
        <v/>
      </c>
      <c r="D1829" s="63" t="str">
        <f t="shared" si="329"/>
        <v/>
      </c>
      <c r="E1829" t="str">
        <f t="shared" si="330"/>
        <v/>
      </c>
      <c r="F1829">
        <f t="shared" si="331"/>
        <v>9.17630385487529</v>
      </c>
      <c r="G1829" t="str">
        <f t="shared" si="332"/>
        <v/>
      </c>
    </row>
    <row r="1830" spans="2:7">
      <c r="B1830" s="46"/>
      <c r="C1830" t="str">
        <f t="shared" si="328"/>
        <v/>
      </c>
      <c r="D1830" s="63" t="str">
        <f t="shared" si="329"/>
        <v/>
      </c>
      <c r="E1830" t="str">
        <f t="shared" si="330"/>
        <v/>
      </c>
      <c r="F1830">
        <f t="shared" si="331"/>
        <v>12.328231292517</v>
      </c>
      <c r="G1830" t="str">
        <f t="shared" si="332"/>
        <v/>
      </c>
    </row>
    <row r="1831" spans="2:7">
      <c r="B1831" s="46"/>
      <c r="C1831" t="str">
        <f t="shared" si="328"/>
        <v/>
      </c>
      <c r="D1831" s="63" t="str">
        <f t="shared" si="329"/>
        <v/>
      </c>
      <c r="E1831" t="str">
        <f t="shared" si="330"/>
        <v/>
      </c>
      <c r="F1831">
        <f t="shared" si="331"/>
        <v>15.0017006802721</v>
      </c>
      <c r="G1831" t="str">
        <f t="shared" si="332"/>
        <v/>
      </c>
    </row>
    <row r="1832" spans="2:7">
      <c r="B1832" s="46"/>
      <c r="C1832">
        <f t="shared" si="328"/>
        <v>10.328125</v>
      </c>
      <c r="D1832" s="63" t="str">
        <f t="shared" si="329"/>
        <v/>
      </c>
      <c r="E1832" t="str">
        <f t="shared" si="330"/>
        <v/>
      </c>
      <c r="F1832" t="str">
        <f t="shared" si="331"/>
        <v/>
      </c>
      <c r="G1832" t="str">
        <f t="shared" si="332"/>
        <v/>
      </c>
    </row>
    <row r="1833" spans="2:7">
      <c r="B1833" s="46"/>
      <c r="C1833">
        <f t="shared" si="328"/>
        <v>14.5908564814815</v>
      </c>
      <c r="D1833" s="63" t="str">
        <f t="shared" si="329"/>
        <v/>
      </c>
      <c r="E1833" t="str">
        <f t="shared" si="330"/>
        <v/>
      </c>
      <c r="F1833" t="str">
        <f t="shared" si="331"/>
        <v/>
      </c>
      <c r="G1833" t="str">
        <f t="shared" si="332"/>
        <v/>
      </c>
    </row>
    <row r="1834" spans="2:7">
      <c r="B1834" s="46"/>
      <c r="C1834">
        <f t="shared" si="328"/>
        <v>14.9409722222222</v>
      </c>
      <c r="D1834" s="63" t="str">
        <f t="shared" si="329"/>
        <v/>
      </c>
      <c r="E1834" t="str">
        <f t="shared" si="330"/>
        <v/>
      </c>
      <c r="F1834" t="str">
        <f t="shared" si="331"/>
        <v/>
      </c>
      <c r="G1834" t="str">
        <f t="shared" si="332"/>
        <v/>
      </c>
    </row>
    <row r="1835" spans="2:7">
      <c r="B1835" s="46"/>
      <c r="C1835">
        <f t="shared" si="328"/>
        <v>19.2465277777778</v>
      </c>
      <c r="D1835" s="63" t="str">
        <f t="shared" si="329"/>
        <v/>
      </c>
      <c r="E1835" t="str">
        <f t="shared" si="330"/>
        <v/>
      </c>
      <c r="F1835" t="str">
        <f t="shared" si="331"/>
        <v/>
      </c>
      <c r="G1835" t="str">
        <f t="shared" si="332"/>
        <v/>
      </c>
    </row>
    <row r="1836" spans="2:7">
      <c r="B1836" s="46"/>
      <c r="C1836" t="str">
        <f t="shared" si="328"/>
        <v/>
      </c>
      <c r="D1836" s="63">
        <f t="shared" si="329"/>
        <v>15.0340375586854</v>
      </c>
      <c r="E1836" t="str">
        <f t="shared" si="330"/>
        <v/>
      </c>
      <c r="F1836" t="str">
        <f t="shared" si="331"/>
        <v/>
      </c>
      <c r="G1836" t="str">
        <f t="shared" si="332"/>
        <v/>
      </c>
    </row>
    <row r="1837" spans="2:7">
      <c r="B1837" s="46"/>
      <c r="C1837" t="str">
        <f t="shared" si="328"/>
        <v/>
      </c>
      <c r="D1837" s="63">
        <f t="shared" si="329"/>
        <v>15.0340375586854</v>
      </c>
      <c r="E1837" t="str">
        <f t="shared" si="330"/>
        <v/>
      </c>
      <c r="F1837" t="str">
        <f t="shared" si="331"/>
        <v/>
      </c>
      <c r="G1837" t="str">
        <f t="shared" si="332"/>
        <v/>
      </c>
    </row>
    <row r="1838" spans="2:7">
      <c r="B1838" s="46"/>
      <c r="C1838" t="str">
        <f t="shared" si="328"/>
        <v/>
      </c>
      <c r="D1838" s="63">
        <f t="shared" si="329"/>
        <v>16.1343896713615</v>
      </c>
      <c r="E1838" t="str">
        <f t="shared" si="330"/>
        <v/>
      </c>
      <c r="F1838" t="str">
        <f t="shared" si="331"/>
        <v/>
      </c>
      <c r="G1838" t="str">
        <f t="shared" si="332"/>
        <v/>
      </c>
    </row>
    <row r="1839" spans="2:7">
      <c r="B1839" s="46"/>
      <c r="C1839" t="str">
        <f t="shared" si="328"/>
        <v/>
      </c>
      <c r="D1839" s="63">
        <f t="shared" si="329"/>
        <v>16.8620892018779</v>
      </c>
      <c r="E1839" t="str">
        <f t="shared" si="330"/>
        <v/>
      </c>
      <c r="F1839" t="str">
        <f t="shared" si="331"/>
        <v/>
      </c>
      <c r="G1839" t="str">
        <f t="shared" si="332"/>
        <v/>
      </c>
    </row>
    <row r="1840" spans="2:7">
      <c r="B1840" s="46"/>
      <c r="C1840" t="str">
        <f t="shared" si="328"/>
        <v/>
      </c>
      <c r="D1840" s="63" t="str">
        <f t="shared" si="329"/>
        <v/>
      </c>
      <c r="E1840">
        <f t="shared" si="330"/>
        <v>16.1245098039216</v>
      </c>
      <c r="F1840" t="str">
        <f t="shared" si="331"/>
        <v/>
      </c>
      <c r="G1840" t="str">
        <f t="shared" si="332"/>
        <v/>
      </c>
    </row>
    <row r="1841" spans="2:7">
      <c r="B1841" s="46"/>
      <c r="C1841" t="str">
        <f t="shared" si="328"/>
        <v/>
      </c>
      <c r="D1841" s="63" t="str">
        <f t="shared" si="329"/>
        <v/>
      </c>
      <c r="E1841">
        <f t="shared" si="330"/>
        <v>17.9225490196078</v>
      </c>
      <c r="F1841" t="str">
        <f t="shared" si="331"/>
        <v/>
      </c>
      <c r="G1841" t="str">
        <f t="shared" si="332"/>
        <v/>
      </c>
    </row>
    <row r="1842" spans="2:7">
      <c r="B1842" s="46"/>
      <c r="C1842" t="str">
        <f t="shared" si="328"/>
        <v/>
      </c>
      <c r="D1842" s="63" t="str">
        <f t="shared" si="329"/>
        <v/>
      </c>
      <c r="E1842">
        <f t="shared" si="330"/>
        <v>18.7166666666667</v>
      </c>
      <c r="F1842" t="str">
        <f t="shared" si="331"/>
        <v/>
      </c>
      <c r="G1842" t="str">
        <f t="shared" si="332"/>
        <v/>
      </c>
    </row>
    <row r="1843" spans="2:7">
      <c r="B1843" s="46"/>
      <c r="C1843" t="str">
        <f t="shared" si="328"/>
        <v/>
      </c>
      <c r="D1843" s="63" t="str">
        <f t="shared" si="329"/>
        <v/>
      </c>
      <c r="E1843">
        <f t="shared" si="330"/>
        <v>18.9539215686275</v>
      </c>
      <c r="F1843" t="str">
        <f t="shared" si="331"/>
        <v/>
      </c>
      <c r="G1843" t="str">
        <f t="shared" si="332"/>
        <v/>
      </c>
    </row>
    <row r="1844" spans="2:7">
      <c r="B1844" s="46"/>
      <c r="C1844" t="str">
        <f t="shared" si="328"/>
        <v/>
      </c>
      <c r="D1844" s="63" t="str">
        <f t="shared" si="329"/>
        <v/>
      </c>
      <c r="E1844" t="str">
        <f t="shared" si="330"/>
        <v/>
      </c>
      <c r="F1844" t="str">
        <f t="shared" si="331"/>
        <v/>
      </c>
      <c r="G1844">
        <f t="shared" si="332"/>
        <v>15.4449685534591</v>
      </c>
    </row>
    <row r="1845" spans="2:7">
      <c r="B1845" s="46"/>
      <c r="C1845" t="str">
        <f t="shared" si="328"/>
        <v/>
      </c>
      <c r="D1845" s="63" t="str">
        <f t="shared" si="329"/>
        <v/>
      </c>
      <c r="E1845" t="str">
        <f t="shared" si="330"/>
        <v/>
      </c>
      <c r="F1845" t="str">
        <f t="shared" si="331"/>
        <v/>
      </c>
      <c r="G1845">
        <f t="shared" si="332"/>
        <v>16.4669811320755</v>
      </c>
    </row>
    <row r="1846" spans="2:7">
      <c r="B1846" s="46"/>
      <c r="C1846" t="str">
        <f t="shared" si="328"/>
        <v/>
      </c>
      <c r="D1846" s="63" t="str">
        <f t="shared" si="329"/>
        <v/>
      </c>
      <c r="E1846" t="str">
        <f t="shared" si="330"/>
        <v/>
      </c>
      <c r="F1846" t="str">
        <f t="shared" si="331"/>
        <v/>
      </c>
      <c r="G1846">
        <f t="shared" si="332"/>
        <v>17.7877358490566</v>
      </c>
    </row>
    <row r="1847" spans="2:7">
      <c r="B1847" s="46"/>
      <c r="C1847" t="str">
        <f t="shared" si="328"/>
        <v/>
      </c>
      <c r="D1847" s="63" t="str">
        <f t="shared" si="329"/>
        <v/>
      </c>
      <c r="E1847" t="str">
        <f t="shared" si="330"/>
        <v/>
      </c>
      <c r="F1847" t="str">
        <f t="shared" si="331"/>
        <v/>
      </c>
      <c r="G1847">
        <f t="shared" si="332"/>
        <v>18.377358490566</v>
      </c>
    </row>
    <row r="1848" spans="2:7">
      <c r="B1848" s="46"/>
      <c r="C1848" t="str">
        <f t="shared" si="328"/>
        <v/>
      </c>
      <c r="D1848" s="63" t="str">
        <f t="shared" si="329"/>
        <v/>
      </c>
      <c r="E1848" t="str">
        <f t="shared" si="330"/>
        <v/>
      </c>
      <c r="F1848">
        <f t="shared" si="331"/>
        <v>15.4234693877551</v>
      </c>
      <c r="G1848" t="str">
        <f t="shared" si="332"/>
        <v/>
      </c>
    </row>
    <row r="1849" spans="2:7">
      <c r="B1849" s="46"/>
      <c r="C1849" t="str">
        <f t="shared" si="328"/>
        <v/>
      </c>
      <c r="D1849" s="63" t="str">
        <f t="shared" si="329"/>
        <v/>
      </c>
      <c r="E1849" t="str">
        <f t="shared" si="330"/>
        <v/>
      </c>
      <c r="F1849">
        <f t="shared" si="331"/>
        <v>16.7698412698413</v>
      </c>
      <c r="G1849" t="str">
        <f t="shared" si="332"/>
        <v/>
      </c>
    </row>
    <row r="1850" spans="2:7">
      <c r="B1850" s="46"/>
      <c r="C1850" t="str">
        <f t="shared" si="328"/>
        <v/>
      </c>
      <c r="D1850" s="63" t="str">
        <f t="shared" si="329"/>
        <v/>
      </c>
      <c r="E1850" t="str">
        <f t="shared" si="330"/>
        <v/>
      </c>
      <c r="F1850">
        <f t="shared" si="331"/>
        <v>18.109410430839</v>
      </c>
      <c r="G1850" t="str">
        <f t="shared" si="332"/>
        <v/>
      </c>
    </row>
    <row r="1851" spans="2:7">
      <c r="B1851" s="46"/>
      <c r="C1851" t="str">
        <f t="shared" si="328"/>
        <v/>
      </c>
      <c r="D1851" s="63" t="str">
        <f t="shared" si="329"/>
        <v/>
      </c>
      <c r="E1851" t="str">
        <f t="shared" si="330"/>
        <v/>
      </c>
      <c r="F1851">
        <f t="shared" si="331"/>
        <v>20.1581632653061</v>
      </c>
      <c r="G1851" t="str">
        <f t="shared" si="332"/>
        <v/>
      </c>
    </row>
    <row r="1852" spans="2:7">
      <c r="B1852" s="46"/>
      <c r="C1852" t="str">
        <f t="shared" si="328"/>
        <v/>
      </c>
      <c r="D1852" s="63" t="str">
        <f t="shared" si="329"/>
        <v/>
      </c>
      <c r="E1852" t="str">
        <f t="shared" si="330"/>
        <v/>
      </c>
      <c r="F1852">
        <f t="shared" si="331"/>
        <v>22.1581632653061</v>
      </c>
      <c r="G1852" t="str">
        <f t="shared" si="332"/>
        <v/>
      </c>
    </row>
    <row r="1853" spans="2:7">
      <c r="B1853" s="46"/>
      <c r="C1853" t="str">
        <f t="shared" si="328"/>
        <v/>
      </c>
      <c r="D1853" s="63" t="str">
        <f t="shared" si="329"/>
        <v/>
      </c>
      <c r="E1853" t="str">
        <f t="shared" si="330"/>
        <v/>
      </c>
      <c r="F1853">
        <f t="shared" si="331"/>
        <v>22.8781179138322</v>
      </c>
      <c r="G1853" t="str">
        <f t="shared" si="332"/>
        <v/>
      </c>
    </row>
    <row r="1854" spans="2:7">
      <c r="B1854" s="46"/>
      <c r="C1854" t="str">
        <f t="shared" si="328"/>
        <v/>
      </c>
      <c r="D1854" s="63">
        <f t="shared" si="329"/>
        <v>17.3022300469484</v>
      </c>
      <c r="E1854" t="str">
        <f t="shared" si="330"/>
        <v/>
      </c>
      <c r="F1854" t="str">
        <f t="shared" si="331"/>
        <v/>
      </c>
      <c r="G1854" t="str">
        <f t="shared" si="332"/>
        <v/>
      </c>
    </row>
    <row r="1855" spans="2:7">
      <c r="B1855" s="46"/>
      <c r="C1855" t="str">
        <f t="shared" si="328"/>
        <v/>
      </c>
      <c r="D1855" s="63">
        <f t="shared" si="329"/>
        <v>22.837441314554</v>
      </c>
      <c r="E1855" t="str">
        <f t="shared" si="330"/>
        <v/>
      </c>
      <c r="F1855" t="str">
        <f t="shared" si="331"/>
        <v/>
      </c>
      <c r="G1855" t="str">
        <f t="shared" si="332"/>
        <v/>
      </c>
    </row>
    <row r="1856" spans="2:7">
      <c r="B1856" s="46"/>
      <c r="C1856" t="str">
        <f t="shared" si="328"/>
        <v/>
      </c>
      <c r="D1856" s="63">
        <f t="shared" si="329"/>
        <v>23.7089201877934</v>
      </c>
      <c r="E1856" t="str">
        <f t="shared" si="330"/>
        <v/>
      </c>
      <c r="F1856" t="str">
        <f t="shared" si="331"/>
        <v/>
      </c>
      <c r="G1856" t="str">
        <f t="shared" si="332"/>
        <v/>
      </c>
    </row>
    <row r="1857" spans="2:7">
      <c r="B1857" s="46"/>
      <c r="C1857" t="str">
        <f t="shared" si="328"/>
        <v/>
      </c>
      <c r="D1857" s="63">
        <f t="shared" si="329"/>
        <v>24.3427230046948</v>
      </c>
      <c r="E1857" t="str">
        <f t="shared" si="330"/>
        <v/>
      </c>
      <c r="F1857" t="str">
        <f t="shared" si="331"/>
        <v/>
      </c>
      <c r="G1857" t="str">
        <f t="shared" si="332"/>
        <v/>
      </c>
    </row>
    <row r="1858" spans="2:7">
      <c r="B1858" s="46"/>
      <c r="C1858" t="str">
        <f t="shared" si="328"/>
        <v/>
      </c>
      <c r="D1858" s="63">
        <f t="shared" si="329"/>
        <v>27.5704225352113</v>
      </c>
      <c r="E1858" t="str">
        <f t="shared" si="330"/>
        <v/>
      </c>
      <c r="F1858" t="str">
        <f t="shared" si="331"/>
        <v/>
      </c>
      <c r="G1858" t="str">
        <f t="shared" si="332"/>
        <v/>
      </c>
    </row>
    <row r="1859" ht="15.75" spans="2:7">
      <c r="B1859" s="46"/>
      <c r="C1859" t="str">
        <f t="shared" si="328"/>
        <v/>
      </c>
      <c r="D1859" s="63" t="str">
        <f t="shared" si="329"/>
        <v/>
      </c>
      <c r="E1859" t="str">
        <f t="shared" si="330"/>
        <v/>
      </c>
      <c r="F1859" t="str">
        <f t="shared" si="331"/>
        <v/>
      </c>
      <c r="G1859">
        <f t="shared" si="332"/>
        <v>19.1949685534591</v>
      </c>
    </row>
    <row r="1860" ht="15.75" spans="2:7">
      <c r="B1860" s="74" t="s">
        <v>269</v>
      </c>
      <c r="C1860" s="53">
        <f>MAX(C1808:C1859)</f>
        <v>19.2465277777778</v>
      </c>
      <c r="D1860" s="53">
        <f t="shared" ref="D1860:G1860" si="333">MAX(D1808:D1859)</f>
        <v>27.5704225352113</v>
      </c>
      <c r="E1860" s="53">
        <f t="shared" si="333"/>
        <v>18.9539215686275</v>
      </c>
      <c r="F1860" s="53">
        <f t="shared" si="333"/>
        <v>22.8781179138322</v>
      </c>
      <c r="G1860" s="53">
        <f t="shared" si="333"/>
        <v>19.1949685534591</v>
      </c>
    </row>
    <row r="1861" spans="2:7">
      <c r="B1861" s="76" t="s">
        <v>270</v>
      </c>
      <c r="C1861" s="77">
        <v>1</v>
      </c>
      <c r="D1861" s="78">
        <v>2</v>
      </c>
      <c r="E1861">
        <v>3</v>
      </c>
      <c r="F1861">
        <v>4</v>
      </c>
      <c r="G1861">
        <v>5</v>
      </c>
    </row>
    <row r="1862" spans="2:7">
      <c r="B1862" s="79" t="s">
        <v>271</v>
      </c>
      <c r="C1862" s="72">
        <f>HLOOKUP(MIN(C1860:G1860),C1860:G1861,2,FALSE)</f>
        <v>3</v>
      </c>
      <c r="D1862" s="80"/>
    </row>
    <row r="1865" ht="15.75" spans="2:7">
      <c r="B1865" s="43" t="s">
        <v>325</v>
      </c>
      <c r="C1865" s="44"/>
      <c r="D1865" s="45"/>
    </row>
    <row r="1866" spans="2:7">
      <c r="B1866" s="46"/>
      <c r="C1866" s="61" t="s">
        <v>264</v>
      </c>
      <c r="D1866" s="61" t="s">
        <v>265</v>
      </c>
      <c r="E1866" s="62" t="s">
        <v>286</v>
      </c>
      <c r="F1866" s="62" t="s">
        <v>287</v>
      </c>
      <c r="G1866" s="62" t="s">
        <v>288</v>
      </c>
    </row>
    <row r="1867" spans="2:7">
      <c r="B1867" s="46"/>
      <c r="C1867">
        <f t="shared" ref="C1867:C1919" si="334">IF(J8=1,S8,"")</f>
        <v>0.700231481481482</v>
      </c>
      <c r="D1867" s="63" t="str">
        <f t="shared" ref="D1867:D1919" si="335">IF(J8=2,S8,"")</f>
        <v/>
      </c>
      <c r="E1867" t="str">
        <f t="shared" ref="E1867:E1919" si="336">IF(J8=3,S8,"")</f>
        <v/>
      </c>
      <c r="F1867" t="str">
        <f t="shared" ref="F1867:F1919" si="337">IF(J8=4,S8,"")</f>
        <v/>
      </c>
      <c r="G1867" t="str">
        <f t="shared" ref="G1867:G1919" si="338">IF(J8=5,S8,"")</f>
        <v/>
      </c>
    </row>
    <row r="1868" spans="2:7">
      <c r="B1868" s="46"/>
      <c r="C1868" t="str">
        <f t="shared" si="334"/>
        <v/>
      </c>
      <c r="D1868" s="63">
        <f t="shared" si="335"/>
        <v>0.734154929577465</v>
      </c>
      <c r="E1868" t="str">
        <f t="shared" si="336"/>
        <v/>
      </c>
      <c r="F1868" t="str">
        <f t="shared" si="337"/>
        <v/>
      </c>
      <c r="G1868" t="str">
        <f t="shared" si="338"/>
        <v/>
      </c>
    </row>
    <row r="1869" spans="2:7">
      <c r="B1869" s="46"/>
      <c r="C1869" t="str">
        <f t="shared" si="334"/>
        <v/>
      </c>
      <c r="D1869" s="63" t="str">
        <f t="shared" si="335"/>
        <v/>
      </c>
      <c r="E1869">
        <f t="shared" si="336"/>
        <v>1.83823529411765</v>
      </c>
      <c r="F1869" t="str">
        <f t="shared" si="337"/>
        <v/>
      </c>
      <c r="G1869" t="str">
        <f t="shared" si="338"/>
        <v/>
      </c>
    </row>
    <row r="1870" spans="2:7">
      <c r="B1870" s="46"/>
      <c r="C1870" t="str">
        <f t="shared" si="334"/>
        <v/>
      </c>
      <c r="D1870" s="63" t="str">
        <f t="shared" si="335"/>
        <v/>
      </c>
      <c r="E1870" t="str">
        <f t="shared" si="336"/>
        <v/>
      </c>
      <c r="F1870">
        <f t="shared" si="337"/>
        <v>4.28571428571429</v>
      </c>
      <c r="G1870" t="str">
        <f t="shared" si="338"/>
        <v/>
      </c>
    </row>
    <row r="1871" spans="2:7">
      <c r="B1871" s="46"/>
      <c r="C1871" t="str">
        <f t="shared" si="334"/>
        <v/>
      </c>
      <c r="D1871" s="63" t="str">
        <f t="shared" si="335"/>
        <v/>
      </c>
      <c r="E1871" t="str">
        <f t="shared" si="336"/>
        <v/>
      </c>
      <c r="F1871" t="str">
        <f t="shared" si="337"/>
        <v/>
      </c>
      <c r="G1871">
        <f t="shared" si="338"/>
        <v>3.43396226415094</v>
      </c>
    </row>
    <row r="1872" spans="2:7">
      <c r="B1872" s="46"/>
      <c r="C1872" t="str">
        <f t="shared" si="334"/>
        <v/>
      </c>
      <c r="D1872" s="63" t="str">
        <f t="shared" si="335"/>
        <v/>
      </c>
      <c r="E1872">
        <f t="shared" si="336"/>
        <v>14.5833333333333</v>
      </c>
      <c r="F1872" t="str">
        <f t="shared" si="337"/>
        <v/>
      </c>
      <c r="G1872" t="str">
        <f t="shared" si="338"/>
        <v/>
      </c>
    </row>
    <row r="1873" spans="2:7">
      <c r="B1873" s="46"/>
      <c r="C1873" t="str">
        <f t="shared" si="334"/>
        <v/>
      </c>
      <c r="D1873" s="63" t="str">
        <f t="shared" si="335"/>
        <v/>
      </c>
      <c r="E1873" t="str">
        <f t="shared" si="336"/>
        <v/>
      </c>
      <c r="F1873">
        <f t="shared" si="337"/>
        <v>6.42857142857143</v>
      </c>
      <c r="G1873" t="str">
        <f t="shared" si="338"/>
        <v/>
      </c>
    </row>
    <row r="1874" spans="2:7">
      <c r="B1874" s="46"/>
      <c r="C1874" t="str">
        <f t="shared" si="334"/>
        <v/>
      </c>
      <c r="D1874" s="63" t="str">
        <f t="shared" si="335"/>
        <v/>
      </c>
      <c r="E1874" t="str">
        <f t="shared" si="336"/>
        <v/>
      </c>
      <c r="F1874" t="str">
        <f t="shared" si="337"/>
        <v/>
      </c>
      <c r="G1874">
        <f t="shared" si="338"/>
        <v>3.84591194968553</v>
      </c>
    </row>
    <row r="1875" spans="2:7">
      <c r="B1875" s="46"/>
      <c r="C1875">
        <f t="shared" si="334"/>
        <v>0.844907407407407</v>
      </c>
      <c r="D1875" s="63" t="str">
        <f t="shared" si="335"/>
        <v/>
      </c>
      <c r="E1875" t="str">
        <f t="shared" si="336"/>
        <v/>
      </c>
      <c r="F1875" t="str">
        <f t="shared" si="337"/>
        <v/>
      </c>
      <c r="G1875" t="str">
        <f t="shared" si="338"/>
        <v/>
      </c>
    </row>
    <row r="1876" spans="2:7">
      <c r="B1876" s="46"/>
      <c r="C1876">
        <f t="shared" si="334"/>
        <v>6.79803240740741</v>
      </c>
      <c r="D1876" s="63" t="str">
        <f t="shared" si="335"/>
        <v/>
      </c>
      <c r="E1876" t="str">
        <f t="shared" si="336"/>
        <v/>
      </c>
      <c r="F1876" t="str">
        <f t="shared" si="337"/>
        <v/>
      </c>
      <c r="G1876" t="str">
        <f t="shared" si="338"/>
        <v/>
      </c>
    </row>
    <row r="1877" spans="2:7">
      <c r="B1877" s="46"/>
      <c r="C1877">
        <f t="shared" si="334"/>
        <v>6.79803240740741</v>
      </c>
      <c r="D1877" s="63" t="str">
        <f t="shared" si="335"/>
        <v/>
      </c>
      <c r="E1877" t="str">
        <f t="shared" si="336"/>
        <v/>
      </c>
      <c r="F1877" t="str">
        <f t="shared" si="337"/>
        <v/>
      </c>
      <c r="G1877" t="str">
        <f t="shared" si="338"/>
        <v/>
      </c>
    </row>
    <row r="1878" spans="2:7">
      <c r="B1878" s="46"/>
      <c r="C1878">
        <f t="shared" si="334"/>
        <v>7.52719907407408</v>
      </c>
      <c r="D1878" s="63" t="str">
        <f t="shared" si="335"/>
        <v/>
      </c>
      <c r="E1878" t="str">
        <f t="shared" si="336"/>
        <v/>
      </c>
      <c r="F1878" t="str">
        <f t="shared" si="337"/>
        <v/>
      </c>
      <c r="G1878" t="str">
        <f t="shared" si="338"/>
        <v/>
      </c>
    </row>
    <row r="1879" spans="2:7">
      <c r="B1879" s="46"/>
      <c r="C1879" t="str">
        <f t="shared" si="334"/>
        <v/>
      </c>
      <c r="D1879" s="63">
        <f t="shared" si="335"/>
        <v>2.7881455399061</v>
      </c>
      <c r="E1879" t="str">
        <f t="shared" si="336"/>
        <v/>
      </c>
      <c r="F1879" t="str">
        <f t="shared" si="337"/>
        <v/>
      </c>
      <c r="G1879" t="str">
        <f t="shared" si="338"/>
        <v/>
      </c>
    </row>
    <row r="1880" spans="2:7">
      <c r="B1880" s="46"/>
      <c r="C1880" t="str">
        <f t="shared" si="334"/>
        <v/>
      </c>
      <c r="D1880" s="63">
        <f t="shared" si="335"/>
        <v>4.47535211267606</v>
      </c>
      <c r="E1880" t="str">
        <f t="shared" si="336"/>
        <v/>
      </c>
      <c r="F1880" t="str">
        <f t="shared" si="337"/>
        <v/>
      </c>
      <c r="G1880" t="str">
        <f t="shared" si="338"/>
        <v/>
      </c>
    </row>
    <row r="1881" spans="2:7">
      <c r="B1881" s="46"/>
      <c r="C1881" t="str">
        <f t="shared" si="334"/>
        <v/>
      </c>
      <c r="D1881" s="63">
        <f t="shared" si="335"/>
        <v>6.10680751173709</v>
      </c>
      <c r="E1881" t="str">
        <f t="shared" si="336"/>
        <v/>
      </c>
      <c r="F1881" t="str">
        <f t="shared" si="337"/>
        <v/>
      </c>
      <c r="G1881" t="str">
        <f t="shared" si="338"/>
        <v/>
      </c>
    </row>
    <row r="1882" spans="2:7">
      <c r="B1882" s="46"/>
      <c r="C1882" t="str">
        <f t="shared" si="334"/>
        <v/>
      </c>
      <c r="D1882" s="63">
        <f t="shared" si="335"/>
        <v>8.50821596244131</v>
      </c>
      <c r="E1882" t="str">
        <f t="shared" si="336"/>
        <v/>
      </c>
      <c r="F1882" t="str">
        <f t="shared" si="337"/>
        <v/>
      </c>
      <c r="G1882" t="str">
        <f t="shared" si="338"/>
        <v/>
      </c>
    </row>
    <row r="1883" spans="2:7">
      <c r="B1883" s="46"/>
      <c r="C1883" t="str">
        <f t="shared" si="334"/>
        <v/>
      </c>
      <c r="D1883" s="63">
        <f t="shared" si="335"/>
        <v>10.268779342723</v>
      </c>
      <c r="E1883" t="str">
        <f t="shared" si="336"/>
        <v/>
      </c>
      <c r="F1883" t="str">
        <f t="shared" si="337"/>
        <v/>
      </c>
      <c r="G1883" t="str">
        <f t="shared" si="338"/>
        <v/>
      </c>
    </row>
    <row r="1884" spans="2:7">
      <c r="B1884" s="46"/>
      <c r="C1884" t="str">
        <f t="shared" si="334"/>
        <v/>
      </c>
      <c r="D1884" s="63" t="str">
        <f t="shared" si="335"/>
        <v/>
      </c>
      <c r="E1884" t="str">
        <f t="shared" si="336"/>
        <v/>
      </c>
      <c r="F1884" t="str">
        <f t="shared" si="337"/>
        <v/>
      </c>
      <c r="G1884">
        <f t="shared" si="338"/>
        <v>7.67610062893082</v>
      </c>
    </row>
    <row r="1885" spans="2:7">
      <c r="B1885" s="46"/>
      <c r="C1885" t="str">
        <f t="shared" si="334"/>
        <v/>
      </c>
      <c r="D1885" s="63" t="str">
        <f t="shared" si="335"/>
        <v/>
      </c>
      <c r="E1885" t="str">
        <f t="shared" si="336"/>
        <v/>
      </c>
      <c r="F1885" t="str">
        <f t="shared" si="337"/>
        <v/>
      </c>
      <c r="G1885">
        <f t="shared" si="338"/>
        <v>10.3836477987421</v>
      </c>
    </row>
    <row r="1886" spans="2:7">
      <c r="B1886" s="46"/>
      <c r="C1886" t="str">
        <f t="shared" si="334"/>
        <v/>
      </c>
      <c r="D1886" s="63" t="str">
        <f t="shared" si="335"/>
        <v/>
      </c>
      <c r="E1886" t="str">
        <f t="shared" si="336"/>
        <v/>
      </c>
      <c r="F1886" t="str">
        <f t="shared" si="337"/>
        <v/>
      </c>
      <c r="G1886">
        <f t="shared" si="338"/>
        <v>13.2138364779874</v>
      </c>
    </row>
    <row r="1887" spans="2:7">
      <c r="B1887" s="46"/>
      <c r="C1887" t="str">
        <f t="shared" si="334"/>
        <v/>
      </c>
      <c r="D1887" s="63" t="str">
        <f t="shared" si="335"/>
        <v/>
      </c>
      <c r="E1887" t="str">
        <f t="shared" si="336"/>
        <v/>
      </c>
      <c r="F1887" t="str">
        <f t="shared" si="337"/>
        <v/>
      </c>
      <c r="G1887">
        <f t="shared" si="338"/>
        <v>14.7243186582809</v>
      </c>
    </row>
    <row r="1888" spans="2:7">
      <c r="B1888" s="46"/>
      <c r="C1888" t="str">
        <f t="shared" si="334"/>
        <v/>
      </c>
      <c r="D1888" s="63" t="str">
        <f t="shared" si="335"/>
        <v/>
      </c>
      <c r="E1888" t="str">
        <f t="shared" si="336"/>
        <v/>
      </c>
      <c r="F1888">
        <f t="shared" si="337"/>
        <v>9.17630385487529</v>
      </c>
      <c r="G1888" t="str">
        <f t="shared" si="338"/>
        <v/>
      </c>
    </row>
    <row r="1889" spans="2:7">
      <c r="B1889" s="46"/>
      <c r="C1889" t="str">
        <f t="shared" si="334"/>
        <v/>
      </c>
      <c r="D1889" s="63" t="str">
        <f t="shared" si="335"/>
        <v/>
      </c>
      <c r="E1889" t="str">
        <f t="shared" si="336"/>
        <v/>
      </c>
      <c r="F1889">
        <f t="shared" si="337"/>
        <v>12.328231292517</v>
      </c>
      <c r="G1889" t="str">
        <f t="shared" si="338"/>
        <v/>
      </c>
    </row>
    <row r="1890" spans="2:7">
      <c r="B1890" s="46"/>
      <c r="C1890" t="str">
        <f t="shared" si="334"/>
        <v/>
      </c>
      <c r="D1890" s="63" t="str">
        <f t="shared" si="335"/>
        <v/>
      </c>
      <c r="E1890" t="str">
        <f t="shared" si="336"/>
        <v/>
      </c>
      <c r="F1890">
        <f t="shared" si="337"/>
        <v>15.0017006802721</v>
      </c>
      <c r="G1890" t="str">
        <f t="shared" si="338"/>
        <v/>
      </c>
    </row>
    <row r="1891" spans="2:7">
      <c r="B1891" s="46"/>
      <c r="C1891">
        <f t="shared" si="334"/>
        <v>10.328125</v>
      </c>
      <c r="D1891" s="63" t="str">
        <f t="shared" si="335"/>
        <v/>
      </c>
      <c r="E1891" t="str">
        <f t="shared" si="336"/>
        <v/>
      </c>
      <c r="F1891" t="str">
        <f t="shared" si="337"/>
        <v/>
      </c>
      <c r="G1891" t="str">
        <f t="shared" si="338"/>
        <v/>
      </c>
    </row>
    <row r="1892" spans="2:7">
      <c r="B1892" s="46"/>
      <c r="C1892">
        <f t="shared" si="334"/>
        <v>14.5908564814815</v>
      </c>
      <c r="D1892" s="63" t="str">
        <f t="shared" si="335"/>
        <v/>
      </c>
      <c r="E1892" t="str">
        <f t="shared" si="336"/>
        <v/>
      </c>
      <c r="F1892" t="str">
        <f t="shared" si="337"/>
        <v/>
      </c>
      <c r="G1892" t="str">
        <f t="shared" si="338"/>
        <v/>
      </c>
    </row>
    <row r="1893" spans="2:7">
      <c r="B1893" s="46"/>
      <c r="C1893">
        <f t="shared" si="334"/>
        <v>14.9409722222222</v>
      </c>
      <c r="D1893" s="63" t="str">
        <f t="shared" si="335"/>
        <v/>
      </c>
      <c r="E1893" t="str">
        <f t="shared" si="336"/>
        <v/>
      </c>
      <c r="F1893" t="str">
        <f t="shared" si="337"/>
        <v/>
      </c>
      <c r="G1893" t="str">
        <f t="shared" si="338"/>
        <v/>
      </c>
    </row>
    <row r="1894" spans="2:7">
      <c r="B1894" s="46"/>
      <c r="C1894">
        <f t="shared" si="334"/>
        <v>19.2465277777778</v>
      </c>
      <c r="D1894" s="63" t="str">
        <f t="shared" si="335"/>
        <v/>
      </c>
      <c r="E1894" t="str">
        <f t="shared" si="336"/>
        <v/>
      </c>
      <c r="F1894" t="str">
        <f t="shared" si="337"/>
        <v/>
      </c>
      <c r="G1894" t="str">
        <f t="shared" si="338"/>
        <v/>
      </c>
    </row>
    <row r="1895" spans="2:7">
      <c r="B1895" s="46"/>
      <c r="C1895" t="str">
        <f t="shared" si="334"/>
        <v/>
      </c>
      <c r="D1895" s="63">
        <f t="shared" si="335"/>
        <v>15.0340375586854</v>
      </c>
      <c r="E1895" t="str">
        <f t="shared" si="336"/>
        <v/>
      </c>
      <c r="F1895" t="str">
        <f t="shared" si="337"/>
        <v/>
      </c>
      <c r="G1895" t="str">
        <f t="shared" si="338"/>
        <v/>
      </c>
    </row>
    <row r="1896" spans="2:7">
      <c r="B1896" s="46"/>
      <c r="C1896" t="str">
        <f t="shared" si="334"/>
        <v/>
      </c>
      <c r="D1896" s="63">
        <f t="shared" si="335"/>
        <v>15.0340375586854</v>
      </c>
      <c r="E1896" t="str">
        <f t="shared" si="336"/>
        <v/>
      </c>
      <c r="F1896" t="str">
        <f t="shared" si="337"/>
        <v/>
      </c>
      <c r="G1896" t="str">
        <f t="shared" si="338"/>
        <v/>
      </c>
    </row>
    <row r="1897" spans="2:7">
      <c r="B1897" s="46"/>
      <c r="C1897" t="str">
        <f t="shared" si="334"/>
        <v/>
      </c>
      <c r="D1897" s="63">
        <f t="shared" si="335"/>
        <v>16.1343896713615</v>
      </c>
      <c r="E1897" t="str">
        <f t="shared" si="336"/>
        <v/>
      </c>
      <c r="F1897" t="str">
        <f t="shared" si="337"/>
        <v/>
      </c>
      <c r="G1897" t="str">
        <f t="shared" si="338"/>
        <v/>
      </c>
    </row>
    <row r="1898" spans="2:7">
      <c r="B1898" s="46"/>
      <c r="C1898" t="str">
        <f t="shared" si="334"/>
        <v/>
      </c>
      <c r="D1898" s="63">
        <f t="shared" si="335"/>
        <v>16.8620892018779</v>
      </c>
      <c r="E1898" t="str">
        <f t="shared" si="336"/>
        <v/>
      </c>
      <c r="F1898" t="str">
        <f t="shared" si="337"/>
        <v/>
      </c>
      <c r="G1898" t="str">
        <f t="shared" si="338"/>
        <v/>
      </c>
    </row>
    <row r="1899" spans="2:7">
      <c r="B1899" s="46"/>
      <c r="C1899" t="str">
        <f t="shared" si="334"/>
        <v/>
      </c>
      <c r="D1899" s="63" t="str">
        <f t="shared" si="335"/>
        <v/>
      </c>
      <c r="E1899">
        <f t="shared" si="336"/>
        <v>16.1245098039216</v>
      </c>
      <c r="F1899" t="str">
        <f t="shared" si="337"/>
        <v/>
      </c>
      <c r="G1899" t="str">
        <f t="shared" si="338"/>
        <v/>
      </c>
    </row>
    <row r="1900" spans="2:7">
      <c r="B1900" s="46"/>
      <c r="C1900" t="str">
        <f t="shared" si="334"/>
        <v/>
      </c>
      <c r="D1900" s="63" t="str">
        <f t="shared" si="335"/>
        <v/>
      </c>
      <c r="E1900">
        <f t="shared" si="336"/>
        <v>17.9225490196078</v>
      </c>
      <c r="F1900" t="str">
        <f t="shared" si="337"/>
        <v/>
      </c>
      <c r="G1900" t="str">
        <f t="shared" si="338"/>
        <v/>
      </c>
    </row>
    <row r="1901" spans="2:7">
      <c r="B1901" s="46"/>
      <c r="C1901" t="str">
        <f t="shared" si="334"/>
        <v/>
      </c>
      <c r="D1901" s="63" t="str">
        <f t="shared" si="335"/>
        <v/>
      </c>
      <c r="E1901">
        <f t="shared" si="336"/>
        <v>18.7166666666667</v>
      </c>
      <c r="F1901" t="str">
        <f t="shared" si="337"/>
        <v/>
      </c>
      <c r="G1901" t="str">
        <f t="shared" si="338"/>
        <v/>
      </c>
    </row>
    <row r="1902" spans="2:7">
      <c r="B1902" s="46"/>
      <c r="C1902" t="str">
        <f t="shared" si="334"/>
        <v/>
      </c>
      <c r="D1902" s="63" t="str">
        <f t="shared" si="335"/>
        <v/>
      </c>
      <c r="E1902">
        <f t="shared" si="336"/>
        <v>18.9539215686275</v>
      </c>
      <c r="F1902" t="str">
        <f t="shared" si="337"/>
        <v/>
      </c>
      <c r="G1902" t="str">
        <f t="shared" si="338"/>
        <v/>
      </c>
    </row>
    <row r="1903" spans="2:7">
      <c r="B1903" s="46"/>
      <c r="C1903" t="str">
        <f t="shared" si="334"/>
        <v/>
      </c>
      <c r="D1903" s="63" t="str">
        <f t="shared" si="335"/>
        <v/>
      </c>
      <c r="E1903" t="str">
        <f t="shared" si="336"/>
        <v/>
      </c>
      <c r="F1903" t="str">
        <f t="shared" si="337"/>
        <v/>
      </c>
      <c r="G1903">
        <f t="shared" si="338"/>
        <v>15.4449685534591</v>
      </c>
    </row>
    <row r="1904" spans="2:7">
      <c r="B1904" s="46"/>
      <c r="C1904" t="str">
        <f t="shared" si="334"/>
        <v/>
      </c>
      <c r="D1904" s="63" t="str">
        <f t="shared" si="335"/>
        <v/>
      </c>
      <c r="E1904" t="str">
        <f t="shared" si="336"/>
        <v/>
      </c>
      <c r="F1904" t="str">
        <f t="shared" si="337"/>
        <v/>
      </c>
      <c r="G1904">
        <f t="shared" si="338"/>
        <v>16.4669811320755</v>
      </c>
    </row>
    <row r="1905" spans="2:7">
      <c r="B1905" s="46"/>
      <c r="C1905" t="str">
        <f t="shared" si="334"/>
        <v/>
      </c>
      <c r="D1905" s="63" t="str">
        <f t="shared" si="335"/>
        <v/>
      </c>
      <c r="E1905" t="str">
        <f t="shared" si="336"/>
        <v/>
      </c>
      <c r="F1905" t="str">
        <f t="shared" si="337"/>
        <v/>
      </c>
      <c r="G1905">
        <f t="shared" si="338"/>
        <v>17.7877358490566</v>
      </c>
    </row>
    <row r="1906" spans="2:7">
      <c r="B1906" s="46"/>
      <c r="C1906" t="str">
        <f t="shared" si="334"/>
        <v/>
      </c>
      <c r="D1906" s="63" t="str">
        <f t="shared" si="335"/>
        <v/>
      </c>
      <c r="E1906" t="str">
        <f t="shared" si="336"/>
        <v/>
      </c>
      <c r="F1906" t="str">
        <f t="shared" si="337"/>
        <v/>
      </c>
      <c r="G1906">
        <f t="shared" si="338"/>
        <v>18.377358490566</v>
      </c>
    </row>
    <row r="1907" spans="2:7">
      <c r="B1907" s="46"/>
      <c r="C1907" t="str">
        <f t="shared" si="334"/>
        <v/>
      </c>
      <c r="D1907" s="63" t="str">
        <f t="shared" si="335"/>
        <v/>
      </c>
      <c r="E1907" t="str">
        <f t="shared" si="336"/>
        <v/>
      </c>
      <c r="F1907">
        <f t="shared" si="337"/>
        <v>15.4234693877551</v>
      </c>
      <c r="G1907" t="str">
        <f t="shared" si="338"/>
        <v/>
      </c>
    </row>
    <row r="1908" spans="2:7">
      <c r="B1908" s="46"/>
      <c r="C1908" t="str">
        <f t="shared" si="334"/>
        <v/>
      </c>
      <c r="D1908" s="63" t="str">
        <f t="shared" si="335"/>
        <v/>
      </c>
      <c r="E1908" t="str">
        <f t="shared" si="336"/>
        <v/>
      </c>
      <c r="F1908">
        <f t="shared" si="337"/>
        <v>16.7698412698413</v>
      </c>
      <c r="G1908" t="str">
        <f t="shared" si="338"/>
        <v/>
      </c>
    </row>
    <row r="1909" spans="2:7">
      <c r="B1909" s="46"/>
      <c r="C1909" t="str">
        <f t="shared" si="334"/>
        <v/>
      </c>
      <c r="D1909" s="63" t="str">
        <f t="shared" si="335"/>
        <v/>
      </c>
      <c r="E1909" t="str">
        <f t="shared" si="336"/>
        <v/>
      </c>
      <c r="F1909">
        <f t="shared" si="337"/>
        <v>18.109410430839</v>
      </c>
      <c r="G1909" t="str">
        <f t="shared" si="338"/>
        <v/>
      </c>
    </row>
    <row r="1910" spans="2:7">
      <c r="B1910" s="46"/>
      <c r="C1910" t="str">
        <f t="shared" si="334"/>
        <v/>
      </c>
      <c r="D1910" s="63" t="str">
        <f t="shared" si="335"/>
        <v/>
      </c>
      <c r="E1910" t="str">
        <f t="shared" si="336"/>
        <v/>
      </c>
      <c r="F1910">
        <f t="shared" si="337"/>
        <v>20.1581632653061</v>
      </c>
      <c r="G1910" t="str">
        <f t="shared" si="338"/>
        <v/>
      </c>
    </row>
    <row r="1911" spans="2:7">
      <c r="B1911" s="46"/>
      <c r="C1911" t="str">
        <f t="shared" si="334"/>
        <v/>
      </c>
      <c r="D1911" s="63" t="str">
        <f t="shared" si="335"/>
        <v/>
      </c>
      <c r="E1911" t="str">
        <f t="shared" si="336"/>
        <v/>
      </c>
      <c r="F1911">
        <f t="shared" si="337"/>
        <v>22.1581632653061</v>
      </c>
      <c r="G1911" t="str">
        <f t="shared" si="338"/>
        <v/>
      </c>
    </row>
    <row r="1912" spans="2:7">
      <c r="B1912" s="46"/>
      <c r="C1912" t="str">
        <f t="shared" si="334"/>
        <v/>
      </c>
      <c r="D1912" s="63" t="str">
        <f t="shared" si="335"/>
        <v/>
      </c>
      <c r="E1912" t="str">
        <f t="shared" si="336"/>
        <v/>
      </c>
      <c r="F1912">
        <f t="shared" si="337"/>
        <v>22.8781179138322</v>
      </c>
      <c r="G1912" t="str">
        <f t="shared" si="338"/>
        <v/>
      </c>
    </row>
    <row r="1913" spans="2:7">
      <c r="B1913" s="46"/>
      <c r="C1913" t="str">
        <f t="shared" si="334"/>
        <v/>
      </c>
      <c r="D1913" s="63">
        <f t="shared" si="335"/>
        <v>17.3022300469484</v>
      </c>
      <c r="E1913" t="str">
        <f t="shared" si="336"/>
        <v/>
      </c>
      <c r="F1913" t="str">
        <f t="shared" si="337"/>
        <v/>
      </c>
      <c r="G1913" t="str">
        <f t="shared" si="338"/>
        <v/>
      </c>
    </row>
    <row r="1914" spans="2:7">
      <c r="B1914" s="46"/>
      <c r="C1914" t="str">
        <f t="shared" si="334"/>
        <v/>
      </c>
      <c r="D1914" s="63">
        <f t="shared" si="335"/>
        <v>22.837441314554</v>
      </c>
      <c r="E1914" t="str">
        <f t="shared" si="336"/>
        <v/>
      </c>
      <c r="F1914" t="str">
        <f t="shared" si="337"/>
        <v/>
      </c>
      <c r="G1914" t="str">
        <f t="shared" si="338"/>
        <v/>
      </c>
    </row>
    <row r="1915" spans="2:7">
      <c r="B1915" s="46"/>
      <c r="C1915" t="str">
        <f t="shared" si="334"/>
        <v/>
      </c>
      <c r="D1915" s="63">
        <f t="shared" si="335"/>
        <v>23.7089201877934</v>
      </c>
      <c r="E1915" t="str">
        <f t="shared" si="336"/>
        <v/>
      </c>
      <c r="F1915" t="str">
        <f t="shared" si="337"/>
        <v/>
      </c>
      <c r="G1915" t="str">
        <f t="shared" si="338"/>
        <v/>
      </c>
    </row>
    <row r="1916" spans="2:7">
      <c r="B1916" s="46"/>
      <c r="C1916" t="str">
        <f t="shared" si="334"/>
        <v/>
      </c>
      <c r="D1916" s="63">
        <f t="shared" si="335"/>
        <v>24.3427230046948</v>
      </c>
      <c r="E1916" t="str">
        <f t="shared" si="336"/>
        <v/>
      </c>
      <c r="F1916" t="str">
        <f t="shared" si="337"/>
        <v/>
      </c>
      <c r="G1916" t="str">
        <f t="shared" si="338"/>
        <v/>
      </c>
    </row>
    <row r="1917" spans="2:7">
      <c r="B1917" s="46"/>
      <c r="C1917" t="str">
        <f t="shared" si="334"/>
        <v/>
      </c>
      <c r="D1917" s="63">
        <f t="shared" si="335"/>
        <v>27.5704225352113</v>
      </c>
      <c r="E1917" t="str">
        <f t="shared" si="336"/>
        <v/>
      </c>
      <c r="F1917" t="str">
        <f t="shared" si="337"/>
        <v/>
      </c>
      <c r="G1917" t="str">
        <f t="shared" si="338"/>
        <v/>
      </c>
    </row>
    <row r="1918" spans="2:7">
      <c r="B1918" s="46"/>
      <c r="C1918" t="str">
        <f t="shared" si="334"/>
        <v/>
      </c>
      <c r="D1918" s="63" t="str">
        <f t="shared" si="335"/>
        <v/>
      </c>
      <c r="E1918" t="str">
        <f t="shared" si="336"/>
        <v/>
      </c>
      <c r="F1918" t="str">
        <f t="shared" si="337"/>
        <v/>
      </c>
      <c r="G1918">
        <f t="shared" si="338"/>
        <v>19.1949685534591</v>
      </c>
    </row>
    <row r="1919" ht="15.75" spans="2:7">
      <c r="B1919" s="46"/>
      <c r="C1919" t="str">
        <f t="shared" si="334"/>
        <v/>
      </c>
      <c r="D1919" s="63" t="str">
        <f t="shared" si="335"/>
        <v/>
      </c>
      <c r="E1919" t="str">
        <f t="shared" si="336"/>
        <v/>
      </c>
      <c r="F1919" t="str">
        <f t="shared" si="337"/>
        <v/>
      </c>
      <c r="G1919">
        <f t="shared" si="338"/>
        <v>21.9606918238994</v>
      </c>
    </row>
    <row r="1920" spans="2:7">
      <c r="B1920" s="74" t="s">
        <v>269</v>
      </c>
      <c r="C1920" s="75">
        <f>MAX(C1867:C1919)</f>
        <v>19.2465277777778</v>
      </c>
      <c r="D1920" s="75">
        <f t="shared" ref="D1920:G1920" si="339">MAX(D1867:D1919)</f>
        <v>27.5704225352113</v>
      </c>
      <c r="E1920" s="75">
        <f t="shared" si="339"/>
        <v>18.9539215686275</v>
      </c>
      <c r="F1920" s="75">
        <f t="shared" si="339"/>
        <v>22.8781179138322</v>
      </c>
      <c r="G1920" s="75">
        <f t="shared" si="339"/>
        <v>21.9606918238994</v>
      </c>
    </row>
    <row r="1921" spans="2:7">
      <c r="B1921" s="76" t="s">
        <v>270</v>
      </c>
      <c r="C1921" s="77">
        <v>1</v>
      </c>
      <c r="D1921" s="78">
        <v>2</v>
      </c>
      <c r="E1921">
        <v>3</v>
      </c>
      <c r="F1921">
        <v>4</v>
      </c>
      <c r="G1921">
        <v>5</v>
      </c>
    </row>
    <row r="1922" spans="2:7">
      <c r="B1922" s="79" t="s">
        <v>271</v>
      </c>
      <c r="C1922" s="72">
        <f>HLOOKUP(MIN(C1920:G1920),C1920:G1921,2,FALSE)</f>
        <v>3</v>
      </c>
      <c r="D1922" s="80"/>
    </row>
    <row r="1926" ht="15.75" spans="2:7">
      <c r="B1926" s="43" t="s">
        <v>326</v>
      </c>
      <c r="C1926" s="44"/>
      <c r="D1926" s="45"/>
    </row>
    <row r="1927" spans="2:7">
      <c r="B1927" s="46"/>
      <c r="C1927" s="61" t="s">
        <v>264</v>
      </c>
      <c r="D1927" s="61" t="s">
        <v>265</v>
      </c>
      <c r="E1927" s="62" t="s">
        <v>286</v>
      </c>
      <c r="F1927" s="62" t="s">
        <v>287</v>
      </c>
      <c r="G1927" s="62" t="s">
        <v>288</v>
      </c>
    </row>
    <row r="1928" spans="2:7">
      <c r="B1928" s="46"/>
      <c r="C1928">
        <f t="shared" ref="C1928:C1981" si="340">IF(J8=1,S8,"")</f>
        <v>0.700231481481482</v>
      </c>
      <c r="D1928" s="63" t="str">
        <f t="shared" ref="D1928:D1981" si="341">IF(J8=2,S8,"")</f>
        <v/>
      </c>
      <c r="E1928" t="str">
        <f t="shared" ref="E1928:E1981" si="342">IF(J8=3,S8,"")</f>
        <v/>
      </c>
      <c r="F1928" t="str">
        <f t="shared" ref="F1928:F1981" si="343">IF(J8=4,S8,"")</f>
        <v/>
      </c>
      <c r="G1928" t="str">
        <f t="shared" ref="G1928:G1981" si="344">IF(J8=5,S8,"")</f>
        <v/>
      </c>
    </row>
    <row r="1929" spans="2:7">
      <c r="B1929" s="46"/>
      <c r="C1929" t="str">
        <f t="shared" si="340"/>
        <v/>
      </c>
      <c r="D1929" s="63">
        <f t="shared" si="341"/>
        <v>0.734154929577465</v>
      </c>
      <c r="E1929" t="str">
        <f t="shared" si="342"/>
        <v/>
      </c>
      <c r="F1929" t="str">
        <f t="shared" si="343"/>
        <v/>
      </c>
      <c r="G1929" t="str">
        <f t="shared" si="344"/>
        <v/>
      </c>
    </row>
    <row r="1930" spans="2:7">
      <c r="B1930" s="46"/>
      <c r="C1930" t="str">
        <f t="shared" si="340"/>
        <v/>
      </c>
      <c r="D1930" s="63" t="str">
        <f t="shared" si="341"/>
        <v/>
      </c>
      <c r="E1930">
        <f t="shared" si="342"/>
        <v>1.83823529411765</v>
      </c>
      <c r="F1930" t="str">
        <f t="shared" si="343"/>
        <v/>
      </c>
      <c r="G1930" t="str">
        <f t="shared" si="344"/>
        <v/>
      </c>
    </row>
    <row r="1931" spans="2:7">
      <c r="B1931" s="46"/>
      <c r="C1931" t="str">
        <f t="shared" si="340"/>
        <v/>
      </c>
      <c r="D1931" s="63" t="str">
        <f t="shared" si="341"/>
        <v/>
      </c>
      <c r="E1931" t="str">
        <f t="shared" si="342"/>
        <v/>
      </c>
      <c r="F1931">
        <f t="shared" si="343"/>
        <v>4.28571428571429</v>
      </c>
      <c r="G1931" t="str">
        <f t="shared" si="344"/>
        <v/>
      </c>
    </row>
    <row r="1932" spans="2:7">
      <c r="B1932" s="46"/>
      <c r="C1932" t="str">
        <f t="shared" si="340"/>
        <v/>
      </c>
      <c r="D1932" s="63" t="str">
        <f t="shared" si="341"/>
        <v/>
      </c>
      <c r="E1932" t="str">
        <f t="shared" si="342"/>
        <v/>
      </c>
      <c r="F1932" t="str">
        <f t="shared" si="343"/>
        <v/>
      </c>
      <c r="G1932">
        <f t="shared" si="344"/>
        <v>3.43396226415094</v>
      </c>
    </row>
    <row r="1933" spans="2:7">
      <c r="B1933" s="46"/>
      <c r="C1933" t="str">
        <f t="shared" si="340"/>
        <v/>
      </c>
      <c r="D1933" s="63" t="str">
        <f t="shared" si="341"/>
        <v/>
      </c>
      <c r="E1933">
        <f t="shared" si="342"/>
        <v>14.5833333333333</v>
      </c>
      <c r="F1933" t="str">
        <f t="shared" si="343"/>
        <v/>
      </c>
      <c r="G1933" t="str">
        <f t="shared" si="344"/>
        <v/>
      </c>
    </row>
    <row r="1934" spans="2:7">
      <c r="B1934" s="46"/>
      <c r="C1934" t="str">
        <f t="shared" si="340"/>
        <v/>
      </c>
      <c r="D1934" s="63" t="str">
        <f t="shared" si="341"/>
        <v/>
      </c>
      <c r="E1934" t="str">
        <f t="shared" si="342"/>
        <v/>
      </c>
      <c r="F1934">
        <f t="shared" si="343"/>
        <v>6.42857142857143</v>
      </c>
      <c r="G1934" t="str">
        <f t="shared" si="344"/>
        <v/>
      </c>
    </row>
    <row r="1935" spans="2:7">
      <c r="B1935" s="46"/>
      <c r="C1935" t="str">
        <f t="shared" si="340"/>
        <v/>
      </c>
      <c r="D1935" s="63" t="str">
        <f t="shared" si="341"/>
        <v/>
      </c>
      <c r="E1935" t="str">
        <f t="shared" si="342"/>
        <v/>
      </c>
      <c r="F1935" t="str">
        <f t="shared" si="343"/>
        <v/>
      </c>
      <c r="G1935">
        <f t="shared" si="344"/>
        <v>3.84591194968553</v>
      </c>
    </row>
    <row r="1936" spans="2:7">
      <c r="B1936" s="46"/>
      <c r="C1936">
        <f t="shared" si="340"/>
        <v>0.844907407407407</v>
      </c>
      <c r="D1936" s="63" t="str">
        <f t="shared" si="341"/>
        <v/>
      </c>
      <c r="E1936" t="str">
        <f t="shared" si="342"/>
        <v/>
      </c>
      <c r="F1936" t="str">
        <f t="shared" si="343"/>
        <v/>
      </c>
      <c r="G1936" t="str">
        <f t="shared" si="344"/>
        <v/>
      </c>
    </row>
    <row r="1937" spans="2:7">
      <c r="B1937" s="46"/>
      <c r="C1937">
        <f t="shared" si="340"/>
        <v>6.79803240740741</v>
      </c>
      <c r="D1937" s="63" t="str">
        <f t="shared" si="341"/>
        <v/>
      </c>
      <c r="E1937" t="str">
        <f t="shared" si="342"/>
        <v/>
      </c>
      <c r="F1937" t="str">
        <f t="shared" si="343"/>
        <v/>
      </c>
      <c r="G1937" t="str">
        <f t="shared" si="344"/>
        <v/>
      </c>
    </row>
    <row r="1938" spans="2:7">
      <c r="B1938" s="46"/>
      <c r="C1938">
        <f t="shared" si="340"/>
        <v>6.79803240740741</v>
      </c>
      <c r="D1938" s="63" t="str">
        <f t="shared" si="341"/>
        <v/>
      </c>
      <c r="E1938" t="str">
        <f t="shared" si="342"/>
        <v/>
      </c>
      <c r="F1938" t="str">
        <f t="shared" si="343"/>
        <v/>
      </c>
      <c r="G1938" t="str">
        <f t="shared" si="344"/>
        <v/>
      </c>
    </row>
    <row r="1939" spans="2:7">
      <c r="B1939" s="46"/>
      <c r="C1939">
        <f t="shared" si="340"/>
        <v>7.52719907407408</v>
      </c>
      <c r="D1939" s="63" t="str">
        <f t="shared" si="341"/>
        <v/>
      </c>
      <c r="E1939" t="str">
        <f t="shared" si="342"/>
        <v/>
      </c>
      <c r="F1939" t="str">
        <f t="shared" si="343"/>
        <v/>
      </c>
      <c r="G1939" t="str">
        <f t="shared" si="344"/>
        <v/>
      </c>
    </row>
    <row r="1940" spans="2:7">
      <c r="B1940" s="46"/>
      <c r="C1940" t="str">
        <f t="shared" si="340"/>
        <v/>
      </c>
      <c r="D1940" s="63">
        <f t="shared" si="341"/>
        <v>2.7881455399061</v>
      </c>
      <c r="E1940" t="str">
        <f t="shared" si="342"/>
        <v/>
      </c>
      <c r="F1940" t="str">
        <f t="shared" si="343"/>
        <v/>
      </c>
      <c r="G1940" t="str">
        <f t="shared" si="344"/>
        <v/>
      </c>
    </row>
    <row r="1941" spans="2:7">
      <c r="B1941" s="46"/>
      <c r="C1941" t="str">
        <f t="shared" si="340"/>
        <v/>
      </c>
      <c r="D1941" s="63">
        <f t="shared" si="341"/>
        <v>4.47535211267606</v>
      </c>
      <c r="E1941" t="str">
        <f t="shared" si="342"/>
        <v/>
      </c>
      <c r="F1941" t="str">
        <f t="shared" si="343"/>
        <v/>
      </c>
      <c r="G1941" t="str">
        <f t="shared" si="344"/>
        <v/>
      </c>
    </row>
    <row r="1942" spans="2:7">
      <c r="B1942" s="46"/>
      <c r="C1942" t="str">
        <f t="shared" si="340"/>
        <v/>
      </c>
      <c r="D1942" s="63">
        <f t="shared" si="341"/>
        <v>6.10680751173709</v>
      </c>
      <c r="E1942" t="str">
        <f t="shared" si="342"/>
        <v/>
      </c>
      <c r="F1942" t="str">
        <f t="shared" si="343"/>
        <v/>
      </c>
      <c r="G1942" t="str">
        <f t="shared" si="344"/>
        <v/>
      </c>
    </row>
    <row r="1943" spans="2:7">
      <c r="B1943" s="46"/>
      <c r="C1943" t="str">
        <f t="shared" si="340"/>
        <v/>
      </c>
      <c r="D1943" s="63">
        <f t="shared" si="341"/>
        <v>8.50821596244131</v>
      </c>
      <c r="E1943" t="str">
        <f t="shared" si="342"/>
        <v/>
      </c>
      <c r="F1943" t="str">
        <f t="shared" si="343"/>
        <v/>
      </c>
      <c r="G1943" t="str">
        <f t="shared" si="344"/>
        <v/>
      </c>
    </row>
    <row r="1944" spans="2:7">
      <c r="B1944" s="46"/>
      <c r="C1944" t="str">
        <f t="shared" si="340"/>
        <v/>
      </c>
      <c r="D1944" s="63">
        <f t="shared" si="341"/>
        <v>10.268779342723</v>
      </c>
      <c r="E1944" t="str">
        <f t="shared" si="342"/>
        <v/>
      </c>
      <c r="F1944" t="str">
        <f t="shared" si="343"/>
        <v/>
      </c>
      <c r="G1944" t="str">
        <f t="shared" si="344"/>
        <v/>
      </c>
    </row>
    <row r="1945" spans="2:7">
      <c r="B1945" s="46"/>
      <c r="C1945" t="str">
        <f t="shared" si="340"/>
        <v/>
      </c>
      <c r="D1945" s="63" t="str">
        <f t="shared" si="341"/>
        <v/>
      </c>
      <c r="E1945" t="str">
        <f t="shared" si="342"/>
        <v/>
      </c>
      <c r="F1945" t="str">
        <f t="shared" si="343"/>
        <v/>
      </c>
      <c r="G1945">
        <f t="shared" si="344"/>
        <v>7.67610062893082</v>
      </c>
    </row>
    <row r="1946" spans="2:7">
      <c r="B1946" s="46"/>
      <c r="C1946" t="str">
        <f t="shared" si="340"/>
        <v/>
      </c>
      <c r="D1946" s="63" t="str">
        <f t="shared" si="341"/>
        <v/>
      </c>
      <c r="E1946" t="str">
        <f t="shared" si="342"/>
        <v/>
      </c>
      <c r="F1946" t="str">
        <f t="shared" si="343"/>
        <v/>
      </c>
      <c r="G1946">
        <f t="shared" si="344"/>
        <v>10.3836477987421</v>
      </c>
    </row>
    <row r="1947" spans="2:7">
      <c r="B1947" s="46"/>
      <c r="C1947" t="str">
        <f t="shared" si="340"/>
        <v/>
      </c>
      <c r="D1947" s="63" t="str">
        <f t="shared" si="341"/>
        <v/>
      </c>
      <c r="E1947" t="str">
        <f t="shared" si="342"/>
        <v/>
      </c>
      <c r="F1947" t="str">
        <f t="shared" si="343"/>
        <v/>
      </c>
      <c r="G1947">
        <f t="shared" si="344"/>
        <v>13.2138364779874</v>
      </c>
    </row>
    <row r="1948" spans="2:7">
      <c r="B1948" s="46"/>
      <c r="C1948" t="str">
        <f t="shared" si="340"/>
        <v/>
      </c>
      <c r="D1948" s="63" t="str">
        <f t="shared" si="341"/>
        <v/>
      </c>
      <c r="E1948" t="str">
        <f t="shared" si="342"/>
        <v/>
      </c>
      <c r="F1948" t="str">
        <f t="shared" si="343"/>
        <v/>
      </c>
      <c r="G1948">
        <f t="shared" si="344"/>
        <v>14.7243186582809</v>
      </c>
    </row>
    <row r="1949" spans="2:7">
      <c r="B1949" s="46"/>
      <c r="C1949" t="str">
        <f t="shared" si="340"/>
        <v/>
      </c>
      <c r="D1949" s="63" t="str">
        <f t="shared" si="341"/>
        <v/>
      </c>
      <c r="E1949" t="str">
        <f t="shared" si="342"/>
        <v/>
      </c>
      <c r="F1949">
        <f t="shared" si="343"/>
        <v>9.17630385487529</v>
      </c>
      <c r="G1949" t="str">
        <f t="shared" si="344"/>
        <v/>
      </c>
    </row>
    <row r="1950" spans="2:7">
      <c r="B1950" s="46"/>
      <c r="C1950" t="str">
        <f t="shared" si="340"/>
        <v/>
      </c>
      <c r="D1950" s="63" t="str">
        <f t="shared" si="341"/>
        <v/>
      </c>
      <c r="E1950" t="str">
        <f t="shared" si="342"/>
        <v/>
      </c>
      <c r="F1950">
        <f t="shared" si="343"/>
        <v>12.328231292517</v>
      </c>
      <c r="G1950" t="str">
        <f t="shared" si="344"/>
        <v/>
      </c>
    </row>
    <row r="1951" spans="2:7">
      <c r="B1951" s="46"/>
      <c r="C1951" t="str">
        <f t="shared" si="340"/>
        <v/>
      </c>
      <c r="D1951" s="63" t="str">
        <f t="shared" si="341"/>
        <v/>
      </c>
      <c r="E1951" t="str">
        <f t="shared" si="342"/>
        <v/>
      </c>
      <c r="F1951">
        <f t="shared" si="343"/>
        <v>15.0017006802721</v>
      </c>
      <c r="G1951" t="str">
        <f t="shared" si="344"/>
        <v/>
      </c>
    </row>
    <row r="1952" spans="2:7">
      <c r="B1952" s="46"/>
      <c r="C1952">
        <f t="shared" si="340"/>
        <v>10.328125</v>
      </c>
      <c r="D1952" s="63" t="str">
        <f t="shared" si="341"/>
        <v/>
      </c>
      <c r="E1952" t="str">
        <f t="shared" si="342"/>
        <v/>
      </c>
      <c r="F1952" t="str">
        <f t="shared" si="343"/>
        <v/>
      </c>
      <c r="G1952" t="str">
        <f t="shared" si="344"/>
        <v/>
      </c>
    </row>
    <row r="1953" spans="2:7">
      <c r="B1953" s="46"/>
      <c r="C1953">
        <f t="shared" si="340"/>
        <v>14.5908564814815</v>
      </c>
      <c r="D1953" s="63" t="str">
        <f t="shared" si="341"/>
        <v/>
      </c>
      <c r="E1953" t="str">
        <f t="shared" si="342"/>
        <v/>
      </c>
      <c r="F1953" t="str">
        <f t="shared" si="343"/>
        <v/>
      </c>
      <c r="G1953" t="str">
        <f t="shared" si="344"/>
        <v/>
      </c>
    </row>
    <row r="1954" spans="2:7">
      <c r="B1954" s="46"/>
      <c r="C1954">
        <f t="shared" si="340"/>
        <v>14.9409722222222</v>
      </c>
      <c r="D1954" s="63" t="str">
        <f t="shared" si="341"/>
        <v/>
      </c>
      <c r="E1954" t="str">
        <f t="shared" si="342"/>
        <v/>
      </c>
      <c r="F1954" t="str">
        <f t="shared" si="343"/>
        <v/>
      </c>
      <c r="G1954" t="str">
        <f t="shared" si="344"/>
        <v/>
      </c>
    </row>
    <row r="1955" spans="2:7">
      <c r="B1955" s="46"/>
      <c r="C1955">
        <f t="shared" si="340"/>
        <v>19.2465277777778</v>
      </c>
      <c r="D1955" s="63" t="str">
        <f t="shared" si="341"/>
        <v/>
      </c>
      <c r="E1955" t="str">
        <f t="shared" si="342"/>
        <v/>
      </c>
      <c r="F1955" t="str">
        <f t="shared" si="343"/>
        <v/>
      </c>
      <c r="G1955" t="str">
        <f t="shared" si="344"/>
        <v/>
      </c>
    </row>
    <row r="1956" spans="2:7">
      <c r="B1956" s="46"/>
      <c r="C1956" t="str">
        <f t="shared" si="340"/>
        <v/>
      </c>
      <c r="D1956" s="63">
        <f t="shared" si="341"/>
        <v>15.0340375586854</v>
      </c>
      <c r="E1956" t="str">
        <f t="shared" si="342"/>
        <v/>
      </c>
      <c r="F1956" t="str">
        <f t="shared" si="343"/>
        <v/>
      </c>
      <c r="G1956" t="str">
        <f t="shared" si="344"/>
        <v/>
      </c>
    </row>
    <row r="1957" spans="2:7">
      <c r="B1957" s="46"/>
      <c r="C1957" t="str">
        <f t="shared" si="340"/>
        <v/>
      </c>
      <c r="D1957" s="63">
        <f t="shared" si="341"/>
        <v>15.0340375586854</v>
      </c>
      <c r="E1957" t="str">
        <f t="shared" si="342"/>
        <v/>
      </c>
      <c r="F1957" t="str">
        <f t="shared" si="343"/>
        <v/>
      </c>
      <c r="G1957" t="str">
        <f t="shared" si="344"/>
        <v/>
      </c>
    </row>
    <row r="1958" spans="2:7">
      <c r="B1958" s="46"/>
      <c r="C1958" t="str">
        <f t="shared" si="340"/>
        <v/>
      </c>
      <c r="D1958" s="63">
        <f t="shared" si="341"/>
        <v>16.1343896713615</v>
      </c>
      <c r="E1958" t="str">
        <f t="shared" si="342"/>
        <v/>
      </c>
      <c r="F1958" t="str">
        <f t="shared" si="343"/>
        <v/>
      </c>
      <c r="G1958" t="str">
        <f t="shared" si="344"/>
        <v/>
      </c>
    </row>
    <row r="1959" spans="2:7">
      <c r="B1959" s="46"/>
      <c r="C1959" t="str">
        <f t="shared" si="340"/>
        <v/>
      </c>
      <c r="D1959" s="63">
        <f t="shared" si="341"/>
        <v>16.8620892018779</v>
      </c>
      <c r="E1959" t="str">
        <f t="shared" si="342"/>
        <v/>
      </c>
      <c r="F1959" t="str">
        <f t="shared" si="343"/>
        <v/>
      </c>
      <c r="G1959" t="str">
        <f t="shared" si="344"/>
        <v/>
      </c>
    </row>
    <row r="1960" spans="2:7">
      <c r="B1960" s="46"/>
      <c r="C1960" t="str">
        <f t="shared" si="340"/>
        <v/>
      </c>
      <c r="D1960" s="63" t="str">
        <f t="shared" si="341"/>
        <v/>
      </c>
      <c r="E1960">
        <f t="shared" si="342"/>
        <v>16.1245098039216</v>
      </c>
      <c r="F1960" t="str">
        <f t="shared" si="343"/>
        <v/>
      </c>
      <c r="G1960" t="str">
        <f t="shared" si="344"/>
        <v/>
      </c>
    </row>
    <row r="1961" spans="2:7">
      <c r="B1961" s="46"/>
      <c r="C1961" t="str">
        <f t="shared" si="340"/>
        <v/>
      </c>
      <c r="D1961" s="63" t="str">
        <f t="shared" si="341"/>
        <v/>
      </c>
      <c r="E1961">
        <f t="shared" si="342"/>
        <v>17.9225490196078</v>
      </c>
      <c r="F1961" t="str">
        <f t="shared" si="343"/>
        <v/>
      </c>
      <c r="G1961" t="str">
        <f t="shared" si="344"/>
        <v/>
      </c>
    </row>
    <row r="1962" spans="2:7">
      <c r="B1962" s="46"/>
      <c r="C1962" t="str">
        <f t="shared" si="340"/>
        <v/>
      </c>
      <c r="D1962" s="63" t="str">
        <f t="shared" si="341"/>
        <v/>
      </c>
      <c r="E1962">
        <f t="shared" si="342"/>
        <v>18.7166666666667</v>
      </c>
      <c r="F1962" t="str">
        <f t="shared" si="343"/>
        <v/>
      </c>
      <c r="G1962" t="str">
        <f t="shared" si="344"/>
        <v/>
      </c>
    </row>
    <row r="1963" spans="2:7">
      <c r="B1963" s="46"/>
      <c r="C1963" t="str">
        <f t="shared" si="340"/>
        <v/>
      </c>
      <c r="D1963" s="63" t="str">
        <f t="shared" si="341"/>
        <v/>
      </c>
      <c r="E1963">
        <f t="shared" si="342"/>
        <v>18.9539215686275</v>
      </c>
      <c r="F1963" t="str">
        <f t="shared" si="343"/>
        <v/>
      </c>
      <c r="G1963" t="str">
        <f t="shared" si="344"/>
        <v/>
      </c>
    </row>
    <row r="1964" spans="2:7">
      <c r="B1964" s="46"/>
      <c r="C1964" t="str">
        <f t="shared" si="340"/>
        <v/>
      </c>
      <c r="D1964" s="63" t="str">
        <f t="shared" si="341"/>
        <v/>
      </c>
      <c r="E1964" t="str">
        <f t="shared" si="342"/>
        <v/>
      </c>
      <c r="F1964" t="str">
        <f t="shared" si="343"/>
        <v/>
      </c>
      <c r="G1964">
        <f t="shared" si="344"/>
        <v>15.4449685534591</v>
      </c>
    </row>
    <row r="1965" spans="2:7">
      <c r="B1965" s="46"/>
      <c r="C1965" t="str">
        <f t="shared" si="340"/>
        <v/>
      </c>
      <c r="D1965" s="63" t="str">
        <f t="shared" si="341"/>
        <v/>
      </c>
      <c r="E1965" t="str">
        <f t="shared" si="342"/>
        <v/>
      </c>
      <c r="F1965" t="str">
        <f t="shared" si="343"/>
        <v/>
      </c>
      <c r="G1965">
        <f t="shared" si="344"/>
        <v>16.4669811320755</v>
      </c>
    </row>
    <row r="1966" spans="2:7">
      <c r="B1966" s="46"/>
      <c r="C1966" t="str">
        <f t="shared" si="340"/>
        <v/>
      </c>
      <c r="D1966" s="63" t="str">
        <f t="shared" si="341"/>
        <v/>
      </c>
      <c r="E1966" t="str">
        <f t="shared" si="342"/>
        <v/>
      </c>
      <c r="F1966" t="str">
        <f t="shared" si="343"/>
        <v/>
      </c>
      <c r="G1966">
        <f t="shared" si="344"/>
        <v>17.7877358490566</v>
      </c>
    </row>
    <row r="1967" spans="2:7">
      <c r="B1967" s="46"/>
      <c r="C1967" t="str">
        <f t="shared" si="340"/>
        <v/>
      </c>
      <c r="D1967" s="63" t="str">
        <f t="shared" si="341"/>
        <v/>
      </c>
      <c r="E1967" t="str">
        <f t="shared" si="342"/>
        <v/>
      </c>
      <c r="F1967" t="str">
        <f t="shared" si="343"/>
        <v/>
      </c>
      <c r="G1967">
        <f t="shared" si="344"/>
        <v>18.377358490566</v>
      </c>
    </row>
    <row r="1968" spans="2:7">
      <c r="B1968" s="46"/>
      <c r="C1968" t="str">
        <f t="shared" si="340"/>
        <v/>
      </c>
      <c r="D1968" s="63" t="str">
        <f t="shared" si="341"/>
        <v/>
      </c>
      <c r="E1968" t="str">
        <f t="shared" si="342"/>
        <v/>
      </c>
      <c r="F1968">
        <f t="shared" si="343"/>
        <v>15.4234693877551</v>
      </c>
      <c r="G1968" t="str">
        <f t="shared" si="344"/>
        <v/>
      </c>
    </row>
    <row r="1969" spans="2:7">
      <c r="B1969" s="46"/>
      <c r="C1969" t="str">
        <f t="shared" si="340"/>
        <v/>
      </c>
      <c r="D1969" s="63" t="str">
        <f t="shared" si="341"/>
        <v/>
      </c>
      <c r="E1969" t="str">
        <f t="shared" si="342"/>
        <v/>
      </c>
      <c r="F1969">
        <f t="shared" si="343"/>
        <v>16.7698412698413</v>
      </c>
      <c r="G1969" t="str">
        <f t="shared" si="344"/>
        <v/>
      </c>
    </row>
    <row r="1970" spans="2:7">
      <c r="B1970" s="46"/>
      <c r="C1970" t="str">
        <f t="shared" si="340"/>
        <v/>
      </c>
      <c r="D1970" s="63" t="str">
        <f t="shared" si="341"/>
        <v/>
      </c>
      <c r="E1970" t="str">
        <f t="shared" si="342"/>
        <v/>
      </c>
      <c r="F1970">
        <f t="shared" si="343"/>
        <v>18.109410430839</v>
      </c>
      <c r="G1970" t="str">
        <f t="shared" si="344"/>
        <v/>
      </c>
    </row>
    <row r="1971" spans="2:7">
      <c r="B1971" s="46"/>
      <c r="C1971" t="str">
        <f t="shared" si="340"/>
        <v/>
      </c>
      <c r="D1971" s="63" t="str">
        <f t="shared" si="341"/>
        <v/>
      </c>
      <c r="E1971" t="str">
        <f t="shared" si="342"/>
        <v/>
      </c>
      <c r="F1971">
        <f t="shared" si="343"/>
        <v>20.1581632653061</v>
      </c>
      <c r="G1971" t="str">
        <f t="shared" si="344"/>
        <v/>
      </c>
    </row>
    <row r="1972" spans="2:7">
      <c r="B1972" s="46"/>
      <c r="C1972" t="str">
        <f t="shared" si="340"/>
        <v/>
      </c>
      <c r="D1972" s="63" t="str">
        <f t="shared" si="341"/>
        <v/>
      </c>
      <c r="E1972" t="str">
        <f t="shared" si="342"/>
        <v/>
      </c>
      <c r="F1972">
        <f t="shared" si="343"/>
        <v>22.1581632653061</v>
      </c>
      <c r="G1972" t="str">
        <f t="shared" si="344"/>
        <v/>
      </c>
    </row>
    <row r="1973" spans="2:7">
      <c r="B1973" s="46"/>
      <c r="C1973" t="str">
        <f t="shared" si="340"/>
        <v/>
      </c>
      <c r="D1973" s="63" t="str">
        <f t="shared" si="341"/>
        <v/>
      </c>
      <c r="E1973" t="str">
        <f t="shared" si="342"/>
        <v/>
      </c>
      <c r="F1973">
        <f t="shared" si="343"/>
        <v>22.8781179138322</v>
      </c>
      <c r="G1973" t="str">
        <f t="shared" si="344"/>
        <v/>
      </c>
    </row>
    <row r="1974" spans="2:7">
      <c r="B1974" s="46"/>
      <c r="C1974" t="str">
        <f t="shared" si="340"/>
        <v/>
      </c>
      <c r="D1974" s="63">
        <f t="shared" si="341"/>
        <v>17.3022300469484</v>
      </c>
      <c r="E1974" t="str">
        <f t="shared" si="342"/>
        <v/>
      </c>
      <c r="F1974" t="str">
        <f t="shared" si="343"/>
        <v/>
      </c>
      <c r="G1974" t="str">
        <f t="shared" si="344"/>
        <v/>
      </c>
    </row>
    <row r="1975" spans="2:7">
      <c r="B1975" s="46"/>
      <c r="C1975" t="str">
        <f t="shared" si="340"/>
        <v/>
      </c>
      <c r="D1975" s="63">
        <f t="shared" si="341"/>
        <v>22.837441314554</v>
      </c>
      <c r="E1975" t="str">
        <f t="shared" si="342"/>
        <v/>
      </c>
      <c r="F1975" t="str">
        <f t="shared" si="343"/>
        <v/>
      </c>
      <c r="G1975" t="str">
        <f t="shared" si="344"/>
        <v/>
      </c>
    </row>
    <row r="1976" spans="2:7">
      <c r="B1976" s="46"/>
      <c r="C1976" t="str">
        <f t="shared" si="340"/>
        <v/>
      </c>
      <c r="D1976" s="63">
        <f t="shared" si="341"/>
        <v>23.7089201877934</v>
      </c>
      <c r="E1976" t="str">
        <f t="shared" si="342"/>
        <v/>
      </c>
      <c r="F1976" t="str">
        <f t="shared" si="343"/>
        <v/>
      </c>
      <c r="G1976" t="str">
        <f t="shared" si="344"/>
        <v/>
      </c>
    </row>
    <row r="1977" spans="2:7">
      <c r="B1977" s="46"/>
      <c r="C1977" t="str">
        <f t="shared" si="340"/>
        <v/>
      </c>
      <c r="D1977" s="63">
        <f t="shared" si="341"/>
        <v>24.3427230046948</v>
      </c>
      <c r="E1977" t="str">
        <f t="shared" si="342"/>
        <v/>
      </c>
      <c r="F1977" t="str">
        <f t="shared" si="343"/>
        <v/>
      </c>
      <c r="G1977" t="str">
        <f t="shared" si="344"/>
        <v/>
      </c>
    </row>
    <row r="1978" spans="2:7">
      <c r="B1978" s="46"/>
      <c r="C1978" t="str">
        <f t="shared" si="340"/>
        <v/>
      </c>
      <c r="D1978" s="63">
        <f t="shared" si="341"/>
        <v>27.5704225352113</v>
      </c>
      <c r="E1978" t="str">
        <f t="shared" si="342"/>
        <v/>
      </c>
      <c r="F1978" t="str">
        <f t="shared" si="343"/>
        <v/>
      </c>
      <c r="G1978" t="str">
        <f t="shared" si="344"/>
        <v/>
      </c>
    </row>
    <row r="1979" spans="2:7">
      <c r="B1979" s="46"/>
      <c r="C1979" t="str">
        <f t="shared" si="340"/>
        <v/>
      </c>
      <c r="D1979" s="63" t="str">
        <f t="shared" si="341"/>
        <v/>
      </c>
      <c r="E1979" t="str">
        <f t="shared" si="342"/>
        <v/>
      </c>
      <c r="F1979" t="str">
        <f t="shared" si="343"/>
        <v/>
      </c>
      <c r="G1979">
        <f t="shared" si="344"/>
        <v>19.1949685534591</v>
      </c>
    </row>
    <row r="1980" spans="2:7">
      <c r="B1980" s="46"/>
      <c r="C1980" t="str">
        <f t="shared" si="340"/>
        <v/>
      </c>
      <c r="D1980" s="63" t="str">
        <f t="shared" si="341"/>
        <v/>
      </c>
      <c r="E1980" t="str">
        <f t="shared" si="342"/>
        <v/>
      </c>
      <c r="F1980" t="str">
        <f t="shared" si="343"/>
        <v/>
      </c>
      <c r="G1980">
        <f t="shared" si="344"/>
        <v>21.9606918238994</v>
      </c>
    </row>
    <row r="1981" ht="15.75" spans="2:7">
      <c r="B1981" s="46"/>
      <c r="C1981" t="str">
        <f t="shared" si="340"/>
        <v/>
      </c>
      <c r="D1981" s="63" t="str">
        <f t="shared" si="341"/>
        <v/>
      </c>
      <c r="E1981" t="str">
        <f t="shared" si="342"/>
        <v/>
      </c>
      <c r="F1981" t="str">
        <f t="shared" si="343"/>
        <v/>
      </c>
      <c r="G1981">
        <f t="shared" si="344"/>
        <v>21.9606918238994</v>
      </c>
    </row>
    <row r="1982" spans="2:7">
      <c r="B1982" s="74" t="s">
        <v>269</v>
      </c>
      <c r="C1982" s="75">
        <f>MAX(C1928:C1981)</f>
        <v>19.2465277777778</v>
      </c>
      <c r="D1982" s="75">
        <f t="shared" ref="D1982:G1982" si="345">MAX(D1928:D1981)</f>
        <v>27.5704225352113</v>
      </c>
      <c r="E1982" s="75">
        <f t="shared" si="345"/>
        <v>18.9539215686275</v>
      </c>
      <c r="F1982" s="75">
        <f t="shared" si="345"/>
        <v>22.8781179138322</v>
      </c>
      <c r="G1982" s="75">
        <f t="shared" si="345"/>
        <v>21.9606918238994</v>
      </c>
    </row>
    <row r="1983" spans="2:7">
      <c r="B1983" s="76" t="s">
        <v>270</v>
      </c>
      <c r="C1983" s="77">
        <v>1</v>
      </c>
      <c r="D1983" s="78">
        <v>2</v>
      </c>
      <c r="E1983">
        <v>3</v>
      </c>
      <c r="F1983">
        <v>4</v>
      </c>
      <c r="G1983">
        <v>5</v>
      </c>
    </row>
    <row r="1984" spans="2:7">
      <c r="B1984" s="79" t="s">
        <v>271</v>
      </c>
      <c r="C1984" s="72">
        <f>HLOOKUP(MIN(C1982:G1982),C1982:G1983,2,FALSE)</f>
        <v>3</v>
      </c>
      <c r="D1984" s="80"/>
    </row>
    <row r="1987" ht="15.75" spans="2:7">
      <c r="B1987" s="43" t="s">
        <v>327</v>
      </c>
      <c r="C1987" s="44"/>
      <c r="D1987" s="45"/>
    </row>
    <row r="1988" spans="2:7">
      <c r="B1988" s="46"/>
      <c r="C1988" s="61" t="s">
        <v>264</v>
      </c>
      <c r="D1988" s="61" t="s">
        <v>265</v>
      </c>
      <c r="E1988" s="62" t="s">
        <v>286</v>
      </c>
      <c r="F1988" s="62" t="s">
        <v>287</v>
      </c>
      <c r="G1988" s="62" t="s">
        <v>288</v>
      </c>
    </row>
    <row r="1989" spans="2:7">
      <c r="B1989" s="46"/>
      <c r="C1989">
        <f t="shared" ref="C1989:C2043" si="346">IF(J8=1,S8,"")</f>
        <v>0.700231481481482</v>
      </c>
      <c r="D1989" s="63" t="str">
        <f t="shared" ref="D1989:D2043" si="347">IF(J8=2,S8,"")</f>
        <v/>
      </c>
      <c r="E1989" t="str">
        <f t="shared" ref="E1989:E2043" si="348">IF(J8=3,S8,"")</f>
        <v/>
      </c>
      <c r="F1989" t="str">
        <f t="shared" ref="F1989:F2043" si="349">IF(J8=4,S8,"")</f>
        <v/>
      </c>
      <c r="G1989" t="str">
        <f t="shared" ref="G1989:G2043" si="350">IF(J8=5,S8,"")</f>
        <v/>
      </c>
    </row>
    <row r="1990" spans="2:7">
      <c r="B1990" s="46"/>
      <c r="C1990" t="str">
        <f t="shared" si="346"/>
        <v/>
      </c>
      <c r="D1990" s="63">
        <f t="shared" si="347"/>
        <v>0.734154929577465</v>
      </c>
      <c r="E1990" t="str">
        <f t="shared" si="348"/>
        <v/>
      </c>
      <c r="F1990" t="str">
        <f t="shared" si="349"/>
        <v/>
      </c>
      <c r="G1990" t="str">
        <f t="shared" si="350"/>
        <v/>
      </c>
    </row>
    <row r="1991" spans="2:7">
      <c r="B1991" s="46"/>
      <c r="C1991" t="str">
        <f t="shared" si="346"/>
        <v/>
      </c>
      <c r="D1991" s="63" t="str">
        <f t="shared" si="347"/>
        <v/>
      </c>
      <c r="E1991">
        <f t="shared" si="348"/>
        <v>1.83823529411765</v>
      </c>
      <c r="F1991" t="str">
        <f t="shared" si="349"/>
        <v/>
      </c>
      <c r="G1991" t="str">
        <f t="shared" si="350"/>
        <v/>
      </c>
    </row>
    <row r="1992" spans="2:7">
      <c r="B1992" s="46"/>
      <c r="C1992" t="str">
        <f t="shared" si="346"/>
        <v/>
      </c>
      <c r="D1992" s="63" t="str">
        <f t="shared" si="347"/>
        <v/>
      </c>
      <c r="E1992" t="str">
        <f t="shared" si="348"/>
        <v/>
      </c>
      <c r="F1992">
        <f t="shared" si="349"/>
        <v>4.28571428571429</v>
      </c>
      <c r="G1992" t="str">
        <f t="shared" si="350"/>
        <v/>
      </c>
    </row>
    <row r="1993" spans="2:7">
      <c r="B1993" s="46"/>
      <c r="C1993" t="str">
        <f t="shared" si="346"/>
        <v/>
      </c>
      <c r="D1993" s="63" t="str">
        <f t="shared" si="347"/>
        <v/>
      </c>
      <c r="E1993" t="str">
        <f t="shared" si="348"/>
        <v/>
      </c>
      <c r="F1993" t="str">
        <f t="shared" si="349"/>
        <v/>
      </c>
      <c r="G1993">
        <f t="shared" si="350"/>
        <v>3.43396226415094</v>
      </c>
    </row>
    <row r="1994" spans="2:7">
      <c r="B1994" s="46"/>
      <c r="C1994" t="str">
        <f t="shared" si="346"/>
        <v/>
      </c>
      <c r="D1994" s="63" t="str">
        <f t="shared" si="347"/>
        <v/>
      </c>
      <c r="E1994">
        <f t="shared" si="348"/>
        <v>14.5833333333333</v>
      </c>
      <c r="F1994" t="str">
        <f t="shared" si="349"/>
        <v/>
      </c>
      <c r="G1994" t="str">
        <f t="shared" si="350"/>
        <v/>
      </c>
    </row>
    <row r="1995" spans="2:7">
      <c r="B1995" s="46"/>
      <c r="C1995" t="str">
        <f t="shared" si="346"/>
        <v/>
      </c>
      <c r="D1995" s="63" t="str">
        <f t="shared" si="347"/>
        <v/>
      </c>
      <c r="E1995" t="str">
        <f t="shared" si="348"/>
        <v/>
      </c>
      <c r="F1995">
        <f t="shared" si="349"/>
        <v>6.42857142857143</v>
      </c>
      <c r="G1995" t="str">
        <f t="shared" si="350"/>
        <v/>
      </c>
    </row>
    <row r="1996" spans="2:7">
      <c r="B1996" s="46"/>
      <c r="C1996" t="str">
        <f t="shared" si="346"/>
        <v/>
      </c>
      <c r="D1996" s="63" t="str">
        <f t="shared" si="347"/>
        <v/>
      </c>
      <c r="E1996" t="str">
        <f t="shared" si="348"/>
        <v/>
      </c>
      <c r="F1996" t="str">
        <f t="shared" si="349"/>
        <v/>
      </c>
      <c r="G1996">
        <f t="shared" si="350"/>
        <v>3.84591194968553</v>
      </c>
    </row>
    <row r="1997" spans="2:7">
      <c r="B1997" s="46"/>
      <c r="C1997">
        <f t="shared" si="346"/>
        <v>0.844907407407407</v>
      </c>
      <c r="D1997" s="63" t="str">
        <f t="shared" si="347"/>
        <v/>
      </c>
      <c r="E1997" t="str">
        <f t="shared" si="348"/>
        <v/>
      </c>
      <c r="F1997" t="str">
        <f t="shared" si="349"/>
        <v/>
      </c>
      <c r="G1997" t="str">
        <f t="shared" si="350"/>
        <v/>
      </c>
    </row>
    <row r="1998" spans="2:7">
      <c r="B1998" s="46"/>
      <c r="C1998">
        <f t="shared" si="346"/>
        <v>6.79803240740741</v>
      </c>
      <c r="D1998" s="63" t="str">
        <f t="shared" si="347"/>
        <v/>
      </c>
      <c r="E1998" t="str">
        <f t="shared" si="348"/>
        <v/>
      </c>
      <c r="F1998" t="str">
        <f t="shared" si="349"/>
        <v/>
      </c>
      <c r="G1998" t="str">
        <f t="shared" si="350"/>
        <v/>
      </c>
    </row>
    <row r="1999" spans="2:7">
      <c r="B1999" s="46"/>
      <c r="C1999">
        <f t="shared" si="346"/>
        <v>6.79803240740741</v>
      </c>
      <c r="D1999" s="63" t="str">
        <f t="shared" si="347"/>
        <v/>
      </c>
      <c r="E1999" t="str">
        <f t="shared" si="348"/>
        <v/>
      </c>
      <c r="F1999" t="str">
        <f t="shared" si="349"/>
        <v/>
      </c>
      <c r="G1999" t="str">
        <f t="shared" si="350"/>
        <v/>
      </c>
    </row>
    <row r="2000" spans="2:7">
      <c r="B2000" s="46"/>
      <c r="C2000">
        <f t="shared" si="346"/>
        <v>7.52719907407408</v>
      </c>
      <c r="D2000" s="63" t="str">
        <f t="shared" si="347"/>
        <v/>
      </c>
      <c r="E2000" t="str">
        <f t="shared" si="348"/>
        <v/>
      </c>
      <c r="F2000" t="str">
        <f t="shared" si="349"/>
        <v/>
      </c>
      <c r="G2000" t="str">
        <f t="shared" si="350"/>
        <v/>
      </c>
    </row>
    <row r="2001" spans="2:7">
      <c r="B2001" s="46"/>
      <c r="C2001" t="str">
        <f t="shared" si="346"/>
        <v/>
      </c>
      <c r="D2001" s="63">
        <f t="shared" si="347"/>
        <v>2.7881455399061</v>
      </c>
      <c r="E2001" t="str">
        <f t="shared" si="348"/>
        <v/>
      </c>
      <c r="F2001" t="str">
        <f t="shared" si="349"/>
        <v/>
      </c>
      <c r="G2001" t="str">
        <f t="shared" si="350"/>
        <v/>
      </c>
    </row>
    <row r="2002" spans="2:7">
      <c r="B2002" s="46"/>
      <c r="C2002" t="str">
        <f t="shared" si="346"/>
        <v/>
      </c>
      <c r="D2002" s="63">
        <f t="shared" si="347"/>
        <v>4.47535211267606</v>
      </c>
      <c r="E2002" t="str">
        <f t="shared" si="348"/>
        <v/>
      </c>
      <c r="F2002" t="str">
        <f t="shared" si="349"/>
        <v/>
      </c>
      <c r="G2002" t="str">
        <f t="shared" si="350"/>
        <v/>
      </c>
    </row>
    <row r="2003" spans="2:7">
      <c r="B2003" s="46"/>
      <c r="C2003" t="str">
        <f t="shared" si="346"/>
        <v/>
      </c>
      <c r="D2003" s="63">
        <f t="shared" si="347"/>
        <v>6.10680751173709</v>
      </c>
      <c r="E2003" t="str">
        <f t="shared" si="348"/>
        <v/>
      </c>
      <c r="F2003" t="str">
        <f t="shared" si="349"/>
        <v/>
      </c>
      <c r="G2003" t="str">
        <f t="shared" si="350"/>
        <v/>
      </c>
    </row>
    <row r="2004" spans="2:7">
      <c r="B2004" s="46"/>
      <c r="C2004" t="str">
        <f t="shared" si="346"/>
        <v/>
      </c>
      <c r="D2004" s="63">
        <f t="shared" si="347"/>
        <v>8.50821596244131</v>
      </c>
      <c r="E2004" t="str">
        <f t="shared" si="348"/>
        <v/>
      </c>
      <c r="F2004" t="str">
        <f t="shared" si="349"/>
        <v/>
      </c>
      <c r="G2004" t="str">
        <f t="shared" si="350"/>
        <v/>
      </c>
    </row>
    <row r="2005" spans="2:7">
      <c r="B2005" s="46"/>
      <c r="C2005" t="str">
        <f t="shared" si="346"/>
        <v/>
      </c>
      <c r="D2005" s="63">
        <f t="shared" si="347"/>
        <v>10.268779342723</v>
      </c>
      <c r="E2005" t="str">
        <f t="shared" si="348"/>
        <v/>
      </c>
      <c r="F2005" t="str">
        <f t="shared" si="349"/>
        <v/>
      </c>
      <c r="G2005" t="str">
        <f t="shared" si="350"/>
        <v/>
      </c>
    </row>
    <row r="2006" spans="2:7">
      <c r="B2006" s="46"/>
      <c r="C2006" t="str">
        <f t="shared" si="346"/>
        <v/>
      </c>
      <c r="D2006" s="63" t="str">
        <f t="shared" si="347"/>
        <v/>
      </c>
      <c r="E2006" t="str">
        <f t="shared" si="348"/>
        <v/>
      </c>
      <c r="F2006" t="str">
        <f t="shared" si="349"/>
        <v/>
      </c>
      <c r="G2006">
        <f t="shared" si="350"/>
        <v>7.67610062893082</v>
      </c>
    </row>
    <row r="2007" spans="2:7">
      <c r="B2007" s="46"/>
      <c r="C2007" t="str">
        <f t="shared" si="346"/>
        <v/>
      </c>
      <c r="D2007" s="63" t="str">
        <f t="shared" si="347"/>
        <v/>
      </c>
      <c r="E2007" t="str">
        <f t="shared" si="348"/>
        <v/>
      </c>
      <c r="F2007" t="str">
        <f t="shared" si="349"/>
        <v/>
      </c>
      <c r="G2007">
        <f t="shared" si="350"/>
        <v>10.3836477987421</v>
      </c>
    </row>
    <row r="2008" spans="2:7">
      <c r="B2008" s="46"/>
      <c r="C2008" t="str">
        <f t="shared" si="346"/>
        <v/>
      </c>
      <c r="D2008" s="63" t="str">
        <f t="shared" si="347"/>
        <v/>
      </c>
      <c r="E2008" t="str">
        <f t="shared" si="348"/>
        <v/>
      </c>
      <c r="F2008" t="str">
        <f t="shared" si="349"/>
        <v/>
      </c>
      <c r="G2008">
        <f t="shared" si="350"/>
        <v>13.2138364779874</v>
      </c>
    </row>
    <row r="2009" spans="2:7">
      <c r="B2009" s="46"/>
      <c r="C2009" t="str">
        <f t="shared" si="346"/>
        <v/>
      </c>
      <c r="D2009" s="63" t="str">
        <f t="shared" si="347"/>
        <v/>
      </c>
      <c r="E2009" t="str">
        <f t="shared" si="348"/>
        <v/>
      </c>
      <c r="F2009" t="str">
        <f t="shared" si="349"/>
        <v/>
      </c>
      <c r="G2009">
        <f t="shared" si="350"/>
        <v>14.7243186582809</v>
      </c>
    </row>
    <row r="2010" spans="2:7">
      <c r="B2010" s="46"/>
      <c r="C2010" t="str">
        <f t="shared" si="346"/>
        <v/>
      </c>
      <c r="D2010" s="63" t="str">
        <f t="shared" si="347"/>
        <v/>
      </c>
      <c r="E2010" t="str">
        <f t="shared" si="348"/>
        <v/>
      </c>
      <c r="F2010">
        <f t="shared" si="349"/>
        <v>9.17630385487529</v>
      </c>
      <c r="G2010" t="str">
        <f t="shared" si="350"/>
        <v/>
      </c>
    </row>
    <row r="2011" spans="2:7">
      <c r="B2011" s="46"/>
      <c r="C2011" t="str">
        <f t="shared" si="346"/>
        <v/>
      </c>
      <c r="D2011" s="63" t="str">
        <f t="shared" si="347"/>
        <v/>
      </c>
      <c r="E2011" t="str">
        <f t="shared" si="348"/>
        <v/>
      </c>
      <c r="F2011">
        <f t="shared" si="349"/>
        <v>12.328231292517</v>
      </c>
      <c r="G2011" t="str">
        <f t="shared" si="350"/>
        <v/>
      </c>
    </row>
    <row r="2012" spans="2:7">
      <c r="B2012" s="46"/>
      <c r="C2012" t="str">
        <f t="shared" si="346"/>
        <v/>
      </c>
      <c r="D2012" s="63" t="str">
        <f t="shared" si="347"/>
        <v/>
      </c>
      <c r="E2012" t="str">
        <f t="shared" si="348"/>
        <v/>
      </c>
      <c r="F2012">
        <f t="shared" si="349"/>
        <v>15.0017006802721</v>
      </c>
      <c r="G2012" t="str">
        <f t="shared" si="350"/>
        <v/>
      </c>
    </row>
    <row r="2013" spans="2:7">
      <c r="B2013" s="46"/>
      <c r="C2013">
        <f t="shared" si="346"/>
        <v>10.328125</v>
      </c>
      <c r="D2013" s="63" t="str">
        <f t="shared" si="347"/>
        <v/>
      </c>
      <c r="E2013" t="str">
        <f t="shared" si="348"/>
        <v/>
      </c>
      <c r="F2013" t="str">
        <f t="shared" si="349"/>
        <v/>
      </c>
      <c r="G2013" t="str">
        <f t="shared" si="350"/>
        <v/>
      </c>
    </row>
    <row r="2014" spans="2:7">
      <c r="B2014" s="46"/>
      <c r="C2014">
        <f t="shared" si="346"/>
        <v>14.5908564814815</v>
      </c>
      <c r="D2014" s="63" t="str">
        <f t="shared" si="347"/>
        <v/>
      </c>
      <c r="E2014" t="str">
        <f t="shared" si="348"/>
        <v/>
      </c>
      <c r="F2014" t="str">
        <f t="shared" si="349"/>
        <v/>
      </c>
      <c r="G2014" t="str">
        <f t="shared" si="350"/>
        <v/>
      </c>
    </row>
    <row r="2015" spans="2:7">
      <c r="B2015" s="46"/>
      <c r="C2015">
        <f t="shared" si="346"/>
        <v>14.9409722222222</v>
      </c>
      <c r="D2015" s="63" t="str">
        <f t="shared" si="347"/>
        <v/>
      </c>
      <c r="E2015" t="str">
        <f t="shared" si="348"/>
        <v/>
      </c>
      <c r="F2015" t="str">
        <f t="shared" si="349"/>
        <v/>
      </c>
      <c r="G2015" t="str">
        <f t="shared" si="350"/>
        <v/>
      </c>
    </row>
    <row r="2016" spans="2:7">
      <c r="B2016" s="46"/>
      <c r="C2016">
        <f t="shared" si="346"/>
        <v>19.2465277777778</v>
      </c>
      <c r="D2016" s="63" t="str">
        <f t="shared" si="347"/>
        <v/>
      </c>
      <c r="E2016" t="str">
        <f t="shared" si="348"/>
        <v/>
      </c>
      <c r="F2016" t="str">
        <f t="shared" si="349"/>
        <v/>
      </c>
      <c r="G2016" t="str">
        <f t="shared" si="350"/>
        <v/>
      </c>
    </row>
    <row r="2017" spans="2:7">
      <c r="B2017" s="46"/>
      <c r="C2017" t="str">
        <f t="shared" si="346"/>
        <v/>
      </c>
      <c r="D2017" s="63">
        <f t="shared" si="347"/>
        <v>15.0340375586854</v>
      </c>
      <c r="E2017" t="str">
        <f t="shared" si="348"/>
        <v/>
      </c>
      <c r="F2017" t="str">
        <f t="shared" si="349"/>
        <v/>
      </c>
      <c r="G2017" t="str">
        <f t="shared" si="350"/>
        <v/>
      </c>
    </row>
    <row r="2018" spans="2:7">
      <c r="B2018" s="46"/>
      <c r="C2018" t="str">
        <f t="shared" si="346"/>
        <v/>
      </c>
      <c r="D2018" s="63">
        <f t="shared" si="347"/>
        <v>15.0340375586854</v>
      </c>
      <c r="E2018" t="str">
        <f t="shared" si="348"/>
        <v/>
      </c>
      <c r="F2018" t="str">
        <f t="shared" si="349"/>
        <v/>
      </c>
      <c r="G2018" t="str">
        <f t="shared" si="350"/>
        <v/>
      </c>
    </row>
    <row r="2019" spans="2:7">
      <c r="B2019" s="46"/>
      <c r="C2019" t="str">
        <f t="shared" si="346"/>
        <v/>
      </c>
      <c r="D2019" s="63">
        <f t="shared" si="347"/>
        <v>16.1343896713615</v>
      </c>
      <c r="E2019" t="str">
        <f t="shared" si="348"/>
        <v/>
      </c>
      <c r="F2019" t="str">
        <f t="shared" si="349"/>
        <v/>
      </c>
      <c r="G2019" t="str">
        <f t="shared" si="350"/>
        <v/>
      </c>
    </row>
    <row r="2020" spans="2:7">
      <c r="B2020" s="46"/>
      <c r="C2020" t="str">
        <f t="shared" si="346"/>
        <v/>
      </c>
      <c r="D2020" s="63">
        <f t="shared" si="347"/>
        <v>16.8620892018779</v>
      </c>
      <c r="E2020" t="str">
        <f t="shared" si="348"/>
        <v/>
      </c>
      <c r="F2020" t="str">
        <f t="shared" si="349"/>
        <v/>
      </c>
      <c r="G2020" t="str">
        <f t="shared" si="350"/>
        <v/>
      </c>
    </row>
    <row r="2021" spans="2:7">
      <c r="B2021" s="46"/>
      <c r="C2021" t="str">
        <f t="shared" si="346"/>
        <v/>
      </c>
      <c r="D2021" s="63" t="str">
        <f t="shared" si="347"/>
        <v/>
      </c>
      <c r="E2021">
        <f t="shared" si="348"/>
        <v>16.1245098039216</v>
      </c>
      <c r="F2021" t="str">
        <f t="shared" si="349"/>
        <v/>
      </c>
      <c r="G2021" t="str">
        <f t="shared" si="350"/>
        <v/>
      </c>
    </row>
    <row r="2022" spans="2:7">
      <c r="B2022" s="46"/>
      <c r="C2022" t="str">
        <f t="shared" si="346"/>
        <v/>
      </c>
      <c r="D2022" s="63" t="str">
        <f t="shared" si="347"/>
        <v/>
      </c>
      <c r="E2022">
        <f t="shared" si="348"/>
        <v>17.9225490196078</v>
      </c>
      <c r="F2022" t="str">
        <f t="shared" si="349"/>
        <v/>
      </c>
      <c r="G2022" t="str">
        <f t="shared" si="350"/>
        <v/>
      </c>
    </row>
    <row r="2023" spans="2:7">
      <c r="B2023" s="46"/>
      <c r="C2023" t="str">
        <f t="shared" si="346"/>
        <v/>
      </c>
      <c r="D2023" s="63" t="str">
        <f t="shared" si="347"/>
        <v/>
      </c>
      <c r="E2023">
        <f t="shared" si="348"/>
        <v>18.7166666666667</v>
      </c>
      <c r="F2023" t="str">
        <f t="shared" si="349"/>
        <v/>
      </c>
      <c r="G2023" t="str">
        <f t="shared" si="350"/>
        <v/>
      </c>
    </row>
    <row r="2024" spans="2:7">
      <c r="B2024" s="46"/>
      <c r="C2024" t="str">
        <f t="shared" si="346"/>
        <v/>
      </c>
      <c r="D2024" s="63" t="str">
        <f t="shared" si="347"/>
        <v/>
      </c>
      <c r="E2024">
        <f t="shared" si="348"/>
        <v>18.9539215686275</v>
      </c>
      <c r="F2024" t="str">
        <f t="shared" si="349"/>
        <v/>
      </c>
      <c r="G2024" t="str">
        <f t="shared" si="350"/>
        <v/>
      </c>
    </row>
    <row r="2025" spans="2:7">
      <c r="B2025" s="46"/>
      <c r="C2025" t="str">
        <f t="shared" si="346"/>
        <v/>
      </c>
      <c r="D2025" s="63" t="str">
        <f t="shared" si="347"/>
        <v/>
      </c>
      <c r="E2025" t="str">
        <f t="shared" si="348"/>
        <v/>
      </c>
      <c r="F2025" t="str">
        <f t="shared" si="349"/>
        <v/>
      </c>
      <c r="G2025">
        <f t="shared" si="350"/>
        <v>15.4449685534591</v>
      </c>
    </row>
    <row r="2026" spans="2:7">
      <c r="B2026" s="46"/>
      <c r="C2026" t="str">
        <f t="shared" si="346"/>
        <v/>
      </c>
      <c r="D2026" s="63" t="str">
        <f t="shared" si="347"/>
        <v/>
      </c>
      <c r="E2026" t="str">
        <f t="shared" si="348"/>
        <v/>
      </c>
      <c r="F2026" t="str">
        <f t="shared" si="349"/>
        <v/>
      </c>
      <c r="G2026">
        <f t="shared" si="350"/>
        <v>16.4669811320755</v>
      </c>
    </row>
    <row r="2027" spans="2:7">
      <c r="B2027" s="46"/>
      <c r="C2027" t="str">
        <f t="shared" si="346"/>
        <v/>
      </c>
      <c r="D2027" s="63" t="str">
        <f t="shared" si="347"/>
        <v/>
      </c>
      <c r="E2027" t="str">
        <f t="shared" si="348"/>
        <v/>
      </c>
      <c r="F2027" t="str">
        <f t="shared" si="349"/>
        <v/>
      </c>
      <c r="G2027">
        <f t="shared" si="350"/>
        <v>17.7877358490566</v>
      </c>
    </row>
    <row r="2028" spans="2:7">
      <c r="B2028" s="46"/>
      <c r="C2028" t="str">
        <f t="shared" si="346"/>
        <v/>
      </c>
      <c r="D2028" s="63" t="str">
        <f t="shared" si="347"/>
        <v/>
      </c>
      <c r="E2028" t="str">
        <f t="shared" si="348"/>
        <v/>
      </c>
      <c r="F2028" t="str">
        <f t="shared" si="349"/>
        <v/>
      </c>
      <c r="G2028">
        <f t="shared" si="350"/>
        <v>18.377358490566</v>
      </c>
    </row>
    <row r="2029" spans="2:7">
      <c r="B2029" s="46"/>
      <c r="C2029" t="str">
        <f t="shared" si="346"/>
        <v/>
      </c>
      <c r="D2029" s="63" t="str">
        <f t="shared" si="347"/>
        <v/>
      </c>
      <c r="E2029" t="str">
        <f t="shared" si="348"/>
        <v/>
      </c>
      <c r="F2029">
        <f t="shared" si="349"/>
        <v>15.4234693877551</v>
      </c>
      <c r="G2029" t="str">
        <f t="shared" si="350"/>
        <v/>
      </c>
    </row>
    <row r="2030" spans="2:7">
      <c r="B2030" s="46"/>
      <c r="C2030" t="str">
        <f t="shared" si="346"/>
        <v/>
      </c>
      <c r="D2030" s="63" t="str">
        <f t="shared" si="347"/>
        <v/>
      </c>
      <c r="E2030" t="str">
        <f t="shared" si="348"/>
        <v/>
      </c>
      <c r="F2030">
        <f t="shared" si="349"/>
        <v>16.7698412698413</v>
      </c>
      <c r="G2030" t="str">
        <f t="shared" si="350"/>
        <v/>
      </c>
    </row>
    <row r="2031" spans="2:7">
      <c r="B2031" s="46"/>
      <c r="C2031" t="str">
        <f t="shared" si="346"/>
        <v/>
      </c>
      <c r="D2031" s="63" t="str">
        <f t="shared" si="347"/>
        <v/>
      </c>
      <c r="E2031" t="str">
        <f t="shared" si="348"/>
        <v/>
      </c>
      <c r="F2031">
        <f t="shared" si="349"/>
        <v>18.109410430839</v>
      </c>
      <c r="G2031" t="str">
        <f t="shared" si="350"/>
        <v/>
      </c>
    </row>
    <row r="2032" spans="2:7">
      <c r="B2032" s="46"/>
      <c r="C2032" t="str">
        <f t="shared" si="346"/>
        <v/>
      </c>
      <c r="D2032" s="63" t="str">
        <f t="shared" si="347"/>
        <v/>
      </c>
      <c r="E2032" t="str">
        <f t="shared" si="348"/>
        <v/>
      </c>
      <c r="F2032">
        <f t="shared" si="349"/>
        <v>20.1581632653061</v>
      </c>
      <c r="G2032" t="str">
        <f t="shared" si="350"/>
        <v/>
      </c>
    </row>
    <row r="2033" spans="2:7">
      <c r="B2033" s="46"/>
      <c r="C2033" t="str">
        <f t="shared" si="346"/>
        <v/>
      </c>
      <c r="D2033" s="63" t="str">
        <f t="shared" si="347"/>
        <v/>
      </c>
      <c r="E2033" t="str">
        <f t="shared" si="348"/>
        <v/>
      </c>
      <c r="F2033">
        <f t="shared" si="349"/>
        <v>22.1581632653061</v>
      </c>
      <c r="G2033" t="str">
        <f t="shared" si="350"/>
        <v/>
      </c>
    </row>
    <row r="2034" spans="2:7">
      <c r="B2034" s="46"/>
      <c r="C2034" t="str">
        <f t="shared" si="346"/>
        <v/>
      </c>
      <c r="D2034" s="63" t="str">
        <f t="shared" si="347"/>
        <v/>
      </c>
      <c r="E2034" t="str">
        <f t="shared" si="348"/>
        <v/>
      </c>
      <c r="F2034">
        <f t="shared" si="349"/>
        <v>22.8781179138322</v>
      </c>
      <c r="G2034" t="str">
        <f t="shared" si="350"/>
        <v/>
      </c>
    </row>
    <row r="2035" spans="2:7">
      <c r="B2035" s="46"/>
      <c r="C2035" t="str">
        <f t="shared" si="346"/>
        <v/>
      </c>
      <c r="D2035" s="63">
        <f t="shared" si="347"/>
        <v>17.3022300469484</v>
      </c>
      <c r="E2035" t="str">
        <f t="shared" si="348"/>
        <v/>
      </c>
      <c r="F2035" t="str">
        <f t="shared" si="349"/>
        <v/>
      </c>
      <c r="G2035" t="str">
        <f t="shared" si="350"/>
        <v/>
      </c>
    </row>
    <row r="2036" spans="2:7">
      <c r="B2036" s="46"/>
      <c r="C2036" t="str">
        <f t="shared" si="346"/>
        <v/>
      </c>
      <c r="D2036" s="63">
        <f t="shared" si="347"/>
        <v>22.837441314554</v>
      </c>
      <c r="E2036" t="str">
        <f t="shared" si="348"/>
        <v/>
      </c>
      <c r="F2036" t="str">
        <f t="shared" si="349"/>
        <v/>
      </c>
      <c r="G2036" t="str">
        <f t="shared" si="350"/>
        <v/>
      </c>
    </row>
    <row r="2037" spans="2:7">
      <c r="B2037" s="46"/>
      <c r="C2037" t="str">
        <f t="shared" si="346"/>
        <v/>
      </c>
      <c r="D2037" s="63">
        <f t="shared" si="347"/>
        <v>23.7089201877934</v>
      </c>
      <c r="E2037" t="str">
        <f t="shared" si="348"/>
        <v/>
      </c>
      <c r="F2037" t="str">
        <f t="shared" si="349"/>
        <v/>
      </c>
      <c r="G2037" t="str">
        <f t="shared" si="350"/>
        <v/>
      </c>
    </row>
    <row r="2038" spans="2:7">
      <c r="B2038" s="46"/>
      <c r="C2038" t="str">
        <f t="shared" si="346"/>
        <v/>
      </c>
      <c r="D2038" s="63">
        <f t="shared" si="347"/>
        <v>24.3427230046948</v>
      </c>
      <c r="E2038" t="str">
        <f t="shared" si="348"/>
        <v/>
      </c>
      <c r="F2038" t="str">
        <f t="shared" si="349"/>
        <v/>
      </c>
      <c r="G2038" t="str">
        <f t="shared" si="350"/>
        <v/>
      </c>
    </row>
    <row r="2039" spans="2:7">
      <c r="B2039" s="46"/>
      <c r="C2039" t="str">
        <f t="shared" si="346"/>
        <v/>
      </c>
      <c r="D2039" s="63">
        <f t="shared" si="347"/>
        <v>27.5704225352113</v>
      </c>
      <c r="E2039" t="str">
        <f t="shared" si="348"/>
        <v/>
      </c>
      <c r="F2039" t="str">
        <f t="shared" si="349"/>
        <v/>
      </c>
      <c r="G2039" t="str">
        <f t="shared" si="350"/>
        <v/>
      </c>
    </row>
    <row r="2040" spans="2:7">
      <c r="B2040" s="46"/>
      <c r="C2040" t="str">
        <f t="shared" si="346"/>
        <v/>
      </c>
      <c r="D2040" s="63" t="str">
        <f t="shared" si="347"/>
        <v/>
      </c>
      <c r="E2040" t="str">
        <f t="shared" si="348"/>
        <v/>
      </c>
      <c r="F2040" t="str">
        <f t="shared" si="349"/>
        <v/>
      </c>
      <c r="G2040">
        <f t="shared" si="350"/>
        <v>19.1949685534591</v>
      </c>
    </row>
    <row r="2041" spans="2:7">
      <c r="B2041" s="46"/>
      <c r="C2041" t="str">
        <f t="shared" si="346"/>
        <v/>
      </c>
      <c r="D2041" s="63" t="str">
        <f t="shared" si="347"/>
        <v/>
      </c>
      <c r="E2041" t="str">
        <f t="shared" si="348"/>
        <v/>
      </c>
      <c r="F2041" t="str">
        <f t="shared" si="349"/>
        <v/>
      </c>
      <c r="G2041">
        <f t="shared" si="350"/>
        <v>21.9606918238994</v>
      </c>
    </row>
    <row r="2042" spans="2:7">
      <c r="B2042" s="46"/>
      <c r="C2042" t="str">
        <f t="shared" si="346"/>
        <v/>
      </c>
      <c r="D2042" s="63" t="str">
        <f t="shared" si="347"/>
        <v/>
      </c>
      <c r="E2042" t="str">
        <f t="shared" si="348"/>
        <v/>
      </c>
      <c r="F2042" t="str">
        <f t="shared" si="349"/>
        <v/>
      </c>
      <c r="G2042">
        <f t="shared" si="350"/>
        <v>21.9606918238994</v>
      </c>
    </row>
    <row r="2043" ht="15.75" spans="2:7">
      <c r="B2043" s="46"/>
      <c r="C2043" t="str">
        <f t="shared" si="346"/>
        <v/>
      </c>
      <c r="D2043" s="63" t="str">
        <f t="shared" si="347"/>
        <v/>
      </c>
      <c r="E2043" t="str">
        <f t="shared" si="348"/>
        <v/>
      </c>
      <c r="F2043" t="str">
        <f t="shared" si="349"/>
        <v/>
      </c>
      <c r="G2043">
        <f t="shared" si="350"/>
        <v>25.2222222222222</v>
      </c>
    </row>
    <row r="2044" spans="2:7">
      <c r="B2044" s="74" t="s">
        <v>269</v>
      </c>
      <c r="C2044" s="75">
        <f>MAX(C1989:C2043)</f>
        <v>19.2465277777778</v>
      </c>
      <c r="D2044" s="75">
        <f t="shared" ref="D2044:G2044" si="351">MAX(D1989:D2043)</f>
        <v>27.5704225352113</v>
      </c>
      <c r="E2044" s="75">
        <f t="shared" si="351"/>
        <v>18.9539215686275</v>
      </c>
      <c r="F2044" s="75">
        <f t="shared" si="351"/>
        <v>22.8781179138322</v>
      </c>
      <c r="G2044" s="75">
        <f t="shared" si="351"/>
        <v>25.2222222222222</v>
      </c>
    </row>
    <row r="2045" spans="2:7">
      <c r="B2045" s="76" t="s">
        <v>270</v>
      </c>
      <c r="C2045" s="78">
        <v>1</v>
      </c>
      <c r="D2045" s="78">
        <v>2</v>
      </c>
      <c r="E2045">
        <v>3</v>
      </c>
      <c r="F2045">
        <v>4</v>
      </c>
      <c r="G2045">
        <v>5</v>
      </c>
    </row>
    <row r="2046" spans="2:7">
      <c r="B2046" s="79" t="s">
        <v>271</v>
      </c>
      <c r="C2046">
        <f>HLOOKUP(MIN(C2044:G2044),C2044:G2045,2,FALSE)</f>
        <v>3</v>
      </c>
      <c r="D2046" s="80"/>
    </row>
    <row r="2050" ht="15.75" spans="2:7">
      <c r="B2050" s="43" t="s">
        <v>328</v>
      </c>
      <c r="C2050" s="44"/>
      <c r="D2050" s="45"/>
    </row>
    <row r="2051" spans="2:7">
      <c r="B2051" s="46"/>
      <c r="C2051" s="61" t="s">
        <v>264</v>
      </c>
      <c r="D2051" s="61" t="s">
        <v>265</v>
      </c>
      <c r="E2051" s="62" t="s">
        <v>286</v>
      </c>
      <c r="F2051" s="62" t="s">
        <v>287</v>
      </c>
      <c r="G2051" s="62" t="s">
        <v>288</v>
      </c>
    </row>
    <row r="2052" spans="2:7">
      <c r="B2052" s="46"/>
      <c r="C2052">
        <f t="shared" ref="C2052:C2107" si="352">IF(J8=1,S8,"")</f>
        <v>0.700231481481482</v>
      </c>
      <c r="D2052" s="63" t="str">
        <f t="shared" ref="D2052:D2107" si="353">IF(J8=2,S8,"")</f>
        <v/>
      </c>
      <c r="E2052" t="str">
        <f t="shared" ref="E2052:E2107" si="354">IF(J8=3,S8,"")</f>
        <v/>
      </c>
      <c r="F2052" t="str">
        <f t="shared" ref="F2052:F2107" si="355">IF(J8=4,S8,"")</f>
        <v/>
      </c>
      <c r="G2052" t="str">
        <f t="shared" ref="G2052:G2107" si="356">IF(J8=5,S8,"")</f>
        <v/>
      </c>
    </row>
    <row r="2053" spans="2:7">
      <c r="B2053" s="46"/>
      <c r="C2053" t="str">
        <f t="shared" si="352"/>
        <v/>
      </c>
      <c r="D2053" s="63">
        <f t="shared" si="353"/>
        <v>0.734154929577465</v>
      </c>
      <c r="E2053" t="str">
        <f t="shared" si="354"/>
        <v/>
      </c>
      <c r="F2053" t="str">
        <f t="shared" si="355"/>
        <v/>
      </c>
      <c r="G2053" t="str">
        <f t="shared" si="356"/>
        <v/>
      </c>
    </row>
    <row r="2054" spans="2:7">
      <c r="B2054" s="46"/>
      <c r="C2054" t="str">
        <f t="shared" si="352"/>
        <v/>
      </c>
      <c r="D2054" s="63" t="str">
        <f t="shared" si="353"/>
        <v/>
      </c>
      <c r="E2054">
        <f t="shared" si="354"/>
        <v>1.83823529411765</v>
      </c>
      <c r="F2054" t="str">
        <f t="shared" si="355"/>
        <v/>
      </c>
      <c r="G2054" t="str">
        <f t="shared" si="356"/>
        <v/>
      </c>
    </row>
    <row r="2055" spans="2:7">
      <c r="B2055" s="46"/>
      <c r="C2055" t="str">
        <f t="shared" si="352"/>
        <v/>
      </c>
      <c r="D2055" s="63" t="str">
        <f t="shared" si="353"/>
        <v/>
      </c>
      <c r="E2055" t="str">
        <f t="shared" si="354"/>
        <v/>
      </c>
      <c r="F2055">
        <f t="shared" si="355"/>
        <v>4.28571428571429</v>
      </c>
      <c r="G2055" t="str">
        <f t="shared" si="356"/>
        <v/>
      </c>
    </row>
    <row r="2056" spans="2:7">
      <c r="B2056" s="46"/>
      <c r="C2056" t="str">
        <f t="shared" si="352"/>
        <v/>
      </c>
      <c r="D2056" s="63" t="str">
        <f t="shared" si="353"/>
        <v/>
      </c>
      <c r="E2056" t="str">
        <f t="shared" si="354"/>
        <v/>
      </c>
      <c r="F2056" t="str">
        <f t="shared" si="355"/>
        <v/>
      </c>
      <c r="G2056">
        <f t="shared" si="356"/>
        <v>3.43396226415094</v>
      </c>
    </row>
    <row r="2057" spans="2:7">
      <c r="B2057" s="46"/>
      <c r="C2057" t="str">
        <f t="shared" si="352"/>
        <v/>
      </c>
      <c r="D2057" s="63" t="str">
        <f t="shared" si="353"/>
        <v/>
      </c>
      <c r="E2057">
        <f t="shared" si="354"/>
        <v>14.5833333333333</v>
      </c>
      <c r="F2057" t="str">
        <f t="shared" si="355"/>
        <v/>
      </c>
      <c r="G2057" t="str">
        <f t="shared" si="356"/>
        <v/>
      </c>
    </row>
    <row r="2058" spans="2:7">
      <c r="B2058" s="46"/>
      <c r="C2058" t="str">
        <f t="shared" si="352"/>
        <v/>
      </c>
      <c r="D2058" s="63" t="str">
        <f t="shared" si="353"/>
        <v/>
      </c>
      <c r="E2058" t="str">
        <f t="shared" si="354"/>
        <v/>
      </c>
      <c r="F2058">
        <f t="shared" si="355"/>
        <v>6.42857142857143</v>
      </c>
      <c r="G2058" t="str">
        <f t="shared" si="356"/>
        <v/>
      </c>
    </row>
    <row r="2059" spans="2:7">
      <c r="B2059" s="46"/>
      <c r="C2059" t="str">
        <f t="shared" si="352"/>
        <v/>
      </c>
      <c r="D2059" s="63" t="str">
        <f t="shared" si="353"/>
        <v/>
      </c>
      <c r="E2059" t="str">
        <f t="shared" si="354"/>
        <v/>
      </c>
      <c r="F2059" t="str">
        <f t="shared" si="355"/>
        <v/>
      </c>
      <c r="G2059">
        <f t="shared" si="356"/>
        <v>3.84591194968553</v>
      </c>
    </row>
    <row r="2060" spans="2:7">
      <c r="B2060" s="46"/>
      <c r="C2060">
        <f t="shared" si="352"/>
        <v>0.844907407407407</v>
      </c>
      <c r="D2060" s="63" t="str">
        <f t="shared" si="353"/>
        <v/>
      </c>
      <c r="E2060" t="str">
        <f t="shared" si="354"/>
        <v/>
      </c>
      <c r="F2060" t="str">
        <f t="shared" si="355"/>
        <v/>
      </c>
      <c r="G2060" t="str">
        <f t="shared" si="356"/>
        <v/>
      </c>
    </row>
    <row r="2061" spans="2:7">
      <c r="B2061" s="46"/>
      <c r="C2061">
        <f t="shared" si="352"/>
        <v>6.79803240740741</v>
      </c>
      <c r="D2061" s="63" t="str">
        <f t="shared" si="353"/>
        <v/>
      </c>
      <c r="E2061" t="str">
        <f t="shared" si="354"/>
        <v/>
      </c>
      <c r="F2061" t="str">
        <f t="shared" si="355"/>
        <v/>
      </c>
      <c r="G2061" t="str">
        <f t="shared" si="356"/>
        <v/>
      </c>
    </row>
    <row r="2062" spans="2:7">
      <c r="B2062" s="46"/>
      <c r="C2062">
        <f t="shared" si="352"/>
        <v>6.79803240740741</v>
      </c>
      <c r="D2062" s="63" t="str">
        <f t="shared" si="353"/>
        <v/>
      </c>
      <c r="E2062" t="str">
        <f t="shared" si="354"/>
        <v/>
      </c>
      <c r="F2062" t="str">
        <f t="shared" si="355"/>
        <v/>
      </c>
      <c r="G2062" t="str">
        <f t="shared" si="356"/>
        <v/>
      </c>
    </row>
    <row r="2063" spans="2:7">
      <c r="B2063" s="46"/>
      <c r="C2063">
        <f t="shared" si="352"/>
        <v>7.52719907407408</v>
      </c>
      <c r="D2063" s="63" t="str">
        <f t="shared" si="353"/>
        <v/>
      </c>
      <c r="E2063" t="str">
        <f t="shared" si="354"/>
        <v/>
      </c>
      <c r="F2063" t="str">
        <f t="shared" si="355"/>
        <v/>
      </c>
      <c r="G2063" t="str">
        <f t="shared" si="356"/>
        <v/>
      </c>
    </row>
    <row r="2064" spans="2:7">
      <c r="B2064" s="46"/>
      <c r="C2064" t="str">
        <f t="shared" si="352"/>
        <v/>
      </c>
      <c r="D2064" s="63">
        <f t="shared" si="353"/>
        <v>2.7881455399061</v>
      </c>
      <c r="E2064" t="str">
        <f t="shared" si="354"/>
        <v/>
      </c>
      <c r="F2064" t="str">
        <f t="shared" si="355"/>
        <v/>
      </c>
      <c r="G2064" t="str">
        <f t="shared" si="356"/>
        <v/>
      </c>
    </row>
    <row r="2065" spans="2:7">
      <c r="B2065" s="46"/>
      <c r="C2065" t="str">
        <f t="shared" si="352"/>
        <v/>
      </c>
      <c r="D2065" s="63">
        <f t="shared" si="353"/>
        <v>4.47535211267606</v>
      </c>
      <c r="E2065" t="str">
        <f t="shared" si="354"/>
        <v/>
      </c>
      <c r="F2065" t="str">
        <f t="shared" si="355"/>
        <v/>
      </c>
      <c r="G2065" t="str">
        <f t="shared" si="356"/>
        <v/>
      </c>
    </row>
    <row r="2066" spans="2:7">
      <c r="B2066" s="46"/>
      <c r="C2066" t="str">
        <f t="shared" si="352"/>
        <v/>
      </c>
      <c r="D2066" s="63">
        <f t="shared" si="353"/>
        <v>6.10680751173709</v>
      </c>
      <c r="E2066" t="str">
        <f t="shared" si="354"/>
        <v/>
      </c>
      <c r="F2066" t="str">
        <f t="shared" si="355"/>
        <v/>
      </c>
      <c r="G2066" t="str">
        <f t="shared" si="356"/>
        <v/>
      </c>
    </row>
    <row r="2067" spans="2:7">
      <c r="B2067" s="46"/>
      <c r="C2067" t="str">
        <f t="shared" si="352"/>
        <v/>
      </c>
      <c r="D2067" s="63">
        <f t="shared" si="353"/>
        <v>8.50821596244131</v>
      </c>
      <c r="E2067" t="str">
        <f t="shared" si="354"/>
        <v/>
      </c>
      <c r="F2067" t="str">
        <f t="shared" si="355"/>
        <v/>
      </c>
      <c r="G2067" t="str">
        <f t="shared" si="356"/>
        <v/>
      </c>
    </row>
    <row r="2068" spans="2:7">
      <c r="B2068" s="46"/>
      <c r="C2068" t="str">
        <f t="shared" si="352"/>
        <v/>
      </c>
      <c r="D2068" s="63">
        <f t="shared" si="353"/>
        <v>10.268779342723</v>
      </c>
      <c r="E2068" t="str">
        <f t="shared" si="354"/>
        <v/>
      </c>
      <c r="F2068" t="str">
        <f t="shared" si="355"/>
        <v/>
      </c>
      <c r="G2068" t="str">
        <f t="shared" si="356"/>
        <v/>
      </c>
    </row>
    <row r="2069" spans="2:7">
      <c r="B2069" s="46"/>
      <c r="C2069" t="str">
        <f t="shared" si="352"/>
        <v/>
      </c>
      <c r="D2069" s="63" t="str">
        <f t="shared" si="353"/>
        <v/>
      </c>
      <c r="E2069" t="str">
        <f t="shared" si="354"/>
        <v/>
      </c>
      <c r="F2069" t="str">
        <f t="shared" si="355"/>
        <v/>
      </c>
      <c r="G2069">
        <f t="shared" si="356"/>
        <v>7.67610062893082</v>
      </c>
    </row>
    <row r="2070" spans="2:7">
      <c r="B2070" s="46"/>
      <c r="C2070" t="str">
        <f t="shared" si="352"/>
        <v/>
      </c>
      <c r="D2070" s="63" t="str">
        <f t="shared" si="353"/>
        <v/>
      </c>
      <c r="E2070" t="str">
        <f t="shared" si="354"/>
        <v/>
      </c>
      <c r="F2070" t="str">
        <f t="shared" si="355"/>
        <v/>
      </c>
      <c r="G2070">
        <f t="shared" si="356"/>
        <v>10.3836477987421</v>
      </c>
    </row>
    <row r="2071" spans="2:7">
      <c r="B2071" s="46"/>
      <c r="C2071" t="str">
        <f t="shared" si="352"/>
        <v/>
      </c>
      <c r="D2071" s="63" t="str">
        <f t="shared" si="353"/>
        <v/>
      </c>
      <c r="E2071" t="str">
        <f t="shared" si="354"/>
        <v/>
      </c>
      <c r="F2071" t="str">
        <f t="shared" si="355"/>
        <v/>
      </c>
      <c r="G2071">
        <f t="shared" si="356"/>
        <v>13.2138364779874</v>
      </c>
    </row>
    <row r="2072" spans="2:7">
      <c r="B2072" s="46"/>
      <c r="C2072" t="str">
        <f t="shared" si="352"/>
        <v/>
      </c>
      <c r="D2072" s="63" t="str">
        <f t="shared" si="353"/>
        <v/>
      </c>
      <c r="E2072" t="str">
        <f t="shared" si="354"/>
        <v/>
      </c>
      <c r="F2072" t="str">
        <f t="shared" si="355"/>
        <v/>
      </c>
      <c r="G2072">
        <f t="shared" si="356"/>
        <v>14.7243186582809</v>
      </c>
    </row>
    <row r="2073" spans="2:7">
      <c r="B2073" s="46"/>
      <c r="C2073" t="str">
        <f t="shared" si="352"/>
        <v/>
      </c>
      <c r="D2073" s="63" t="str">
        <f t="shared" si="353"/>
        <v/>
      </c>
      <c r="E2073" t="str">
        <f t="shared" si="354"/>
        <v/>
      </c>
      <c r="F2073">
        <f t="shared" si="355"/>
        <v>9.17630385487529</v>
      </c>
      <c r="G2073" t="str">
        <f t="shared" si="356"/>
        <v/>
      </c>
    </row>
    <row r="2074" spans="2:7">
      <c r="B2074" s="46"/>
      <c r="C2074" t="str">
        <f t="shared" si="352"/>
        <v/>
      </c>
      <c r="D2074" s="63" t="str">
        <f t="shared" si="353"/>
        <v/>
      </c>
      <c r="E2074" t="str">
        <f t="shared" si="354"/>
        <v/>
      </c>
      <c r="F2074">
        <f t="shared" si="355"/>
        <v>12.328231292517</v>
      </c>
      <c r="G2074" t="str">
        <f t="shared" si="356"/>
        <v/>
      </c>
    </row>
    <row r="2075" spans="2:7">
      <c r="B2075" s="46"/>
      <c r="C2075" t="str">
        <f t="shared" si="352"/>
        <v/>
      </c>
      <c r="D2075" s="63" t="str">
        <f t="shared" si="353"/>
        <v/>
      </c>
      <c r="E2075" t="str">
        <f t="shared" si="354"/>
        <v/>
      </c>
      <c r="F2075">
        <f t="shared" si="355"/>
        <v>15.0017006802721</v>
      </c>
      <c r="G2075" t="str">
        <f t="shared" si="356"/>
        <v/>
      </c>
    </row>
    <row r="2076" spans="2:7">
      <c r="B2076" s="46"/>
      <c r="C2076">
        <f t="shared" si="352"/>
        <v>10.328125</v>
      </c>
      <c r="D2076" s="63" t="str">
        <f t="shared" si="353"/>
        <v/>
      </c>
      <c r="E2076" t="str">
        <f t="shared" si="354"/>
        <v/>
      </c>
      <c r="F2076" t="str">
        <f t="shared" si="355"/>
        <v/>
      </c>
      <c r="G2076" t="str">
        <f t="shared" si="356"/>
        <v/>
      </c>
    </row>
    <row r="2077" spans="2:7">
      <c r="B2077" s="46"/>
      <c r="C2077">
        <f t="shared" si="352"/>
        <v>14.5908564814815</v>
      </c>
      <c r="D2077" s="63" t="str">
        <f t="shared" si="353"/>
        <v/>
      </c>
      <c r="E2077" t="str">
        <f t="shared" si="354"/>
        <v/>
      </c>
      <c r="F2077" t="str">
        <f t="shared" si="355"/>
        <v/>
      </c>
      <c r="G2077" t="str">
        <f t="shared" si="356"/>
        <v/>
      </c>
    </row>
    <row r="2078" spans="2:7">
      <c r="B2078" s="46"/>
      <c r="C2078">
        <f t="shared" si="352"/>
        <v>14.9409722222222</v>
      </c>
      <c r="D2078" s="63" t="str">
        <f t="shared" si="353"/>
        <v/>
      </c>
      <c r="E2078" t="str">
        <f t="shared" si="354"/>
        <v/>
      </c>
      <c r="F2078" t="str">
        <f t="shared" si="355"/>
        <v/>
      </c>
      <c r="G2078" t="str">
        <f t="shared" si="356"/>
        <v/>
      </c>
    </row>
    <row r="2079" spans="2:7">
      <c r="B2079" s="46"/>
      <c r="C2079">
        <f t="shared" si="352"/>
        <v>19.2465277777778</v>
      </c>
      <c r="D2079" s="63" t="str">
        <f t="shared" si="353"/>
        <v/>
      </c>
      <c r="E2079" t="str">
        <f t="shared" si="354"/>
        <v/>
      </c>
      <c r="F2079" t="str">
        <f t="shared" si="355"/>
        <v/>
      </c>
      <c r="G2079" t="str">
        <f t="shared" si="356"/>
        <v/>
      </c>
    </row>
    <row r="2080" spans="2:7">
      <c r="B2080" s="46"/>
      <c r="C2080" t="str">
        <f t="shared" si="352"/>
        <v/>
      </c>
      <c r="D2080" s="63">
        <f t="shared" si="353"/>
        <v>15.0340375586854</v>
      </c>
      <c r="E2080" t="str">
        <f t="shared" si="354"/>
        <v/>
      </c>
      <c r="F2080" t="str">
        <f t="shared" si="355"/>
        <v/>
      </c>
      <c r="G2080" t="str">
        <f t="shared" si="356"/>
        <v/>
      </c>
    </row>
    <row r="2081" spans="2:7">
      <c r="B2081" s="46"/>
      <c r="C2081" t="str">
        <f t="shared" si="352"/>
        <v/>
      </c>
      <c r="D2081" s="63">
        <f t="shared" si="353"/>
        <v>15.0340375586854</v>
      </c>
      <c r="E2081" t="str">
        <f t="shared" si="354"/>
        <v/>
      </c>
      <c r="F2081" t="str">
        <f t="shared" si="355"/>
        <v/>
      </c>
      <c r="G2081" t="str">
        <f t="shared" si="356"/>
        <v/>
      </c>
    </row>
    <row r="2082" spans="2:7">
      <c r="B2082" s="46"/>
      <c r="C2082" t="str">
        <f t="shared" si="352"/>
        <v/>
      </c>
      <c r="D2082" s="63">
        <f t="shared" si="353"/>
        <v>16.1343896713615</v>
      </c>
      <c r="E2082" t="str">
        <f t="shared" si="354"/>
        <v/>
      </c>
      <c r="F2082" t="str">
        <f t="shared" si="355"/>
        <v/>
      </c>
      <c r="G2082" t="str">
        <f t="shared" si="356"/>
        <v/>
      </c>
    </row>
    <row r="2083" spans="2:7">
      <c r="B2083" s="46"/>
      <c r="C2083" t="str">
        <f t="shared" si="352"/>
        <v/>
      </c>
      <c r="D2083" s="63">
        <f t="shared" si="353"/>
        <v>16.8620892018779</v>
      </c>
      <c r="E2083" t="str">
        <f t="shared" si="354"/>
        <v/>
      </c>
      <c r="F2083" t="str">
        <f t="shared" si="355"/>
        <v/>
      </c>
      <c r="G2083" t="str">
        <f t="shared" si="356"/>
        <v/>
      </c>
    </row>
    <row r="2084" spans="2:7">
      <c r="B2084" s="46"/>
      <c r="C2084" t="str">
        <f t="shared" si="352"/>
        <v/>
      </c>
      <c r="D2084" s="63" t="str">
        <f t="shared" si="353"/>
        <v/>
      </c>
      <c r="E2084">
        <f t="shared" si="354"/>
        <v>16.1245098039216</v>
      </c>
      <c r="F2084" t="str">
        <f t="shared" si="355"/>
        <v/>
      </c>
      <c r="G2084" t="str">
        <f t="shared" si="356"/>
        <v/>
      </c>
    </row>
    <row r="2085" spans="2:7">
      <c r="B2085" s="46"/>
      <c r="C2085" t="str">
        <f t="shared" si="352"/>
        <v/>
      </c>
      <c r="D2085" s="63" t="str">
        <f t="shared" si="353"/>
        <v/>
      </c>
      <c r="E2085">
        <f t="shared" si="354"/>
        <v>17.9225490196078</v>
      </c>
      <c r="F2085" t="str">
        <f t="shared" si="355"/>
        <v/>
      </c>
      <c r="G2085" t="str">
        <f t="shared" si="356"/>
        <v/>
      </c>
    </row>
    <row r="2086" spans="2:7">
      <c r="B2086" s="46"/>
      <c r="C2086" t="str">
        <f t="shared" si="352"/>
        <v/>
      </c>
      <c r="D2086" s="63" t="str">
        <f t="shared" si="353"/>
        <v/>
      </c>
      <c r="E2086">
        <f t="shared" si="354"/>
        <v>18.7166666666667</v>
      </c>
      <c r="F2086" t="str">
        <f t="shared" si="355"/>
        <v/>
      </c>
      <c r="G2086" t="str">
        <f t="shared" si="356"/>
        <v/>
      </c>
    </row>
    <row r="2087" spans="2:7">
      <c r="B2087" s="46"/>
      <c r="C2087" t="str">
        <f t="shared" si="352"/>
        <v/>
      </c>
      <c r="D2087" s="63" t="str">
        <f t="shared" si="353"/>
        <v/>
      </c>
      <c r="E2087">
        <f t="shared" si="354"/>
        <v>18.9539215686275</v>
      </c>
      <c r="F2087" t="str">
        <f t="shared" si="355"/>
        <v/>
      </c>
      <c r="G2087" t="str">
        <f t="shared" si="356"/>
        <v/>
      </c>
    </row>
    <row r="2088" spans="2:7">
      <c r="B2088" s="46"/>
      <c r="C2088" t="str">
        <f t="shared" si="352"/>
        <v/>
      </c>
      <c r="D2088" s="63" t="str">
        <f t="shared" si="353"/>
        <v/>
      </c>
      <c r="E2088" t="str">
        <f t="shared" si="354"/>
        <v/>
      </c>
      <c r="F2088" t="str">
        <f t="shared" si="355"/>
        <v/>
      </c>
      <c r="G2088">
        <f t="shared" si="356"/>
        <v>15.4449685534591</v>
      </c>
    </row>
    <row r="2089" spans="2:7">
      <c r="B2089" s="46"/>
      <c r="C2089" t="str">
        <f t="shared" si="352"/>
        <v/>
      </c>
      <c r="D2089" s="63" t="str">
        <f t="shared" si="353"/>
        <v/>
      </c>
      <c r="E2089" t="str">
        <f t="shared" si="354"/>
        <v/>
      </c>
      <c r="F2089" t="str">
        <f t="shared" si="355"/>
        <v/>
      </c>
      <c r="G2089">
        <f t="shared" si="356"/>
        <v>16.4669811320755</v>
      </c>
    </row>
    <row r="2090" spans="2:7">
      <c r="B2090" s="46"/>
      <c r="C2090" t="str">
        <f t="shared" si="352"/>
        <v/>
      </c>
      <c r="D2090" s="63" t="str">
        <f t="shared" si="353"/>
        <v/>
      </c>
      <c r="E2090" t="str">
        <f t="shared" si="354"/>
        <v/>
      </c>
      <c r="F2090" t="str">
        <f t="shared" si="355"/>
        <v/>
      </c>
      <c r="G2090">
        <f t="shared" si="356"/>
        <v>17.7877358490566</v>
      </c>
    </row>
    <row r="2091" spans="2:7">
      <c r="B2091" s="46"/>
      <c r="C2091" t="str">
        <f t="shared" si="352"/>
        <v/>
      </c>
      <c r="D2091" s="63" t="str">
        <f t="shared" si="353"/>
        <v/>
      </c>
      <c r="E2091" t="str">
        <f t="shared" si="354"/>
        <v/>
      </c>
      <c r="F2091" t="str">
        <f t="shared" si="355"/>
        <v/>
      </c>
      <c r="G2091">
        <f t="shared" si="356"/>
        <v>18.377358490566</v>
      </c>
    </row>
    <row r="2092" spans="2:7">
      <c r="B2092" s="46"/>
      <c r="C2092" t="str">
        <f t="shared" si="352"/>
        <v/>
      </c>
      <c r="D2092" s="63" t="str">
        <f t="shared" si="353"/>
        <v/>
      </c>
      <c r="E2092" t="str">
        <f t="shared" si="354"/>
        <v/>
      </c>
      <c r="F2092">
        <f t="shared" si="355"/>
        <v>15.4234693877551</v>
      </c>
      <c r="G2092" t="str">
        <f t="shared" si="356"/>
        <v/>
      </c>
    </row>
    <row r="2093" spans="2:7">
      <c r="B2093" s="46"/>
      <c r="C2093" t="str">
        <f t="shared" si="352"/>
        <v/>
      </c>
      <c r="D2093" s="63" t="str">
        <f t="shared" si="353"/>
        <v/>
      </c>
      <c r="E2093" t="str">
        <f t="shared" si="354"/>
        <v/>
      </c>
      <c r="F2093">
        <f t="shared" si="355"/>
        <v>16.7698412698413</v>
      </c>
      <c r="G2093" t="str">
        <f t="shared" si="356"/>
        <v/>
      </c>
    </row>
    <row r="2094" spans="2:7">
      <c r="B2094" s="46"/>
      <c r="C2094" t="str">
        <f t="shared" si="352"/>
        <v/>
      </c>
      <c r="D2094" s="63" t="str">
        <f t="shared" si="353"/>
        <v/>
      </c>
      <c r="E2094" t="str">
        <f t="shared" si="354"/>
        <v/>
      </c>
      <c r="F2094">
        <f t="shared" si="355"/>
        <v>18.109410430839</v>
      </c>
      <c r="G2094" t="str">
        <f t="shared" si="356"/>
        <v/>
      </c>
    </row>
    <row r="2095" spans="2:7">
      <c r="B2095" s="46"/>
      <c r="C2095" t="str">
        <f t="shared" si="352"/>
        <v/>
      </c>
      <c r="D2095" s="63" t="str">
        <f t="shared" si="353"/>
        <v/>
      </c>
      <c r="E2095" t="str">
        <f t="shared" si="354"/>
        <v/>
      </c>
      <c r="F2095">
        <f t="shared" si="355"/>
        <v>20.1581632653061</v>
      </c>
      <c r="G2095" t="str">
        <f t="shared" si="356"/>
        <v/>
      </c>
    </row>
    <row r="2096" spans="2:7">
      <c r="B2096" s="46"/>
      <c r="C2096" t="str">
        <f t="shared" si="352"/>
        <v/>
      </c>
      <c r="D2096" s="63" t="str">
        <f t="shared" si="353"/>
        <v/>
      </c>
      <c r="E2096" t="str">
        <f t="shared" si="354"/>
        <v/>
      </c>
      <c r="F2096">
        <f t="shared" si="355"/>
        <v>22.1581632653061</v>
      </c>
      <c r="G2096" t="str">
        <f t="shared" si="356"/>
        <v/>
      </c>
    </row>
    <row r="2097" spans="2:7">
      <c r="B2097" s="46"/>
      <c r="C2097" t="str">
        <f t="shared" si="352"/>
        <v/>
      </c>
      <c r="D2097" s="63" t="str">
        <f t="shared" si="353"/>
        <v/>
      </c>
      <c r="E2097" t="str">
        <f t="shared" si="354"/>
        <v/>
      </c>
      <c r="F2097">
        <f t="shared" si="355"/>
        <v>22.8781179138322</v>
      </c>
      <c r="G2097" t="str">
        <f t="shared" si="356"/>
        <v/>
      </c>
    </row>
    <row r="2098" spans="2:7">
      <c r="B2098" s="46"/>
      <c r="C2098" t="str">
        <f t="shared" si="352"/>
        <v/>
      </c>
      <c r="D2098" s="63">
        <f t="shared" si="353"/>
        <v>17.3022300469484</v>
      </c>
      <c r="E2098" t="str">
        <f t="shared" si="354"/>
        <v/>
      </c>
      <c r="F2098" t="str">
        <f t="shared" si="355"/>
        <v/>
      </c>
      <c r="G2098" t="str">
        <f t="shared" si="356"/>
        <v/>
      </c>
    </row>
    <row r="2099" spans="2:7">
      <c r="B2099" s="46"/>
      <c r="C2099" t="str">
        <f t="shared" si="352"/>
        <v/>
      </c>
      <c r="D2099" s="63">
        <f t="shared" si="353"/>
        <v>22.837441314554</v>
      </c>
      <c r="E2099" t="str">
        <f t="shared" si="354"/>
        <v/>
      </c>
      <c r="F2099" t="str">
        <f t="shared" si="355"/>
        <v/>
      </c>
      <c r="G2099" t="str">
        <f t="shared" si="356"/>
        <v/>
      </c>
    </row>
    <row r="2100" spans="2:7">
      <c r="B2100" s="46"/>
      <c r="C2100" t="str">
        <f t="shared" si="352"/>
        <v/>
      </c>
      <c r="D2100" s="63">
        <f t="shared" si="353"/>
        <v>23.7089201877934</v>
      </c>
      <c r="E2100" t="str">
        <f t="shared" si="354"/>
        <v/>
      </c>
      <c r="F2100" t="str">
        <f t="shared" si="355"/>
        <v/>
      </c>
      <c r="G2100" t="str">
        <f t="shared" si="356"/>
        <v/>
      </c>
    </row>
    <row r="2101" spans="2:7">
      <c r="B2101" s="46"/>
      <c r="C2101" t="str">
        <f t="shared" si="352"/>
        <v/>
      </c>
      <c r="D2101" s="63">
        <f t="shared" si="353"/>
        <v>24.3427230046948</v>
      </c>
      <c r="E2101" t="str">
        <f t="shared" si="354"/>
        <v/>
      </c>
      <c r="F2101" t="str">
        <f t="shared" si="355"/>
        <v/>
      </c>
      <c r="G2101" t="str">
        <f t="shared" si="356"/>
        <v/>
      </c>
    </row>
    <row r="2102" spans="2:7">
      <c r="B2102" s="46"/>
      <c r="C2102" t="str">
        <f t="shared" si="352"/>
        <v/>
      </c>
      <c r="D2102" s="63">
        <f t="shared" si="353"/>
        <v>27.5704225352113</v>
      </c>
      <c r="E2102" t="str">
        <f t="shared" si="354"/>
        <v/>
      </c>
      <c r="F2102" t="str">
        <f t="shared" si="355"/>
        <v/>
      </c>
      <c r="G2102" t="str">
        <f t="shared" si="356"/>
        <v/>
      </c>
    </row>
    <row r="2103" spans="2:7">
      <c r="B2103" s="46"/>
      <c r="C2103" t="str">
        <f t="shared" si="352"/>
        <v/>
      </c>
      <c r="D2103" s="63" t="str">
        <f t="shared" si="353"/>
        <v/>
      </c>
      <c r="E2103" t="str">
        <f t="shared" si="354"/>
        <v/>
      </c>
      <c r="F2103" t="str">
        <f t="shared" si="355"/>
        <v/>
      </c>
      <c r="G2103">
        <f t="shared" si="356"/>
        <v>19.1949685534591</v>
      </c>
    </row>
    <row r="2104" spans="2:7">
      <c r="B2104" s="46"/>
      <c r="C2104" t="str">
        <f t="shared" si="352"/>
        <v/>
      </c>
      <c r="D2104" s="63" t="str">
        <f t="shared" si="353"/>
        <v/>
      </c>
      <c r="E2104" t="str">
        <f t="shared" si="354"/>
        <v/>
      </c>
      <c r="F2104" t="str">
        <f t="shared" si="355"/>
        <v/>
      </c>
      <c r="G2104">
        <f t="shared" si="356"/>
        <v>21.9606918238994</v>
      </c>
    </row>
    <row r="2105" spans="2:7">
      <c r="B2105" s="46"/>
      <c r="C2105" t="str">
        <f t="shared" si="352"/>
        <v/>
      </c>
      <c r="D2105" s="63" t="str">
        <f t="shared" si="353"/>
        <v/>
      </c>
      <c r="E2105" t="str">
        <f t="shared" si="354"/>
        <v/>
      </c>
      <c r="F2105" t="str">
        <f t="shared" si="355"/>
        <v/>
      </c>
      <c r="G2105">
        <f t="shared" si="356"/>
        <v>21.9606918238994</v>
      </c>
    </row>
    <row r="2106" spans="2:7">
      <c r="B2106" s="46"/>
      <c r="C2106" t="str">
        <f t="shared" si="352"/>
        <v/>
      </c>
      <c r="D2106" s="63" t="str">
        <f t="shared" si="353"/>
        <v/>
      </c>
      <c r="E2106" t="str">
        <f t="shared" si="354"/>
        <v/>
      </c>
      <c r="F2106" t="str">
        <f t="shared" si="355"/>
        <v/>
      </c>
      <c r="G2106">
        <f t="shared" si="356"/>
        <v>25.2222222222222</v>
      </c>
    </row>
    <row r="2107" ht="15.75" spans="2:7">
      <c r="B2107" s="46"/>
      <c r="C2107" t="str">
        <f t="shared" si="352"/>
        <v/>
      </c>
      <c r="D2107" s="63" t="str">
        <f t="shared" si="353"/>
        <v/>
      </c>
      <c r="E2107">
        <f t="shared" si="354"/>
        <v>22.268137254902</v>
      </c>
      <c r="F2107" t="str">
        <f t="shared" si="355"/>
        <v/>
      </c>
      <c r="G2107" t="str">
        <f t="shared" si="356"/>
        <v/>
      </c>
    </row>
    <row r="2108" spans="2:7">
      <c r="B2108" s="74" t="s">
        <v>269</v>
      </c>
      <c r="C2108" s="75">
        <f>MAX(C2052:C2107)</f>
        <v>19.2465277777778</v>
      </c>
      <c r="D2108" s="75">
        <f t="shared" ref="D2108:G2108" si="357">MAX(D2052:D2107)</f>
        <v>27.5704225352113</v>
      </c>
      <c r="E2108" s="75">
        <f t="shared" si="357"/>
        <v>22.268137254902</v>
      </c>
      <c r="F2108" s="75">
        <f t="shared" si="357"/>
        <v>22.8781179138322</v>
      </c>
      <c r="G2108" s="75">
        <f t="shared" si="357"/>
        <v>25.2222222222222</v>
      </c>
    </row>
    <row r="2109" spans="2:7">
      <c r="B2109" s="76" t="s">
        <v>270</v>
      </c>
      <c r="C2109" s="77">
        <v>1</v>
      </c>
      <c r="D2109" s="78">
        <v>2</v>
      </c>
      <c r="E2109">
        <v>3</v>
      </c>
      <c r="F2109">
        <v>4</v>
      </c>
      <c r="G2109">
        <v>5</v>
      </c>
    </row>
    <row r="2110" spans="2:7">
      <c r="B2110" s="79" t="s">
        <v>271</v>
      </c>
      <c r="C2110" s="72">
        <f>HLOOKUP(MIN(C2108:G2108),C2108:G2109,2,FALSE)</f>
        <v>1</v>
      </c>
      <c r="D2110" s="80"/>
    </row>
    <row r="2112" ht="15.75" spans="2:7">
      <c r="B2112" s="43" t="s">
        <v>329</v>
      </c>
      <c r="C2112" s="44"/>
      <c r="D2112" s="45"/>
    </row>
    <row r="2113" spans="2:7">
      <c r="B2113" s="46"/>
      <c r="C2113" s="61" t="s">
        <v>264</v>
      </c>
      <c r="D2113" s="61" t="s">
        <v>265</v>
      </c>
      <c r="E2113" s="62" t="s">
        <v>286</v>
      </c>
      <c r="F2113" s="62" t="s">
        <v>287</v>
      </c>
      <c r="G2113" s="62" t="s">
        <v>288</v>
      </c>
    </row>
    <row r="2114" spans="2:7">
      <c r="B2114" s="46"/>
      <c r="C2114">
        <f t="shared" ref="C2114:C2170" si="358">IF(J8=1,S8,"")</f>
        <v>0.700231481481482</v>
      </c>
      <c r="D2114" s="63" t="str">
        <f t="shared" ref="D2114:D2170" si="359">IF(J8=2,S8,"")</f>
        <v/>
      </c>
      <c r="E2114" t="str">
        <f t="shared" ref="E2114:E2170" si="360">IF(J8=3,S8,"")</f>
        <v/>
      </c>
      <c r="F2114" t="str">
        <f t="shared" ref="F2114:F2170" si="361">IF(J8=4,S8,"")</f>
        <v/>
      </c>
      <c r="G2114" t="str">
        <f t="shared" ref="G2114:G2170" si="362">IF(J8=5,S8,"")</f>
        <v/>
      </c>
    </row>
    <row r="2115" spans="2:7">
      <c r="B2115" s="46"/>
      <c r="C2115" t="str">
        <f t="shared" si="358"/>
        <v/>
      </c>
      <c r="D2115" s="63">
        <f t="shared" si="359"/>
        <v>0.734154929577465</v>
      </c>
      <c r="E2115" t="str">
        <f t="shared" si="360"/>
        <v/>
      </c>
      <c r="F2115" t="str">
        <f t="shared" si="361"/>
        <v/>
      </c>
      <c r="G2115" t="str">
        <f t="shared" si="362"/>
        <v/>
      </c>
    </row>
    <row r="2116" spans="2:7">
      <c r="B2116" s="46"/>
      <c r="C2116" t="str">
        <f t="shared" si="358"/>
        <v/>
      </c>
      <c r="D2116" s="63" t="str">
        <f t="shared" si="359"/>
        <v/>
      </c>
      <c r="E2116">
        <f t="shared" si="360"/>
        <v>1.83823529411765</v>
      </c>
      <c r="F2116" t="str">
        <f t="shared" si="361"/>
        <v/>
      </c>
      <c r="G2116" t="str">
        <f t="shared" si="362"/>
        <v/>
      </c>
    </row>
    <row r="2117" spans="2:7">
      <c r="B2117" s="46"/>
      <c r="C2117" t="str">
        <f t="shared" si="358"/>
        <v/>
      </c>
      <c r="D2117" s="63" t="str">
        <f t="shared" si="359"/>
        <v/>
      </c>
      <c r="E2117" t="str">
        <f t="shared" si="360"/>
        <v/>
      </c>
      <c r="F2117">
        <f t="shared" si="361"/>
        <v>4.28571428571429</v>
      </c>
      <c r="G2117" t="str">
        <f t="shared" si="362"/>
        <v/>
      </c>
    </row>
    <row r="2118" spans="2:7">
      <c r="B2118" s="46"/>
      <c r="C2118" t="str">
        <f t="shared" si="358"/>
        <v/>
      </c>
      <c r="D2118" s="63" t="str">
        <f t="shared" si="359"/>
        <v/>
      </c>
      <c r="E2118" t="str">
        <f t="shared" si="360"/>
        <v/>
      </c>
      <c r="F2118" t="str">
        <f t="shared" si="361"/>
        <v/>
      </c>
      <c r="G2118">
        <f t="shared" si="362"/>
        <v>3.43396226415094</v>
      </c>
    </row>
    <row r="2119" spans="2:7">
      <c r="B2119" s="46"/>
      <c r="C2119" t="str">
        <f t="shared" si="358"/>
        <v/>
      </c>
      <c r="D2119" s="63" t="str">
        <f t="shared" si="359"/>
        <v/>
      </c>
      <c r="E2119">
        <f t="shared" si="360"/>
        <v>14.5833333333333</v>
      </c>
      <c r="F2119" t="str">
        <f t="shared" si="361"/>
        <v/>
      </c>
      <c r="G2119" t="str">
        <f t="shared" si="362"/>
        <v/>
      </c>
    </row>
    <row r="2120" spans="2:7">
      <c r="B2120" s="46"/>
      <c r="C2120" t="str">
        <f t="shared" si="358"/>
        <v/>
      </c>
      <c r="D2120" s="63" t="str">
        <f t="shared" si="359"/>
        <v/>
      </c>
      <c r="E2120" t="str">
        <f t="shared" si="360"/>
        <v/>
      </c>
      <c r="F2120">
        <f t="shared" si="361"/>
        <v>6.42857142857143</v>
      </c>
      <c r="G2120" t="str">
        <f t="shared" si="362"/>
        <v/>
      </c>
    </row>
    <row r="2121" spans="2:7">
      <c r="B2121" s="46"/>
      <c r="C2121" t="str">
        <f t="shared" si="358"/>
        <v/>
      </c>
      <c r="D2121" s="63" t="str">
        <f t="shared" si="359"/>
        <v/>
      </c>
      <c r="E2121" t="str">
        <f t="shared" si="360"/>
        <v/>
      </c>
      <c r="F2121" t="str">
        <f t="shared" si="361"/>
        <v/>
      </c>
      <c r="G2121">
        <f t="shared" si="362"/>
        <v>3.84591194968553</v>
      </c>
    </row>
    <row r="2122" spans="2:7">
      <c r="B2122" s="46"/>
      <c r="C2122">
        <f t="shared" si="358"/>
        <v>0.844907407407407</v>
      </c>
      <c r="D2122" s="63" t="str">
        <f t="shared" si="359"/>
        <v/>
      </c>
      <c r="E2122" t="str">
        <f t="shared" si="360"/>
        <v/>
      </c>
      <c r="F2122" t="str">
        <f t="shared" si="361"/>
        <v/>
      </c>
      <c r="G2122" t="str">
        <f t="shared" si="362"/>
        <v/>
      </c>
    </row>
    <row r="2123" spans="2:7">
      <c r="B2123" s="46"/>
      <c r="C2123">
        <f t="shared" si="358"/>
        <v>6.79803240740741</v>
      </c>
      <c r="D2123" s="63" t="str">
        <f t="shared" si="359"/>
        <v/>
      </c>
      <c r="E2123" t="str">
        <f t="shared" si="360"/>
        <v/>
      </c>
      <c r="F2123" t="str">
        <f t="shared" si="361"/>
        <v/>
      </c>
      <c r="G2123" t="str">
        <f t="shared" si="362"/>
        <v/>
      </c>
    </row>
    <row r="2124" spans="2:7">
      <c r="B2124" s="46"/>
      <c r="C2124">
        <f t="shared" si="358"/>
        <v>6.79803240740741</v>
      </c>
      <c r="D2124" s="63" t="str">
        <f t="shared" si="359"/>
        <v/>
      </c>
      <c r="E2124" t="str">
        <f t="shared" si="360"/>
        <v/>
      </c>
      <c r="F2124" t="str">
        <f t="shared" si="361"/>
        <v/>
      </c>
      <c r="G2124" t="str">
        <f t="shared" si="362"/>
        <v/>
      </c>
    </row>
    <row r="2125" spans="2:7">
      <c r="B2125" s="46"/>
      <c r="C2125">
        <f t="shared" si="358"/>
        <v>7.52719907407408</v>
      </c>
      <c r="D2125" s="63" t="str">
        <f t="shared" si="359"/>
        <v/>
      </c>
      <c r="E2125" t="str">
        <f t="shared" si="360"/>
        <v/>
      </c>
      <c r="F2125" t="str">
        <f t="shared" si="361"/>
        <v/>
      </c>
      <c r="G2125" t="str">
        <f t="shared" si="362"/>
        <v/>
      </c>
    </row>
    <row r="2126" spans="2:7">
      <c r="B2126" s="46"/>
      <c r="C2126" t="str">
        <f t="shared" si="358"/>
        <v/>
      </c>
      <c r="D2126" s="63">
        <f t="shared" si="359"/>
        <v>2.7881455399061</v>
      </c>
      <c r="E2126" t="str">
        <f t="shared" si="360"/>
        <v/>
      </c>
      <c r="F2126" t="str">
        <f t="shared" si="361"/>
        <v/>
      </c>
      <c r="G2126" t="str">
        <f t="shared" si="362"/>
        <v/>
      </c>
    </row>
    <row r="2127" spans="2:7">
      <c r="B2127" s="46"/>
      <c r="C2127" t="str">
        <f t="shared" si="358"/>
        <v/>
      </c>
      <c r="D2127" s="63">
        <f t="shared" si="359"/>
        <v>4.47535211267606</v>
      </c>
      <c r="E2127" t="str">
        <f t="shared" si="360"/>
        <v/>
      </c>
      <c r="F2127" t="str">
        <f t="shared" si="361"/>
        <v/>
      </c>
      <c r="G2127" t="str">
        <f t="shared" si="362"/>
        <v/>
      </c>
    </row>
    <row r="2128" spans="2:7">
      <c r="B2128" s="46"/>
      <c r="C2128" t="str">
        <f t="shared" si="358"/>
        <v/>
      </c>
      <c r="D2128" s="63">
        <f t="shared" si="359"/>
        <v>6.10680751173709</v>
      </c>
      <c r="E2128" t="str">
        <f t="shared" si="360"/>
        <v/>
      </c>
      <c r="F2128" t="str">
        <f t="shared" si="361"/>
        <v/>
      </c>
      <c r="G2128" t="str">
        <f t="shared" si="362"/>
        <v/>
      </c>
    </row>
    <row r="2129" spans="2:7">
      <c r="B2129" s="46"/>
      <c r="C2129" t="str">
        <f t="shared" si="358"/>
        <v/>
      </c>
      <c r="D2129" s="63">
        <f t="shared" si="359"/>
        <v>8.50821596244131</v>
      </c>
      <c r="E2129" t="str">
        <f t="shared" si="360"/>
        <v/>
      </c>
      <c r="F2129" t="str">
        <f t="shared" si="361"/>
        <v/>
      </c>
      <c r="G2129" t="str">
        <f t="shared" si="362"/>
        <v/>
      </c>
    </row>
    <row r="2130" spans="2:7">
      <c r="B2130" s="46"/>
      <c r="C2130" t="str">
        <f t="shared" si="358"/>
        <v/>
      </c>
      <c r="D2130" s="63">
        <f t="shared" si="359"/>
        <v>10.268779342723</v>
      </c>
      <c r="E2130" t="str">
        <f t="shared" si="360"/>
        <v/>
      </c>
      <c r="F2130" t="str">
        <f t="shared" si="361"/>
        <v/>
      </c>
      <c r="G2130" t="str">
        <f t="shared" si="362"/>
        <v/>
      </c>
    </row>
    <row r="2131" spans="2:7">
      <c r="B2131" s="46"/>
      <c r="C2131" t="str">
        <f t="shared" si="358"/>
        <v/>
      </c>
      <c r="D2131" s="63" t="str">
        <f t="shared" si="359"/>
        <v/>
      </c>
      <c r="E2131" t="str">
        <f t="shared" si="360"/>
        <v/>
      </c>
      <c r="F2131" t="str">
        <f t="shared" si="361"/>
        <v/>
      </c>
      <c r="G2131">
        <f t="shared" si="362"/>
        <v>7.67610062893082</v>
      </c>
    </row>
    <row r="2132" spans="2:7">
      <c r="B2132" s="46"/>
      <c r="C2132" t="str">
        <f t="shared" si="358"/>
        <v/>
      </c>
      <c r="D2132" s="63" t="str">
        <f t="shared" si="359"/>
        <v/>
      </c>
      <c r="E2132" t="str">
        <f t="shared" si="360"/>
        <v/>
      </c>
      <c r="F2132" t="str">
        <f t="shared" si="361"/>
        <v/>
      </c>
      <c r="G2132">
        <f t="shared" si="362"/>
        <v>10.3836477987421</v>
      </c>
    </row>
    <row r="2133" spans="2:7">
      <c r="B2133" s="46"/>
      <c r="C2133" t="str">
        <f t="shared" si="358"/>
        <v/>
      </c>
      <c r="D2133" s="63" t="str">
        <f t="shared" si="359"/>
        <v/>
      </c>
      <c r="E2133" t="str">
        <f t="shared" si="360"/>
        <v/>
      </c>
      <c r="F2133" t="str">
        <f t="shared" si="361"/>
        <v/>
      </c>
      <c r="G2133">
        <f t="shared" si="362"/>
        <v>13.2138364779874</v>
      </c>
    </row>
    <row r="2134" spans="2:7">
      <c r="B2134" s="46"/>
      <c r="C2134" t="str">
        <f t="shared" si="358"/>
        <v/>
      </c>
      <c r="D2134" s="63" t="str">
        <f t="shared" si="359"/>
        <v/>
      </c>
      <c r="E2134" t="str">
        <f t="shared" si="360"/>
        <v/>
      </c>
      <c r="F2134" t="str">
        <f t="shared" si="361"/>
        <v/>
      </c>
      <c r="G2134">
        <f t="shared" si="362"/>
        <v>14.7243186582809</v>
      </c>
    </row>
    <row r="2135" spans="2:7">
      <c r="B2135" s="46"/>
      <c r="C2135" t="str">
        <f t="shared" si="358"/>
        <v/>
      </c>
      <c r="D2135" s="63" t="str">
        <f t="shared" si="359"/>
        <v/>
      </c>
      <c r="E2135" t="str">
        <f t="shared" si="360"/>
        <v/>
      </c>
      <c r="F2135">
        <f t="shared" si="361"/>
        <v>9.17630385487529</v>
      </c>
      <c r="G2135" t="str">
        <f t="shared" si="362"/>
        <v/>
      </c>
    </row>
    <row r="2136" spans="2:7">
      <c r="B2136" s="46"/>
      <c r="C2136" t="str">
        <f t="shared" si="358"/>
        <v/>
      </c>
      <c r="D2136" s="63" t="str">
        <f t="shared" si="359"/>
        <v/>
      </c>
      <c r="E2136" t="str">
        <f t="shared" si="360"/>
        <v/>
      </c>
      <c r="F2136">
        <f t="shared" si="361"/>
        <v>12.328231292517</v>
      </c>
      <c r="G2136" t="str">
        <f t="shared" si="362"/>
        <v/>
      </c>
    </row>
    <row r="2137" spans="2:7">
      <c r="B2137" s="46"/>
      <c r="C2137" t="str">
        <f t="shared" si="358"/>
        <v/>
      </c>
      <c r="D2137" s="63" t="str">
        <f t="shared" si="359"/>
        <v/>
      </c>
      <c r="E2137" t="str">
        <f t="shared" si="360"/>
        <v/>
      </c>
      <c r="F2137">
        <f t="shared" si="361"/>
        <v>15.0017006802721</v>
      </c>
      <c r="G2137" t="str">
        <f t="shared" si="362"/>
        <v/>
      </c>
    </row>
    <row r="2138" spans="2:7">
      <c r="B2138" s="46"/>
      <c r="C2138">
        <f t="shared" si="358"/>
        <v>10.328125</v>
      </c>
      <c r="D2138" s="63" t="str">
        <f t="shared" si="359"/>
        <v/>
      </c>
      <c r="E2138" t="str">
        <f t="shared" si="360"/>
        <v/>
      </c>
      <c r="F2138" t="str">
        <f t="shared" si="361"/>
        <v/>
      </c>
      <c r="G2138" t="str">
        <f t="shared" si="362"/>
        <v/>
      </c>
    </row>
    <row r="2139" spans="2:7">
      <c r="B2139" s="46"/>
      <c r="C2139">
        <f t="shared" si="358"/>
        <v>14.5908564814815</v>
      </c>
      <c r="D2139" s="63" t="str">
        <f t="shared" si="359"/>
        <v/>
      </c>
      <c r="E2139" t="str">
        <f t="shared" si="360"/>
        <v/>
      </c>
      <c r="F2139" t="str">
        <f t="shared" si="361"/>
        <v/>
      </c>
      <c r="G2139" t="str">
        <f t="shared" si="362"/>
        <v/>
      </c>
    </row>
    <row r="2140" spans="2:7">
      <c r="B2140" s="46"/>
      <c r="C2140">
        <f t="shared" si="358"/>
        <v>14.9409722222222</v>
      </c>
      <c r="D2140" s="63" t="str">
        <f t="shared" si="359"/>
        <v/>
      </c>
      <c r="E2140" t="str">
        <f t="shared" si="360"/>
        <v/>
      </c>
      <c r="F2140" t="str">
        <f t="shared" si="361"/>
        <v/>
      </c>
      <c r="G2140" t="str">
        <f t="shared" si="362"/>
        <v/>
      </c>
    </row>
    <row r="2141" spans="2:7">
      <c r="B2141" s="46"/>
      <c r="C2141">
        <f t="shared" si="358"/>
        <v>19.2465277777778</v>
      </c>
      <c r="D2141" s="63" t="str">
        <f t="shared" si="359"/>
        <v/>
      </c>
      <c r="E2141" t="str">
        <f t="shared" si="360"/>
        <v/>
      </c>
      <c r="F2141" t="str">
        <f t="shared" si="361"/>
        <v/>
      </c>
      <c r="G2141" t="str">
        <f t="shared" si="362"/>
        <v/>
      </c>
    </row>
    <row r="2142" spans="2:7">
      <c r="B2142" s="46"/>
      <c r="C2142" t="str">
        <f t="shared" si="358"/>
        <v/>
      </c>
      <c r="D2142" s="63">
        <f t="shared" si="359"/>
        <v>15.0340375586854</v>
      </c>
      <c r="E2142" t="str">
        <f t="shared" si="360"/>
        <v/>
      </c>
      <c r="F2142" t="str">
        <f t="shared" si="361"/>
        <v/>
      </c>
      <c r="G2142" t="str">
        <f t="shared" si="362"/>
        <v/>
      </c>
    </row>
    <row r="2143" spans="2:7">
      <c r="B2143" s="46"/>
      <c r="C2143" t="str">
        <f t="shared" si="358"/>
        <v/>
      </c>
      <c r="D2143" s="63">
        <f t="shared" si="359"/>
        <v>15.0340375586854</v>
      </c>
      <c r="E2143" t="str">
        <f t="shared" si="360"/>
        <v/>
      </c>
      <c r="F2143" t="str">
        <f t="shared" si="361"/>
        <v/>
      </c>
      <c r="G2143" t="str">
        <f t="shared" si="362"/>
        <v/>
      </c>
    </row>
    <row r="2144" spans="2:7">
      <c r="B2144" s="46"/>
      <c r="C2144" t="str">
        <f t="shared" si="358"/>
        <v/>
      </c>
      <c r="D2144" s="63">
        <f t="shared" si="359"/>
        <v>16.1343896713615</v>
      </c>
      <c r="E2144" t="str">
        <f t="shared" si="360"/>
        <v/>
      </c>
      <c r="F2144" t="str">
        <f t="shared" si="361"/>
        <v/>
      </c>
      <c r="G2144" t="str">
        <f t="shared" si="362"/>
        <v/>
      </c>
    </row>
    <row r="2145" spans="2:7">
      <c r="B2145" s="46"/>
      <c r="C2145" t="str">
        <f t="shared" si="358"/>
        <v/>
      </c>
      <c r="D2145" s="63">
        <f t="shared" si="359"/>
        <v>16.8620892018779</v>
      </c>
      <c r="E2145" t="str">
        <f t="shared" si="360"/>
        <v/>
      </c>
      <c r="F2145" t="str">
        <f t="shared" si="361"/>
        <v/>
      </c>
      <c r="G2145" t="str">
        <f t="shared" si="362"/>
        <v/>
      </c>
    </row>
    <row r="2146" spans="2:7">
      <c r="B2146" s="46"/>
      <c r="C2146" t="str">
        <f t="shared" si="358"/>
        <v/>
      </c>
      <c r="D2146" s="63" t="str">
        <f t="shared" si="359"/>
        <v/>
      </c>
      <c r="E2146">
        <f t="shared" si="360"/>
        <v>16.1245098039216</v>
      </c>
      <c r="F2146" t="str">
        <f t="shared" si="361"/>
        <v/>
      </c>
      <c r="G2146" t="str">
        <f t="shared" si="362"/>
        <v/>
      </c>
    </row>
    <row r="2147" spans="2:7">
      <c r="B2147" s="46"/>
      <c r="C2147" t="str">
        <f t="shared" si="358"/>
        <v/>
      </c>
      <c r="D2147" s="63" t="str">
        <f t="shared" si="359"/>
        <v/>
      </c>
      <c r="E2147">
        <f t="shared" si="360"/>
        <v>17.9225490196078</v>
      </c>
      <c r="F2147" t="str">
        <f t="shared" si="361"/>
        <v/>
      </c>
      <c r="G2147" t="str">
        <f t="shared" si="362"/>
        <v/>
      </c>
    </row>
    <row r="2148" spans="2:7">
      <c r="B2148" s="46"/>
      <c r="C2148" t="str">
        <f t="shared" si="358"/>
        <v/>
      </c>
      <c r="D2148" s="63" t="str">
        <f t="shared" si="359"/>
        <v/>
      </c>
      <c r="E2148">
        <f t="shared" si="360"/>
        <v>18.7166666666667</v>
      </c>
      <c r="F2148" t="str">
        <f t="shared" si="361"/>
        <v/>
      </c>
      <c r="G2148" t="str">
        <f t="shared" si="362"/>
        <v/>
      </c>
    </row>
    <row r="2149" spans="2:7">
      <c r="B2149" s="46"/>
      <c r="C2149" t="str">
        <f t="shared" si="358"/>
        <v/>
      </c>
      <c r="D2149" s="63" t="str">
        <f t="shared" si="359"/>
        <v/>
      </c>
      <c r="E2149">
        <f t="shared" si="360"/>
        <v>18.9539215686275</v>
      </c>
      <c r="F2149" t="str">
        <f t="shared" si="361"/>
        <v/>
      </c>
      <c r="G2149" t="str">
        <f t="shared" si="362"/>
        <v/>
      </c>
    </row>
    <row r="2150" spans="2:7">
      <c r="B2150" s="46"/>
      <c r="C2150" t="str">
        <f t="shared" si="358"/>
        <v/>
      </c>
      <c r="D2150" s="63" t="str">
        <f t="shared" si="359"/>
        <v/>
      </c>
      <c r="E2150" t="str">
        <f t="shared" si="360"/>
        <v/>
      </c>
      <c r="F2150" t="str">
        <f t="shared" si="361"/>
        <v/>
      </c>
      <c r="G2150">
        <f t="shared" si="362"/>
        <v>15.4449685534591</v>
      </c>
    </row>
    <row r="2151" spans="2:7">
      <c r="B2151" s="46"/>
      <c r="C2151" t="str">
        <f t="shared" si="358"/>
        <v/>
      </c>
      <c r="D2151" s="63" t="str">
        <f t="shared" si="359"/>
        <v/>
      </c>
      <c r="E2151" t="str">
        <f t="shared" si="360"/>
        <v/>
      </c>
      <c r="F2151" t="str">
        <f t="shared" si="361"/>
        <v/>
      </c>
      <c r="G2151">
        <f t="shared" si="362"/>
        <v>16.4669811320755</v>
      </c>
    </row>
    <row r="2152" spans="2:7">
      <c r="B2152" s="46"/>
      <c r="C2152" t="str">
        <f t="shared" si="358"/>
        <v/>
      </c>
      <c r="D2152" s="63" t="str">
        <f t="shared" si="359"/>
        <v/>
      </c>
      <c r="E2152" t="str">
        <f t="shared" si="360"/>
        <v/>
      </c>
      <c r="F2152" t="str">
        <f t="shared" si="361"/>
        <v/>
      </c>
      <c r="G2152">
        <f t="shared" si="362"/>
        <v>17.7877358490566</v>
      </c>
    </row>
    <row r="2153" spans="2:7">
      <c r="B2153" s="46"/>
      <c r="C2153" t="str">
        <f t="shared" si="358"/>
        <v/>
      </c>
      <c r="D2153" s="63" t="str">
        <f t="shared" si="359"/>
        <v/>
      </c>
      <c r="E2153" t="str">
        <f t="shared" si="360"/>
        <v/>
      </c>
      <c r="F2153" t="str">
        <f t="shared" si="361"/>
        <v/>
      </c>
      <c r="G2153">
        <f t="shared" si="362"/>
        <v>18.377358490566</v>
      </c>
    </row>
    <row r="2154" spans="2:7">
      <c r="B2154" s="46"/>
      <c r="C2154" t="str">
        <f t="shared" si="358"/>
        <v/>
      </c>
      <c r="D2154" s="63" t="str">
        <f t="shared" si="359"/>
        <v/>
      </c>
      <c r="E2154" t="str">
        <f t="shared" si="360"/>
        <v/>
      </c>
      <c r="F2154">
        <f t="shared" si="361"/>
        <v>15.4234693877551</v>
      </c>
      <c r="G2154" t="str">
        <f t="shared" si="362"/>
        <v/>
      </c>
    </row>
    <row r="2155" spans="2:7">
      <c r="B2155" s="46"/>
      <c r="C2155" t="str">
        <f t="shared" si="358"/>
        <v/>
      </c>
      <c r="D2155" s="63" t="str">
        <f t="shared" si="359"/>
        <v/>
      </c>
      <c r="E2155" t="str">
        <f t="shared" si="360"/>
        <v/>
      </c>
      <c r="F2155">
        <f t="shared" si="361"/>
        <v>16.7698412698413</v>
      </c>
      <c r="G2155" t="str">
        <f t="shared" si="362"/>
        <v/>
      </c>
    </row>
    <row r="2156" spans="2:7">
      <c r="B2156" s="46"/>
      <c r="C2156" t="str">
        <f t="shared" si="358"/>
        <v/>
      </c>
      <c r="D2156" s="63" t="str">
        <f t="shared" si="359"/>
        <v/>
      </c>
      <c r="E2156" t="str">
        <f t="shared" si="360"/>
        <v/>
      </c>
      <c r="F2156">
        <f t="shared" si="361"/>
        <v>18.109410430839</v>
      </c>
      <c r="G2156" t="str">
        <f t="shared" si="362"/>
        <v/>
      </c>
    </row>
    <row r="2157" spans="2:7">
      <c r="B2157" s="46"/>
      <c r="C2157" t="str">
        <f t="shared" si="358"/>
        <v/>
      </c>
      <c r="D2157" s="63" t="str">
        <f t="shared" si="359"/>
        <v/>
      </c>
      <c r="E2157" t="str">
        <f t="shared" si="360"/>
        <v/>
      </c>
      <c r="F2157">
        <f t="shared" si="361"/>
        <v>20.1581632653061</v>
      </c>
      <c r="G2157" t="str">
        <f t="shared" si="362"/>
        <v/>
      </c>
    </row>
    <row r="2158" spans="2:7">
      <c r="B2158" s="46"/>
      <c r="C2158" t="str">
        <f t="shared" si="358"/>
        <v/>
      </c>
      <c r="D2158" s="63" t="str">
        <f t="shared" si="359"/>
        <v/>
      </c>
      <c r="E2158" t="str">
        <f t="shared" si="360"/>
        <v/>
      </c>
      <c r="F2158">
        <f t="shared" si="361"/>
        <v>22.1581632653061</v>
      </c>
      <c r="G2158" t="str">
        <f t="shared" si="362"/>
        <v/>
      </c>
    </row>
    <row r="2159" spans="2:7">
      <c r="B2159" s="46"/>
      <c r="C2159" t="str">
        <f t="shared" si="358"/>
        <v/>
      </c>
      <c r="D2159" s="63" t="str">
        <f t="shared" si="359"/>
        <v/>
      </c>
      <c r="E2159" t="str">
        <f t="shared" si="360"/>
        <v/>
      </c>
      <c r="F2159">
        <f t="shared" si="361"/>
        <v>22.8781179138322</v>
      </c>
      <c r="G2159" t="str">
        <f t="shared" si="362"/>
        <v/>
      </c>
    </row>
    <row r="2160" spans="2:7">
      <c r="B2160" s="46"/>
      <c r="C2160" t="str">
        <f t="shared" si="358"/>
        <v/>
      </c>
      <c r="D2160" s="63">
        <f t="shared" si="359"/>
        <v>17.3022300469484</v>
      </c>
      <c r="E2160" t="str">
        <f t="shared" si="360"/>
        <v/>
      </c>
      <c r="F2160" t="str">
        <f t="shared" si="361"/>
        <v/>
      </c>
      <c r="G2160" t="str">
        <f t="shared" si="362"/>
        <v/>
      </c>
    </row>
    <row r="2161" spans="2:7">
      <c r="B2161" s="46"/>
      <c r="C2161" t="str">
        <f t="shared" si="358"/>
        <v/>
      </c>
      <c r="D2161" s="63">
        <f t="shared" si="359"/>
        <v>22.837441314554</v>
      </c>
      <c r="E2161" t="str">
        <f t="shared" si="360"/>
        <v/>
      </c>
      <c r="F2161" t="str">
        <f t="shared" si="361"/>
        <v/>
      </c>
      <c r="G2161" t="str">
        <f t="shared" si="362"/>
        <v/>
      </c>
    </row>
    <row r="2162" spans="2:7">
      <c r="B2162" s="46"/>
      <c r="C2162" t="str">
        <f t="shared" si="358"/>
        <v/>
      </c>
      <c r="D2162" s="63">
        <f t="shared" si="359"/>
        <v>23.7089201877934</v>
      </c>
      <c r="E2162" t="str">
        <f t="shared" si="360"/>
        <v/>
      </c>
      <c r="F2162" t="str">
        <f t="shared" si="361"/>
        <v/>
      </c>
      <c r="G2162" t="str">
        <f t="shared" si="362"/>
        <v/>
      </c>
    </row>
    <row r="2163" spans="2:7">
      <c r="B2163" s="46"/>
      <c r="C2163" t="str">
        <f t="shared" si="358"/>
        <v/>
      </c>
      <c r="D2163" s="63">
        <f t="shared" si="359"/>
        <v>24.3427230046948</v>
      </c>
      <c r="E2163" t="str">
        <f t="shared" si="360"/>
        <v/>
      </c>
      <c r="F2163" t="str">
        <f t="shared" si="361"/>
        <v/>
      </c>
      <c r="G2163" t="str">
        <f t="shared" si="362"/>
        <v/>
      </c>
    </row>
    <row r="2164" spans="2:7">
      <c r="B2164" s="46"/>
      <c r="C2164" t="str">
        <f t="shared" si="358"/>
        <v/>
      </c>
      <c r="D2164" s="63">
        <f t="shared" si="359"/>
        <v>27.5704225352113</v>
      </c>
      <c r="E2164" t="str">
        <f t="shared" si="360"/>
        <v/>
      </c>
      <c r="F2164" t="str">
        <f t="shared" si="361"/>
        <v/>
      </c>
      <c r="G2164" t="str">
        <f t="shared" si="362"/>
        <v/>
      </c>
    </row>
    <row r="2165" spans="2:7">
      <c r="B2165" s="46"/>
      <c r="C2165" t="str">
        <f t="shared" si="358"/>
        <v/>
      </c>
      <c r="D2165" s="63" t="str">
        <f t="shared" si="359"/>
        <v/>
      </c>
      <c r="E2165" t="str">
        <f t="shared" si="360"/>
        <v/>
      </c>
      <c r="F2165" t="str">
        <f t="shared" si="361"/>
        <v/>
      </c>
      <c r="G2165">
        <f t="shared" si="362"/>
        <v>19.1949685534591</v>
      </c>
    </row>
    <row r="2166" spans="2:7">
      <c r="B2166" s="46"/>
      <c r="C2166" t="str">
        <f t="shared" si="358"/>
        <v/>
      </c>
      <c r="D2166" s="63" t="str">
        <f t="shared" si="359"/>
        <v/>
      </c>
      <c r="E2166" t="str">
        <f t="shared" si="360"/>
        <v/>
      </c>
      <c r="F2166" t="str">
        <f t="shared" si="361"/>
        <v/>
      </c>
      <c r="G2166">
        <f t="shared" si="362"/>
        <v>21.9606918238994</v>
      </c>
    </row>
    <row r="2167" spans="2:7">
      <c r="B2167" s="46"/>
      <c r="C2167" t="str">
        <f t="shared" si="358"/>
        <v/>
      </c>
      <c r="D2167" s="63" t="str">
        <f t="shared" si="359"/>
        <v/>
      </c>
      <c r="E2167" t="str">
        <f t="shared" si="360"/>
        <v/>
      </c>
      <c r="F2167" t="str">
        <f t="shared" si="361"/>
        <v/>
      </c>
      <c r="G2167">
        <f t="shared" si="362"/>
        <v>21.9606918238994</v>
      </c>
    </row>
    <row r="2168" spans="2:7">
      <c r="B2168" s="46"/>
      <c r="C2168" t="str">
        <f t="shared" si="358"/>
        <v/>
      </c>
      <c r="D2168" s="63" t="str">
        <f t="shared" si="359"/>
        <v/>
      </c>
      <c r="E2168" t="str">
        <f t="shared" si="360"/>
        <v/>
      </c>
      <c r="F2168" t="str">
        <f t="shared" si="361"/>
        <v/>
      </c>
      <c r="G2168">
        <f t="shared" si="362"/>
        <v>25.2222222222222</v>
      </c>
    </row>
    <row r="2169" spans="2:7">
      <c r="B2169" s="46"/>
      <c r="C2169" t="str">
        <f t="shared" si="358"/>
        <v/>
      </c>
      <c r="D2169" s="63" t="str">
        <f t="shared" si="359"/>
        <v/>
      </c>
      <c r="E2169">
        <f t="shared" si="360"/>
        <v>22.268137254902</v>
      </c>
      <c r="F2169" t="str">
        <f t="shared" si="361"/>
        <v/>
      </c>
      <c r="G2169" t="str">
        <f t="shared" si="362"/>
        <v/>
      </c>
    </row>
    <row r="2170" ht="15.75" spans="2:7">
      <c r="B2170" s="46"/>
      <c r="C2170" t="str">
        <f t="shared" si="358"/>
        <v/>
      </c>
      <c r="D2170" s="63" t="str">
        <f t="shared" si="359"/>
        <v/>
      </c>
      <c r="E2170">
        <f t="shared" si="360"/>
        <v>22.268137254902</v>
      </c>
      <c r="F2170" t="str">
        <f t="shared" si="361"/>
        <v/>
      </c>
      <c r="G2170" t="str">
        <f t="shared" si="362"/>
        <v/>
      </c>
    </row>
    <row r="2171" spans="2:7">
      <c r="B2171" s="74" t="s">
        <v>269</v>
      </c>
      <c r="C2171" s="75">
        <f>MAX(C2114:C2170)</f>
        <v>19.2465277777778</v>
      </c>
      <c r="D2171" s="75">
        <f t="shared" ref="D2171:G2171" si="363">MAX(D2114:D2170)</f>
        <v>27.5704225352113</v>
      </c>
      <c r="E2171" s="75">
        <f t="shared" si="363"/>
        <v>22.268137254902</v>
      </c>
      <c r="F2171" s="75">
        <f t="shared" si="363"/>
        <v>22.8781179138322</v>
      </c>
      <c r="G2171" s="75">
        <f t="shared" si="363"/>
        <v>25.2222222222222</v>
      </c>
    </row>
    <row r="2172" spans="2:7">
      <c r="B2172" s="76" t="s">
        <v>270</v>
      </c>
      <c r="C2172" s="77">
        <v>1</v>
      </c>
      <c r="D2172" s="78">
        <v>2</v>
      </c>
      <c r="E2172">
        <v>3</v>
      </c>
      <c r="F2172">
        <v>4</v>
      </c>
      <c r="G2172">
        <v>5</v>
      </c>
    </row>
    <row r="2173" spans="2:7">
      <c r="B2173" s="79" t="s">
        <v>271</v>
      </c>
      <c r="C2173" s="72">
        <f>HLOOKUP(MIN(C2171:G2171),C2171:G2172,2,FALSE)</f>
        <v>1</v>
      </c>
      <c r="D2173" s="80"/>
    </row>
    <row r="2176" ht="15.75" spans="2:7">
      <c r="B2176" s="43" t="s">
        <v>330</v>
      </c>
      <c r="C2176" s="44"/>
      <c r="D2176" s="45"/>
    </row>
    <row r="2177" spans="2:7">
      <c r="B2177" s="46"/>
      <c r="C2177" s="61" t="s">
        <v>264</v>
      </c>
      <c r="D2177" s="61" t="s">
        <v>265</v>
      </c>
      <c r="E2177" s="62" t="s">
        <v>286</v>
      </c>
      <c r="F2177" s="62" t="s">
        <v>287</v>
      </c>
      <c r="G2177" s="62" t="s">
        <v>288</v>
      </c>
    </row>
    <row r="2178" spans="2:7">
      <c r="B2178" s="46"/>
      <c r="C2178">
        <f t="shared" ref="C2178:C2235" si="364">IF(J8=1,S8,"")</f>
        <v>0.700231481481482</v>
      </c>
      <c r="D2178" s="63" t="str">
        <f t="shared" ref="D2178:D2235" si="365">IF(J8=2,S8,"")</f>
        <v/>
      </c>
      <c r="E2178" t="str">
        <f t="shared" ref="E2178:E2235" si="366">IF(J8=3,S8,"")</f>
        <v/>
      </c>
      <c r="F2178" t="str">
        <f t="shared" ref="F2178:F2235" si="367">IF(J8=4,S8,"")</f>
        <v/>
      </c>
      <c r="G2178" t="str">
        <f t="shared" ref="G2178:G2235" si="368">IF(J8=5,S8,"")</f>
        <v/>
      </c>
    </row>
    <row r="2179" spans="2:7">
      <c r="B2179" s="46"/>
      <c r="C2179" t="str">
        <f t="shared" si="364"/>
        <v/>
      </c>
      <c r="D2179" s="63">
        <f t="shared" si="365"/>
        <v>0.734154929577465</v>
      </c>
      <c r="E2179" t="str">
        <f t="shared" si="366"/>
        <v/>
      </c>
      <c r="F2179" t="str">
        <f t="shared" si="367"/>
        <v/>
      </c>
      <c r="G2179" t="str">
        <f t="shared" si="368"/>
        <v/>
      </c>
    </row>
    <row r="2180" spans="2:7">
      <c r="B2180" s="46"/>
      <c r="C2180" t="str">
        <f t="shared" si="364"/>
        <v/>
      </c>
      <c r="D2180" s="63" t="str">
        <f t="shared" si="365"/>
        <v/>
      </c>
      <c r="E2180">
        <f t="shared" si="366"/>
        <v>1.83823529411765</v>
      </c>
      <c r="F2180" t="str">
        <f t="shared" si="367"/>
        <v/>
      </c>
      <c r="G2180" t="str">
        <f t="shared" si="368"/>
        <v/>
      </c>
    </row>
    <row r="2181" spans="2:7">
      <c r="B2181" s="46"/>
      <c r="C2181" t="str">
        <f t="shared" si="364"/>
        <v/>
      </c>
      <c r="D2181" s="63" t="str">
        <f t="shared" si="365"/>
        <v/>
      </c>
      <c r="E2181" t="str">
        <f t="shared" si="366"/>
        <v/>
      </c>
      <c r="F2181">
        <f t="shared" si="367"/>
        <v>4.28571428571429</v>
      </c>
      <c r="G2181" t="str">
        <f t="shared" si="368"/>
        <v/>
      </c>
    </row>
    <row r="2182" spans="2:7">
      <c r="B2182" s="46"/>
      <c r="C2182" t="str">
        <f t="shared" si="364"/>
        <v/>
      </c>
      <c r="D2182" s="63" t="str">
        <f t="shared" si="365"/>
        <v/>
      </c>
      <c r="E2182" t="str">
        <f t="shared" si="366"/>
        <v/>
      </c>
      <c r="F2182" t="str">
        <f t="shared" si="367"/>
        <v/>
      </c>
      <c r="G2182">
        <f t="shared" si="368"/>
        <v>3.43396226415094</v>
      </c>
    </row>
    <row r="2183" spans="2:7">
      <c r="B2183" s="46"/>
      <c r="C2183" t="str">
        <f t="shared" si="364"/>
        <v/>
      </c>
      <c r="D2183" s="63" t="str">
        <f t="shared" si="365"/>
        <v/>
      </c>
      <c r="E2183">
        <f t="shared" si="366"/>
        <v>14.5833333333333</v>
      </c>
      <c r="F2183" t="str">
        <f t="shared" si="367"/>
        <v/>
      </c>
      <c r="G2183" t="str">
        <f t="shared" si="368"/>
        <v/>
      </c>
    </row>
    <row r="2184" spans="2:7">
      <c r="B2184" s="46"/>
      <c r="C2184" t="str">
        <f t="shared" si="364"/>
        <v/>
      </c>
      <c r="D2184" s="63" t="str">
        <f t="shared" si="365"/>
        <v/>
      </c>
      <c r="E2184" t="str">
        <f t="shared" si="366"/>
        <v/>
      </c>
      <c r="F2184">
        <f t="shared" si="367"/>
        <v>6.42857142857143</v>
      </c>
      <c r="G2184" t="str">
        <f t="shared" si="368"/>
        <v/>
      </c>
    </row>
    <row r="2185" spans="2:7">
      <c r="B2185" s="46"/>
      <c r="C2185" t="str">
        <f t="shared" si="364"/>
        <v/>
      </c>
      <c r="D2185" s="63" t="str">
        <f t="shared" si="365"/>
        <v/>
      </c>
      <c r="E2185" t="str">
        <f t="shared" si="366"/>
        <v/>
      </c>
      <c r="F2185" t="str">
        <f t="shared" si="367"/>
        <v/>
      </c>
      <c r="G2185">
        <f t="shared" si="368"/>
        <v>3.84591194968553</v>
      </c>
    </row>
    <row r="2186" spans="2:7">
      <c r="B2186" s="46"/>
      <c r="C2186">
        <f t="shared" si="364"/>
        <v>0.844907407407407</v>
      </c>
      <c r="D2186" s="63" t="str">
        <f t="shared" si="365"/>
        <v/>
      </c>
      <c r="E2186" t="str">
        <f t="shared" si="366"/>
        <v/>
      </c>
      <c r="F2186" t="str">
        <f t="shared" si="367"/>
        <v/>
      </c>
      <c r="G2186" t="str">
        <f t="shared" si="368"/>
        <v/>
      </c>
    </row>
    <row r="2187" spans="2:7">
      <c r="B2187" s="46"/>
      <c r="C2187">
        <f t="shared" si="364"/>
        <v>6.79803240740741</v>
      </c>
      <c r="D2187" s="63" t="str">
        <f t="shared" si="365"/>
        <v/>
      </c>
      <c r="E2187" t="str">
        <f t="shared" si="366"/>
        <v/>
      </c>
      <c r="F2187" t="str">
        <f t="shared" si="367"/>
        <v/>
      </c>
      <c r="G2187" t="str">
        <f t="shared" si="368"/>
        <v/>
      </c>
    </row>
    <row r="2188" spans="2:7">
      <c r="B2188" s="46"/>
      <c r="C2188">
        <f t="shared" si="364"/>
        <v>6.79803240740741</v>
      </c>
      <c r="D2188" s="63" t="str">
        <f t="shared" si="365"/>
        <v/>
      </c>
      <c r="E2188" t="str">
        <f t="shared" si="366"/>
        <v/>
      </c>
      <c r="F2188" t="str">
        <f t="shared" si="367"/>
        <v/>
      </c>
      <c r="G2188" t="str">
        <f t="shared" si="368"/>
        <v/>
      </c>
    </row>
    <row r="2189" spans="2:7">
      <c r="B2189" s="46"/>
      <c r="C2189">
        <f t="shared" si="364"/>
        <v>7.52719907407408</v>
      </c>
      <c r="D2189" s="63" t="str">
        <f t="shared" si="365"/>
        <v/>
      </c>
      <c r="E2189" t="str">
        <f t="shared" si="366"/>
        <v/>
      </c>
      <c r="F2189" t="str">
        <f t="shared" si="367"/>
        <v/>
      </c>
      <c r="G2189" t="str">
        <f t="shared" si="368"/>
        <v/>
      </c>
    </row>
    <row r="2190" spans="2:7">
      <c r="B2190" s="46"/>
      <c r="C2190" t="str">
        <f t="shared" si="364"/>
        <v/>
      </c>
      <c r="D2190" s="63">
        <f t="shared" si="365"/>
        <v>2.7881455399061</v>
      </c>
      <c r="E2190" t="str">
        <f t="shared" si="366"/>
        <v/>
      </c>
      <c r="F2190" t="str">
        <f t="shared" si="367"/>
        <v/>
      </c>
      <c r="G2190" t="str">
        <f t="shared" si="368"/>
        <v/>
      </c>
    </row>
    <row r="2191" spans="2:7">
      <c r="B2191" s="46"/>
      <c r="C2191" t="str">
        <f t="shared" si="364"/>
        <v/>
      </c>
      <c r="D2191" s="63">
        <f t="shared" si="365"/>
        <v>4.47535211267606</v>
      </c>
      <c r="E2191" t="str">
        <f t="shared" si="366"/>
        <v/>
      </c>
      <c r="F2191" t="str">
        <f t="shared" si="367"/>
        <v/>
      </c>
      <c r="G2191" t="str">
        <f t="shared" si="368"/>
        <v/>
      </c>
    </row>
    <row r="2192" spans="2:7">
      <c r="B2192" s="46"/>
      <c r="C2192" t="str">
        <f t="shared" si="364"/>
        <v/>
      </c>
      <c r="D2192" s="63">
        <f t="shared" si="365"/>
        <v>6.10680751173709</v>
      </c>
      <c r="E2192" t="str">
        <f t="shared" si="366"/>
        <v/>
      </c>
      <c r="F2192" t="str">
        <f t="shared" si="367"/>
        <v/>
      </c>
      <c r="G2192" t="str">
        <f t="shared" si="368"/>
        <v/>
      </c>
    </row>
    <row r="2193" spans="2:7">
      <c r="B2193" s="46"/>
      <c r="C2193" t="str">
        <f t="shared" si="364"/>
        <v/>
      </c>
      <c r="D2193" s="63">
        <f t="shared" si="365"/>
        <v>8.50821596244131</v>
      </c>
      <c r="E2193" t="str">
        <f t="shared" si="366"/>
        <v/>
      </c>
      <c r="F2193" t="str">
        <f t="shared" si="367"/>
        <v/>
      </c>
      <c r="G2193" t="str">
        <f t="shared" si="368"/>
        <v/>
      </c>
    </row>
    <row r="2194" spans="2:7">
      <c r="B2194" s="46"/>
      <c r="C2194" t="str">
        <f t="shared" si="364"/>
        <v/>
      </c>
      <c r="D2194" s="63">
        <f t="shared" si="365"/>
        <v>10.268779342723</v>
      </c>
      <c r="E2194" t="str">
        <f t="shared" si="366"/>
        <v/>
      </c>
      <c r="F2194" t="str">
        <f t="shared" si="367"/>
        <v/>
      </c>
      <c r="G2194" t="str">
        <f t="shared" si="368"/>
        <v/>
      </c>
    </row>
    <row r="2195" spans="2:7">
      <c r="B2195" s="46"/>
      <c r="C2195" t="str">
        <f t="shared" si="364"/>
        <v/>
      </c>
      <c r="D2195" s="63" t="str">
        <f t="shared" si="365"/>
        <v/>
      </c>
      <c r="E2195" t="str">
        <f t="shared" si="366"/>
        <v/>
      </c>
      <c r="F2195" t="str">
        <f t="shared" si="367"/>
        <v/>
      </c>
      <c r="G2195">
        <f t="shared" si="368"/>
        <v>7.67610062893082</v>
      </c>
    </row>
    <row r="2196" spans="2:7">
      <c r="B2196" s="46"/>
      <c r="C2196" t="str">
        <f t="shared" si="364"/>
        <v/>
      </c>
      <c r="D2196" s="63" t="str">
        <f t="shared" si="365"/>
        <v/>
      </c>
      <c r="E2196" t="str">
        <f t="shared" si="366"/>
        <v/>
      </c>
      <c r="F2196" t="str">
        <f t="shared" si="367"/>
        <v/>
      </c>
      <c r="G2196">
        <f t="shared" si="368"/>
        <v>10.3836477987421</v>
      </c>
    </row>
    <row r="2197" spans="2:7">
      <c r="B2197" s="46"/>
      <c r="C2197" t="str">
        <f t="shared" si="364"/>
        <v/>
      </c>
      <c r="D2197" s="63" t="str">
        <f t="shared" si="365"/>
        <v/>
      </c>
      <c r="E2197" t="str">
        <f t="shared" si="366"/>
        <v/>
      </c>
      <c r="F2197" t="str">
        <f t="shared" si="367"/>
        <v/>
      </c>
      <c r="G2197">
        <f t="shared" si="368"/>
        <v>13.2138364779874</v>
      </c>
    </row>
    <row r="2198" spans="2:7">
      <c r="B2198" s="46"/>
      <c r="C2198" t="str">
        <f t="shared" si="364"/>
        <v/>
      </c>
      <c r="D2198" s="63" t="str">
        <f t="shared" si="365"/>
        <v/>
      </c>
      <c r="E2198" t="str">
        <f t="shared" si="366"/>
        <v/>
      </c>
      <c r="F2198" t="str">
        <f t="shared" si="367"/>
        <v/>
      </c>
      <c r="G2198">
        <f t="shared" si="368"/>
        <v>14.7243186582809</v>
      </c>
    </row>
    <row r="2199" spans="2:7">
      <c r="B2199" s="46"/>
      <c r="C2199" t="str">
        <f t="shared" si="364"/>
        <v/>
      </c>
      <c r="D2199" s="63" t="str">
        <f t="shared" si="365"/>
        <v/>
      </c>
      <c r="E2199" t="str">
        <f t="shared" si="366"/>
        <v/>
      </c>
      <c r="F2199">
        <f t="shared" si="367"/>
        <v>9.17630385487529</v>
      </c>
      <c r="G2199" t="str">
        <f t="shared" si="368"/>
        <v/>
      </c>
    </row>
    <row r="2200" spans="2:7">
      <c r="B2200" s="46"/>
      <c r="C2200" t="str">
        <f t="shared" si="364"/>
        <v/>
      </c>
      <c r="D2200" s="63" t="str">
        <f t="shared" si="365"/>
        <v/>
      </c>
      <c r="E2200" t="str">
        <f t="shared" si="366"/>
        <v/>
      </c>
      <c r="F2200">
        <f t="shared" si="367"/>
        <v>12.328231292517</v>
      </c>
      <c r="G2200" t="str">
        <f t="shared" si="368"/>
        <v/>
      </c>
    </row>
    <row r="2201" spans="2:7">
      <c r="B2201" s="46"/>
      <c r="C2201" t="str">
        <f t="shared" si="364"/>
        <v/>
      </c>
      <c r="D2201" s="63" t="str">
        <f t="shared" si="365"/>
        <v/>
      </c>
      <c r="E2201" t="str">
        <f t="shared" si="366"/>
        <v/>
      </c>
      <c r="F2201">
        <f t="shared" si="367"/>
        <v>15.0017006802721</v>
      </c>
      <c r="G2201" t="str">
        <f t="shared" si="368"/>
        <v/>
      </c>
    </row>
    <row r="2202" spans="2:7">
      <c r="B2202" s="46"/>
      <c r="C2202">
        <f t="shared" si="364"/>
        <v>10.328125</v>
      </c>
      <c r="D2202" s="63" t="str">
        <f t="shared" si="365"/>
        <v/>
      </c>
      <c r="E2202" t="str">
        <f t="shared" si="366"/>
        <v/>
      </c>
      <c r="F2202" t="str">
        <f t="shared" si="367"/>
        <v/>
      </c>
      <c r="G2202" t="str">
        <f t="shared" si="368"/>
        <v/>
      </c>
    </row>
    <row r="2203" spans="2:7">
      <c r="B2203" s="46"/>
      <c r="C2203">
        <f t="shared" si="364"/>
        <v>14.5908564814815</v>
      </c>
      <c r="D2203" s="63" t="str">
        <f t="shared" si="365"/>
        <v/>
      </c>
      <c r="E2203" t="str">
        <f t="shared" si="366"/>
        <v/>
      </c>
      <c r="F2203" t="str">
        <f t="shared" si="367"/>
        <v/>
      </c>
      <c r="G2203" t="str">
        <f t="shared" si="368"/>
        <v/>
      </c>
    </row>
    <row r="2204" spans="2:7">
      <c r="B2204" s="46"/>
      <c r="C2204">
        <f t="shared" si="364"/>
        <v>14.9409722222222</v>
      </c>
      <c r="D2204" s="63" t="str">
        <f t="shared" si="365"/>
        <v/>
      </c>
      <c r="E2204" t="str">
        <f t="shared" si="366"/>
        <v/>
      </c>
      <c r="F2204" t="str">
        <f t="shared" si="367"/>
        <v/>
      </c>
      <c r="G2204" t="str">
        <f t="shared" si="368"/>
        <v/>
      </c>
    </row>
    <row r="2205" spans="2:7">
      <c r="B2205" s="46"/>
      <c r="C2205">
        <f t="shared" si="364"/>
        <v>19.2465277777778</v>
      </c>
      <c r="D2205" s="63" t="str">
        <f t="shared" si="365"/>
        <v/>
      </c>
      <c r="E2205" t="str">
        <f t="shared" si="366"/>
        <v/>
      </c>
      <c r="F2205" t="str">
        <f t="shared" si="367"/>
        <v/>
      </c>
      <c r="G2205" t="str">
        <f t="shared" si="368"/>
        <v/>
      </c>
    </row>
    <row r="2206" spans="2:7">
      <c r="B2206" s="46"/>
      <c r="C2206" t="str">
        <f t="shared" si="364"/>
        <v/>
      </c>
      <c r="D2206" s="63">
        <f t="shared" si="365"/>
        <v>15.0340375586854</v>
      </c>
      <c r="E2206" t="str">
        <f t="shared" si="366"/>
        <v/>
      </c>
      <c r="F2206" t="str">
        <f t="shared" si="367"/>
        <v/>
      </c>
      <c r="G2206" t="str">
        <f t="shared" si="368"/>
        <v/>
      </c>
    </row>
    <row r="2207" spans="2:7">
      <c r="B2207" s="46"/>
      <c r="C2207" t="str">
        <f t="shared" si="364"/>
        <v/>
      </c>
      <c r="D2207" s="63">
        <f t="shared" si="365"/>
        <v>15.0340375586854</v>
      </c>
      <c r="E2207" t="str">
        <f t="shared" si="366"/>
        <v/>
      </c>
      <c r="F2207" t="str">
        <f t="shared" si="367"/>
        <v/>
      </c>
      <c r="G2207" t="str">
        <f t="shared" si="368"/>
        <v/>
      </c>
    </row>
    <row r="2208" spans="2:7">
      <c r="B2208" s="46"/>
      <c r="C2208" t="str">
        <f t="shared" si="364"/>
        <v/>
      </c>
      <c r="D2208" s="63">
        <f t="shared" si="365"/>
        <v>16.1343896713615</v>
      </c>
      <c r="E2208" t="str">
        <f t="shared" si="366"/>
        <v/>
      </c>
      <c r="F2208" t="str">
        <f t="shared" si="367"/>
        <v/>
      </c>
      <c r="G2208" t="str">
        <f t="shared" si="368"/>
        <v/>
      </c>
    </row>
    <row r="2209" spans="2:15">
      <c r="B2209" s="46"/>
      <c r="C2209" t="str">
        <f t="shared" si="364"/>
        <v/>
      </c>
      <c r="D2209" s="63">
        <f t="shared" si="365"/>
        <v>16.8620892018779</v>
      </c>
      <c r="E2209" t="str">
        <f t="shared" si="366"/>
        <v/>
      </c>
      <c r="F2209" t="str">
        <f t="shared" si="367"/>
        <v/>
      </c>
      <c r="G2209" t="str">
        <f t="shared" si="368"/>
        <v/>
      </c>
    </row>
    <row r="2210" spans="2:15">
      <c r="B2210" s="46"/>
      <c r="C2210" t="str">
        <f t="shared" si="364"/>
        <v/>
      </c>
      <c r="D2210" s="63" t="str">
        <f t="shared" si="365"/>
        <v/>
      </c>
      <c r="E2210">
        <f t="shared" si="366"/>
        <v>16.1245098039216</v>
      </c>
      <c r="F2210" t="str">
        <f t="shared" si="367"/>
        <v/>
      </c>
      <c r="G2210" t="str">
        <f t="shared" si="368"/>
        <v/>
      </c>
    </row>
    <row r="2211" spans="2:15">
      <c r="B2211" s="46"/>
      <c r="C2211" t="str">
        <f t="shared" si="364"/>
        <v/>
      </c>
      <c r="D2211" s="63" t="str">
        <f t="shared" si="365"/>
        <v/>
      </c>
      <c r="E2211">
        <f t="shared" si="366"/>
        <v>17.9225490196078</v>
      </c>
      <c r="F2211" t="str">
        <f t="shared" si="367"/>
        <v/>
      </c>
      <c r="G2211" t="str">
        <f t="shared" si="368"/>
        <v/>
      </c>
    </row>
    <row r="2212" spans="2:15">
      <c r="B2212" s="46"/>
      <c r="C2212" t="str">
        <f t="shared" si="364"/>
        <v/>
      </c>
      <c r="D2212" s="63" t="str">
        <f t="shared" si="365"/>
        <v/>
      </c>
      <c r="E2212">
        <f t="shared" si="366"/>
        <v>18.7166666666667</v>
      </c>
      <c r="F2212" t="str">
        <f t="shared" si="367"/>
        <v/>
      </c>
      <c r="G2212" t="str">
        <f t="shared" si="368"/>
        <v/>
      </c>
    </row>
    <row r="2213" spans="2:15">
      <c r="B2213" s="46"/>
      <c r="C2213" t="str">
        <f t="shared" si="364"/>
        <v/>
      </c>
      <c r="D2213" s="63" t="str">
        <f t="shared" si="365"/>
        <v/>
      </c>
      <c r="E2213">
        <f t="shared" si="366"/>
        <v>18.9539215686275</v>
      </c>
      <c r="F2213" t="str">
        <f t="shared" si="367"/>
        <v/>
      </c>
      <c r="G2213" t="str">
        <f t="shared" si="368"/>
        <v/>
      </c>
    </row>
    <row r="2214" spans="2:15">
      <c r="B2214" s="46"/>
      <c r="C2214" t="str">
        <f t="shared" si="364"/>
        <v/>
      </c>
      <c r="D2214" s="63" t="str">
        <f t="shared" si="365"/>
        <v/>
      </c>
      <c r="E2214" t="str">
        <f t="shared" si="366"/>
        <v/>
      </c>
      <c r="F2214" t="str">
        <f t="shared" si="367"/>
        <v/>
      </c>
      <c r="G2214">
        <f t="shared" si="368"/>
        <v>15.4449685534591</v>
      </c>
    </row>
    <row r="2215" spans="2:15">
      <c r="B2215" s="46"/>
      <c r="C2215" t="str">
        <f t="shared" si="364"/>
        <v/>
      </c>
      <c r="D2215" s="63" t="str">
        <f t="shared" si="365"/>
        <v/>
      </c>
      <c r="E2215" t="str">
        <f t="shared" si="366"/>
        <v/>
      </c>
      <c r="F2215" t="str">
        <f t="shared" si="367"/>
        <v/>
      </c>
      <c r="G2215">
        <f t="shared" si="368"/>
        <v>16.4669811320755</v>
      </c>
    </row>
    <row r="2216" spans="2:15">
      <c r="B2216" s="46"/>
      <c r="C2216" t="str">
        <f t="shared" si="364"/>
        <v/>
      </c>
      <c r="D2216" s="63" t="str">
        <f t="shared" si="365"/>
        <v/>
      </c>
      <c r="E2216" t="str">
        <f t="shared" si="366"/>
        <v/>
      </c>
      <c r="F2216" t="str">
        <f t="shared" si="367"/>
        <v/>
      </c>
      <c r="G2216">
        <f t="shared" si="368"/>
        <v>17.7877358490566</v>
      </c>
    </row>
    <row r="2217" spans="2:15">
      <c r="B2217" s="46"/>
      <c r="C2217" t="str">
        <f t="shared" si="364"/>
        <v/>
      </c>
      <c r="D2217" s="63" t="str">
        <f t="shared" si="365"/>
        <v/>
      </c>
      <c r="E2217" t="str">
        <f t="shared" si="366"/>
        <v/>
      </c>
      <c r="F2217" t="str">
        <f t="shared" si="367"/>
        <v/>
      </c>
      <c r="G2217">
        <f t="shared" si="368"/>
        <v>18.377358490566</v>
      </c>
    </row>
    <row r="2218" spans="2:15">
      <c r="B2218" s="46"/>
      <c r="C2218" t="str">
        <f t="shared" si="364"/>
        <v/>
      </c>
      <c r="D2218" s="63" t="str">
        <f t="shared" si="365"/>
        <v/>
      </c>
      <c r="E2218" t="str">
        <f t="shared" si="366"/>
        <v/>
      </c>
      <c r="F2218">
        <f t="shared" si="367"/>
        <v>15.4234693877551</v>
      </c>
      <c r="G2218" t="str">
        <f t="shared" si="368"/>
        <v/>
      </c>
    </row>
    <row r="2219" spans="2:15">
      <c r="B2219" s="46"/>
      <c r="C2219" t="str">
        <f t="shared" si="364"/>
        <v/>
      </c>
      <c r="D2219" s="63" t="str">
        <f t="shared" si="365"/>
        <v/>
      </c>
      <c r="E2219" t="str">
        <f t="shared" si="366"/>
        <v/>
      </c>
      <c r="F2219">
        <f t="shared" si="367"/>
        <v>16.7698412698413</v>
      </c>
      <c r="G2219" t="str">
        <f t="shared" si="368"/>
        <v/>
      </c>
      <c r="J2219" s="46"/>
      <c r="K2219" s="83"/>
      <c r="L2219" s="83"/>
    </row>
    <row r="2220" spans="2:15">
      <c r="B2220" s="46"/>
      <c r="C2220" t="str">
        <f t="shared" si="364"/>
        <v/>
      </c>
      <c r="D2220" s="63" t="str">
        <f t="shared" si="365"/>
        <v/>
      </c>
      <c r="E2220" t="str">
        <f t="shared" si="366"/>
        <v/>
      </c>
      <c r="F2220">
        <f t="shared" si="367"/>
        <v>18.109410430839</v>
      </c>
      <c r="G2220" t="str">
        <f t="shared" si="368"/>
        <v/>
      </c>
      <c r="J2220" s="46"/>
      <c r="L2220" s="63"/>
    </row>
    <row r="2221" spans="2:15">
      <c r="B2221" s="46"/>
      <c r="C2221" t="str">
        <f t="shared" si="364"/>
        <v/>
      </c>
      <c r="D2221" s="63" t="str">
        <f t="shared" si="365"/>
        <v/>
      </c>
      <c r="E2221" t="str">
        <f t="shared" si="366"/>
        <v/>
      </c>
      <c r="F2221">
        <f t="shared" si="367"/>
        <v>20.1581632653061</v>
      </c>
      <c r="G2221" t="str">
        <f t="shared" si="368"/>
        <v/>
      </c>
      <c r="J2221" s="46"/>
      <c r="K2221" t="str">
        <f ca="1" t="shared" ref="K2221:K2233" si="369">IF(R51=1,AA51,"")</f>
        <v/>
      </c>
      <c r="L2221" s="63" t="str">
        <f ca="1" t="shared" ref="L2221:L2233" si="370">IF(R51=2,AA51,"")</f>
        <v/>
      </c>
      <c r="M2221" t="str">
        <f ca="1" t="shared" ref="M2221:M2233" si="371">IF(R51=3,AA51,"")</f>
        <v/>
      </c>
      <c r="N2221" t="str">
        <f ca="1" t="shared" ref="N2221:N2233" si="372">IF(R51=4,AA51,"")</f>
        <v/>
      </c>
      <c r="O2221" t="str">
        <f ca="1" t="shared" ref="O2221:O2233" si="373">IF(R51=5,AA51,"")</f>
        <v/>
      </c>
    </row>
    <row r="2222" spans="2:15">
      <c r="B2222" s="46"/>
      <c r="C2222" t="str">
        <f t="shared" si="364"/>
        <v/>
      </c>
      <c r="D2222" s="63" t="str">
        <f t="shared" si="365"/>
        <v/>
      </c>
      <c r="E2222" t="str">
        <f t="shared" si="366"/>
        <v/>
      </c>
      <c r="F2222">
        <f t="shared" si="367"/>
        <v>22.1581632653061</v>
      </c>
      <c r="G2222" t="str">
        <f t="shared" si="368"/>
        <v/>
      </c>
      <c r="J2222" s="46"/>
      <c r="K2222" t="str">
        <f ca="1" t="shared" si="369"/>
        <v/>
      </c>
      <c r="L2222" s="63" t="str">
        <f ca="1" t="shared" si="370"/>
        <v/>
      </c>
      <c r="M2222" t="str">
        <f ca="1" t="shared" si="371"/>
        <v/>
      </c>
      <c r="N2222" t="str">
        <f ca="1" t="shared" si="372"/>
        <v/>
      </c>
      <c r="O2222" t="str">
        <f ca="1" t="shared" si="373"/>
        <v/>
      </c>
    </row>
    <row r="2223" spans="2:15">
      <c r="B2223" s="46"/>
      <c r="C2223" t="str">
        <f t="shared" si="364"/>
        <v/>
      </c>
      <c r="D2223" s="63" t="str">
        <f t="shared" si="365"/>
        <v/>
      </c>
      <c r="E2223" t="str">
        <f t="shared" si="366"/>
        <v/>
      </c>
      <c r="F2223">
        <f t="shared" si="367"/>
        <v>22.8781179138322</v>
      </c>
      <c r="G2223" t="str">
        <f t="shared" si="368"/>
        <v/>
      </c>
      <c r="J2223" s="46"/>
      <c r="K2223" t="str">
        <f ca="1" t="shared" si="369"/>
        <v/>
      </c>
      <c r="L2223" s="63" t="str">
        <f ca="1" t="shared" si="370"/>
        <v/>
      </c>
      <c r="M2223" t="str">
        <f ca="1" t="shared" si="371"/>
        <v/>
      </c>
      <c r="N2223" t="str">
        <f ca="1" t="shared" si="372"/>
        <v/>
      </c>
      <c r="O2223" t="str">
        <f ca="1" t="shared" si="373"/>
        <v/>
      </c>
    </row>
    <row r="2224" spans="2:15">
      <c r="B2224" s="46"/>
      <c r="C2224" t="str">
        <f t="shared" si="364"/>
        <v/>
      </c>
      <c r="D2224" s="63">
        <f t="shared" si="365"/>
        <v>17.3022300469484</v>
      </c>
      <c r="E2224" t="str">
        <f t="shared" si="366"/>
        <v/>
      </c>
      <c r="F2224" t="str">
        <f t="shared" si="367"/>
        <v/>
      </c>
      <c r="G2224" t="str">
        <f t="shared" si="368"/>
        <v/>
      </c>
      <c r="J2224" s="46"/>
      <c r="K2224" t="str">
        <f ca="1" t="shared" si="369"/>
        <v/>
      </c>
      <c r="L2224" s="63" t="str">
        <f ca="1" t="shared" si="370"/>
        <v/>
      </c>
      <c r="M2224" t="str">
        <f ca="1" t="shared" si="371"/>
        <v/>
      </c>
      <c r="N2224" t="str">
        <f ca="1" t="shared" si="372"/>
        <v/>
      </c>
      <c r="O2224" t="str">
        <f ca="1" t="shared" si="373"/>
        <v/>
      </c>
    </row>
    <row r="2225" spans="2:15">
      <c r="B2225" s="46"/>
      <c r="C2225" t="str">
        <f t="shared" si="364"/>
        <v/>
      </c>
      <c r="D2225" s="63">
        <f t="shared" si="365"/>
        <v>22.837441314554</v>
      </c>
      <c r="E2225" t="str">
        <f t="shared" si="366"/>
        <v/>
      </c>
      <c r="F2225" t="str">
        <f t="shared" si="367"/>
        <v/>
      </c>
      <c r="G2225" t="str">
        <f t="shared" si="368"/>
        <v/>
      </c>
      <c r="J2225" s="46"/>
      <c r="K2225" t="str">
        <f ca="1" t="shared" si="369"/>
        <v/>
      </c>
      <c r="L2225" s="63" t="str">
        <f ca="1" t="shared" si="370"/>
        <v/>
      </c>
      <c r="M2225" t="str">
        <f ca="1" t="shared" si="371"/>
        <v/>
      </c>
      <c r="N2225" t="str">
        <f ca="1" t="shared" si="372"/>
        <v/>
      </c>
      <c r="O2225" t="str">
        <f ca="1" t="shared" si="373"/>
        <v/>
      </c>
    </row>
    <row r="2226" spans="2:15">
      <c r="B2226" s="46"/>
      <c r="C2226" t="str">
        <f t="shared" si="364"/>
        <v/>
      </c>
      <c r="D2226" s="63">
        <f t="shared" si="365"/>
        <v>23.7089201877934</v>
      </c>
      <c r="E2226" t="str">
        <f t="shared" si="366"/>
        <v/>
      </c>
      <c r="F2226" t="str">
        <f t="shared" si="367"/>
        <v/>
      </c>
      <c r="G2226" t="str">
        <f t="shared" si="368"/>
        <v/>
      </c>
      <c r="J2226" s="46"/>
      <c r="K2226" t="str">
        <f ca="1" t="shared" si="369"/>
        <v/>
      </c>
      <c r="L2226" s="63" t="str">
        <f ca="1" t="shared" si="370"/>
        <v/>
      </c>
      <c r="M2226" t="str">
        <f ca="1" t="shared" si="371"/>
        <v/>
      </c>
      <c r="N2226" t="str">
        <f ca="1" t="shared" si="372"/>
        <v/>
      </c>
      <c r="O2226" t="str">
        <f ca="1" t="shared" si="373"/>
        <v/>
      </c>
    </row>
    <row r="2227" spans="2:15">
      <c r="B2227" s="46"/>
      <c r="C2227" t="str">
        <f t="shared" si="364"/>
        <v/>
      </c>
      <c r="D2227" s="63">
        <f t="shared" si="365"/>
        <v>24.3427230046948</v>
      </c>
      <c r="E2227" t="str">
        <f t="shared" si="366"/>
        <v/>
      </c>
      <c r="F2227" t="str">
        <f t="shared" si="367"/>
        <v/>
      </c>
      <c r="G2227" t="str">
        <f t="shared" si="368"/>
        <v/>
      </c>
      <c r="J2227" s="46"/>
      <c r="K2227" t="str">
        <f ca="1" t="shared" si="369"/>
        <v/>
      </c>
      <c r="L2227" s="63" t="str">
        <f ca="1" t="shared" si="370"/>
        <v/>
      </c>
      <c r="M2227" t="str">
        <f ca="1" t="shared" si="371"/>
        <v/>
      </c>
      <c r="N2227" t="str">
        <f ca="1" t="shared" si="372"/>
        <v/>
      </c>
      <c r="O2227" t="str">
        <f ca="1" t="shared" si="373"/>
        <v/>
      </c>
    </row>
    <row r="2228" spans="2:15">
      <c r="B2228" s="46"/>
      <c r="C2228" t="str">
        <f t="shared" si="364"/>
        <v/>
      </c>
      <c r="D2228" s="63">
        <f t="shared" si="365"/>
        <v>27.5704225352113</v>
      </c>
      <c r="E2228" t="str">
        <f t="shared" si="366"/>
        <v/>
      </c>
      <c r="F2228" t="str">
        <f t="shared" si="367"/>
        <v/>
      </c>
      <c r="G2228" t="str">
        <f t="shared" si="368"/>
        <v/>
      </c>
      <c r="J2228" s="46"/>
      <c r="K2228" t="str">
        <f ca="1" t="shared" si="369"/>
        <v/>
      </c>
      <c r="L2228" s="63" t="str">
        <f ca="1" t="shared" si="370"/>
        <v/>
      </c>
      <c r="M2228" t="str">
        <f ca="1" t="shared" si="371"/>
        <v/>
      </c>
      <c r="N2228" t="str">
        <f ca="1" t="shared" si="372"/>
        <v/>
      </c>
      <c r="O2228" t="str">
        <f ca="1" t="shared" si="373"/>
        <v/>
      </c>
    </row>
    <row r="2229" spans="2:15">
      <c r="B2229" s="46"/>
      <c r="C2229" t="str">
        <f t="shared" si="364"/>
        <v/>
      </c>
      <c r="D2229" s="63" t="str">
        <f t="shared" si="365"/>
        <v/>
      </c>
      <c r="E2229" t="str">
        <f t="shared" si="366"/>
        <v/>
      </c>
      <c r="F2229" t="str">
        <f t="shared" si="367"/>
        <v/>
      </c>
      <c r="G2229">
        <f t="shared" si="368"/>
        <v>19.1949685534591</v>
      </c>
      <c r="J2229" s="46"/>
      <c r="K2229" t="str">
        <f ca="1" t="shared" si="369"/>
        <v/>
      </c>
      <c r="L2229" s="63" t="str">
        <f ca="1" t="shared" si="370"/>
        <v/>
      </c>
      <c r="M2229" t="str">
        <f ca="1" t="shared" si="371"/>
        <v/>
      </c>
      <c r="N2229" t="str">
        <f ca="1" t="shared" si="372"/>
        <v/>
      </c>
      <c r="O2229" t="str">
        <f ca="1" t="shared" si="373"/>
        <v/>
      </c>
    </row>
    <row r="2230" spans="2:15">
      <c r="B2230" s="46"/>
      <c r="C2230" t="str">
        <f t="shared" si="364"/>
        <v/>
      </c>
      <c r="D2230" s="63" t="str">
        <f t="shared" si="365"/>
        <v/>
      </c>
      <c r="E2230" t="str">
        <f t="shared" si="366"/>
        <v/>
      </c>
      <c r="F2230" t="str">
        <f t="shared" si="367"/>
        <v/>
      </c>
      <c r="G2230">
        <f t="shared" si="368"/>
        <v>21.9606918238994</v>
      </c>
      <c r="J2230" s="46"/>
      <c r="K2230" t="str">
        <f ca="1" t="shared" si="369"/>
        <v/>
      </c>
      <c r="L2230" s="63" t="str">
        <f ca="1" t="shared" si="370"/>
        <v/>
      </c>
      <c r="M2230" t="str">
        <f ca="1" t="shared" si="371"/>
        <v/>
      </c>
      <c r="N2230" t="str">
        <f ca="1" t="shared" si="372"/>
        <v/>
      </c>
      <c r="O2230" t="str">
        <f ca="1" t="shared" si="373"/>
        <v/>
      </c>
    </row>
    <row r="2231" spans="2:15">
      <c r="B2231" s="46"/>
      <c r="C2231" t="str">
        <f t="shared" si="364"/>
        <v/>
      </c>
      <c r="D2231" s="63" t="str">
        <f t="shared" si="365"/>
        <v/>
      </c>
      <c r="E2231" t="str">
        <f t="shared" si="366"/>
        <v/>
      </c>
      <c r="F2231" t="str">
        <f t="shared" si="367"/>
        <v/>
      </c>
      <c r="G2231">
        <f t="shared" si="368"/>
        <v>21.9606918238994</v>
      </c>
      <c r="J2231" s="46"/>
      <c r="K2231" t="str">
        <f ca="1" t="shared" si="369"/>
        <v/>
      </c>
      <c r="L2231" s="63" t="str">
        <f ca="1" t="shared" si="370"/>
        <v/>
      </c>
      <c r="M2231" t="str">
        <f ca="1" t="shared" si="371"/>
        <v/>
      </c>
      <c r="N2231" t="str">
        <f ca="1" t="shared" si="372"/>
        <v/>
      </c>
      <c r="O2231" t="str">
        <f ca="1" t="shared" si="373"/>
        <v/>
      </c>
    </row>
    <row r="2232" spans="2:15">
      <c r="B2232" s="46"/>
      <c r="C2232" t="str">
        <f t="shared" si="364"/>
        <v/>
      </c>
      <c r="D2232" s="63" t="str">
        <f t="shared" si="365"/>
        <v/>
      </c>
      <c r="E2232" t="str">
        <f t="shared" si="366"/>
        <v/>
      </c>
      <c r="F2232" t="str">
        <f t="shared" si="367"/>
        <v/>
      </c>
      <c r="G2232">
        <f t="shared" si="368"/>
        <v>25.2222222222222</v>
      </c>
      <c r="J2232" s="46"/>
      <c r="K2232" t="str">
        <f ca="1" t="shared" si="369"/>
        <v/>
      </c>
      <c r="L2232" s="63" t="str">
        <f ca="1" t="shared" si="370"/>
        <v/>
      </c>
      <c r="M2232" t="str">
        <f ca="1" t="shared" si="371"/>
        <v/>
      </c>
      <c r="N2232" t="str">
        <f ca="1" t="shared" si="372"/>
        <v/>
      </c>
      <c r="O2232" t="str">
        <f ca="1" t="shared" si="373"/>
        <v/>
      </c>
    </row>
    <row r="2233" spans="2:15">
      <c r="B2233" s="46"/>
      <c r="C2233" t="str">
        <f t="shared" si="364"/>
        <v/>
      </c>
      <c r="D2233" s="63" t="str">
        <f t="shared" si="365"/>
        <v/>
      </c>
      <c r="E2233">
        <f t="shared" si="366"/>
        <v>22.268137254902</v>
      </c>
      <c r="F2233" t="str">
        <f t="shared" si="367"/>
        <v/>
      </c>
      <c r="G2233" t="str">
        <f t="shared" si="368"/>
        <v/>
      </c>
      <c r="J2233" s="46"/>
      <c r="K2233" t="str">
        <f ca="1" t="shared" si="369"/>
        <v/>
      </c>
      <c r="L2233" s="63" t="str">
        <f ca="1" t="shared" si="370"/>
        <v/>
      </c>
      <c r="M2233" t="str">
        <f ca="1" t="shared" si="371"/>
        <v/>
      </c>
      <c r="N2233" t="str">
        <f ca="1" t="shared" si="372"/>
        <v/>
      </c>
      <c r="O2233" t="str">
        <f ca="1" t="shared" si="373"/>
        <v/>
      </c>
    </row>
    <row r="2234" spans="2:15">
      <c r="B2234" s="46"/>
      <c r="C2234" t="str">
        <f t="shared" si="364"/>
        <v/>
      </c>
      <c r="D2234" s="63" t="str">
        <f t="shared" si="365"/>
        <v/>
      </c>
      <c r="E2234">
        <f t="shared" si="366"/>
        <v>22.268137254902</v>
      </c>
      <c r="F2234" t="str">
        <f t="shared" si="367"/>
        <v/>
      </c>
      <c r="G2234" t="str">
        <f t="shared" si="368"/>
        <v/>
      </c>
      <c r="J2234" s="46"/>
      <c r="L2234" s="63"/>
    </row>
    <row r="2235" ht="15.75" spans="2:15">
      <c r="B2235" s="46"/>
      <c r="C2235" t="str">
        <f t="shared" si="364"/>
        <v/>
      </c>
      <c r="D2235" s="63" t="str">
        <f t="shared" si="365"/>
        <v/>
      </c>
      <c r="E2235">
        <f t="shared" si="366"/>
        <v>24.6995098039216</v>
      </c>
      <c r="F2235" t="str">
        <f t="shared" si="367"/>
        <v/>
      </c>
      <c r="G2235" t="str">
        <f t="shared" si="368"/>
        <v/>
      </c>
      <c r="J2235" s="46"/>
      <c r="K2235" t="str">
        <f ca="1" t="shared" ref="K2235:K2277" si="374">IF(R64=1,AA64,"")</f>
        <v/>
      </c>
      <c r="L2235" s="63" t="str">
        <f ca="1" t="shared" ref="L2235:L2277" si="375">IF(R64=2,AA64,"")</f>
        <v/>
      </c>
      <c r="M2235" t="str">
        <f ca="1" t="shared" ref="M2235:M2277" si="376">IF(R64=3,AA64,"")</f>
        <v/>
      </c>
      <c r="N2235" t="str">
        <f ca="1" t="shared" ref="N2235:N2277" si="377">IF(R64=4,AA64,"")</f>
        <v/>
      </c>
      <c r="O2235" t="str">
        <f ca="1" t="shared" ref="O2235:O2277" si="378">IF(R64=5,AA64,"")</f>
        <v/>
      </c>
    </row>
    <row r="2236" spans="2:15">
      <c r="B2236" s="74" t="s">
        <v>269</v>
      </c>
      <c r="C2236" s="75">
        <f>MAX(C2178:C2235)</f>
        <v>19.2465277777778</v>
      </c>
      <c r="D2236" s="75">
        <f>MAX(D2178:D2235)</f>
        <v>27.5704225352113</v>
      </c>
      <c r="E2236" s="75">
        <f t="shared" ref="E2236:G2236" si="379">MAX(E2178:E2235)</f>
        <v>24.6995098039216</v>
      </c>
      <c r="F2236" s="75">
        <f t="shared" si="379"/>
        <v>22.8781179138322</v>
      </c>
      <c r="G2236" s="75">
        <f t="shared" si="379"/>
        <v>25.2222222222222</v>
      </c>
      <c r="J2236" s="46"/>
      <c r="K2236" t="str">
        <f ca="1" t="shared" si="374"/>
        <v/>
      </c>
      <c r="L2236" s="63" t="str">
        <f ca="1" t="shared" si="375"/>
        <v/>
      </c>
      <c r="M2236" t="str">
        <f ca="1" t="shared" si="376"/>
        <v/>
      </c>
      <c r="N2236" t="str">
        <f ca="1" t="shared" si="377"/>
        <v/>
      </c>
      <c r="O2236" t="str">
        <f ca="1" t="shared" si="378"/>
        <v/>
      </c>
    </row>
    <row r="2237" spans="2:15">
      <c r="B2237" s="76" t="s">
        <v>270</v>
      </c>
      <c r="C2237" s="77">
        <v>1</v>
      </c>
      <c r="D2237" s="78">
        <v>2</v>
      </c>
      <c r="E2237">
        <v>3</v>
      </c>
      <c r="F2237">
        <v>4</v>
      </c>
      <c r="G2237">
        <v>5</v>
      </c>
      <c r="J2237" s="46"/>
      <c r="K2237" t="str">
        <f ca="1" t="shared" si="374"/>
        <v/>
      </c>
      <c r="L2237" s="63" t="str">
        <f ca="1" t="shared" si="375"/>
        <v/>
      </c>
      <c r="M2237" t="str">
        <f ca="1" t="shared" si="376"/>
        <v/>
      </c>
      <c r="N2237" t="str">
        <f ca="1" t="shared" si="377"/>
        <v/>
      </c>
      <c r="O2237" t="str">
        <f ca="1" t="shared" si="378"/>
        <v/>
      </c>
    </row>
    <row r="2238" spans="2:15">
      <c r="B2238" s="79" t="s">
        <v>271</v>
      </c>
      <c r="C2238" s="72">
        <f>HLOOKUP(MIN(C2236:G2236),C2236:G2237,2,FALSE)</f>
        <v>1</v>
      </c>
      <c r="D2238" s="80"/>
      <c r="J2238" s="46"/>
      <c r="K2238" t="str">
        <f ca="1" t="shared" si="374"/>
        <v/>
      </c>
      <c r="L2238" s="63" t="str">
        <f ca="1" t="shared" si="375"/>
        <v/>
      </c>
      <c r="M2238" t="str">
        <f ca="1" t="shared" si="376"/>
        <v/>
      </c>
      <c r="N2238" t="str">
        <f ca="1" t="shared" si="377"/>
        <v/>
      </c>
      <c r="O2238" t="str">
        <f ca="1" t="shared" si="378"/>
        <v/>
      </c>
    </row>
    <row r="2239" spans="2:15">
      <c r="J2239" s="46"/>
      <c r="K2239" t="str">
        <f ca="1" t="shared" si="374"/>
        <v/>
      </c>
      <c r="L2239" s="63" t="str">
        <f ca="1" t="shared" si="375"/>
        <v/>
      </c>
      <c r="M2239" t="str">
        <f ca="1" t="shared" si="376"/>
        <v/>
      </c>
      <c r="N2239" t="str">
        <f ca="1" t="shared" si="377"/>
        <v/>
      </c>
      <c r="O2239" t="str">
        <f ca="1" t="shared" si="378"/>
        <v/>
      </c>
    </row>
    <row r="2240" spans="2:15">
      <c r="B2240" s="43" t="s">
        <v>331</v>
      </c>
      <c r="C2240" s="44"/>
      <c r="D2240" s="46"/>
      <c r="J2240" s="46"/>
      <c r="K2240" t="str">
        <f ca="1" t="shared" si="374"/>
        <v/>
      </c>
      <c r="L2240" s="63" t="str">
        <f ca="1" t="shared" si="375"/>
        <v/>
      </c>
      <c r="M2240" t="str">
        <f ca="1" t="shared" si="376"/>
        <v/>
      </c>
      <c r="N2240" t="str">
        <f ca="1" t="shared" si="377"/>
        <v/>
      </c>
      <c r="O2240" t="str">
        <f ca="1" t="shared" si="378"/>
        <v/>
      </c>
    </row>
    <row r="2241" spans="2:15">
      <c r="B2241" s="46"/>
      <c r="C2241" s="61" t="s">
        <v>264</v>
      </c>
      <c r="D2241" s="61" t="s">
        <v>265</v>
      </c>
      <c r="E2241" s="62" t="s">
        <v>286</v>
      </c>
      <c r="F2241" s="62" t="s">
        <v>287</v>
      </c>
      <c r="G2241" s="62" t="s">
        <v>288</v>
      </c>
      <c r="J2241" s="46"/>
      <c r="K2241" t="str">
        <f ca="1" t="shared" si="374"/>
        <v/>
      </c>
      <c r="L2241" s="63" t="str">
        <f ca="1" t="shared" si="375"/>
        <v/>
      </c>
      <c r="M2241" t="str">
        <f ca="1" t="shared" si="376"/>
        <v/>
      </c>
      <c r="N2241" t="str">
        <f ca="1" t="shared" si="377"/>
        <v/>
      </c>
      <c r="O2241" t="str">
        <f ca="1" t="shared" si="378"/>
        <v/>
      </c>
    </row>
    <row r="2242" spans="2:15">
      <c r="B2242" s="46"/>
      <c r="C2242">
        <f t="shared" ref="C2242:C2300" si="380">IF(J8=1,S8,"")</f>
        <v>0.700231481481482</v>
      </c>
      <c r="D2242" s="63" t="str">
        <f t="shared" ref="D2242:D2300" si="381">IF(J8=2,S8,"")</f>
        <v/>
      </c>
      <c r="E2242" t="str">
        <f t="shared" ref="E2242:E2300" si="382">IF(J8=3,S8,"")</f>
        <v/>
      </c>
      <c r="F2242" t="str">
        <f t="shared" ref="F2242:F2300" si="383">IF(J8=4,S8,"")</f>
        <v/>
      </c>
      <c r="G2242" t="str">
        <f t="shared" ref="G2242:G2300" si="384">IF(J8=5,S8,"")</f>
        <v/>
      </c>
      <c r="J2242" s="46"/>
      <c r="K2242" t="str">
        <f ca="1" t="shared" si="374"/>
        <v/>
      </c>
      <c r="L2242" s="63" t="str">
        <f ca="1" t="shared" si="375"/>
        <v/>
      </c>
      <c r="M2242" t="str">
        <f ca="1" t="shared" si="376"/>
        <v/>
      </c>
      <c r="N2242" t="str">
        <f ca="1" t="shared" si="377"/>
        <v/>
      </c>
      <c r="O2242" t="str">
        <f ca="1" t="shared" si="378"/>
        <v/>
      </c>
    </row>
    <row r="2243" spans="2:15">
      <c r="B2243" s="46"/>
      <c r="C2243" t="str">
        <f t="shared" si="380"/>
        <v/>
      </c>
      <c r="D2243" s="63">
        <f t="shared" si="381"/>
        <v>0.734154929577465</v>
      </c>
      <c r="E2243" t="str">
        <f t="shared" si="382"/>
        <v/>
      </c>
      <c r="F2243" t="str">
        <f t="shared" si="383"/>
        <v/>
      </c>
      <c r="G2243" t="str">
        <f t="shared" si="384"/>
        <v/>
      </c>
      <c r="J2243" s="46"/>
      <c r="K2243" t="str">
        <f ca="1" t="shared" si="374"/>
        <v/>
      </c>
      <c r="L2243" s="63" t="str">
        <f ca="1" t="shared" si="375"/>
        <v/>
      </c>
      <c r="M2243" t="str">
        <f ca="1" t="shared" si="376"/>
        <v/>
      </c>
      <c r="N2243" t="str">
        <f ca="1" t="shared" si="377"/>
        <v/>
      </c>
      <c r="O2243" t="str">
        <f ca="1" t="shared" si="378"/>
        <v/>
      </c>
    </row>
    <row r="2244" spans="2:15">
      <c r="B2244" s="46"/>
      <c r="C2244" t="str">
        <f t="shared" si="380"/>
        <v/>
      </c>
      <c r="D2244" s="63" t="str">
        <f t="shared" si="381"/>
        <v/>
      </c>
      <c r="E2244">
        <f t="shared" si="382"/>
        <v>1.83823529411765</v>
      </c>
      <c r="F2244" t="str">
        <f t="shared" si="383"/>
        <v/>
      </c>
      <c r="G2244" t="str">
        <f t="shared" si="384"/>
        <v/>
      </c>
      <c r="J2244" s="46"/>
      <c r="K2244" t="str">
        <f ca="1" t="shared" si="374"/>
        <v/>
      </c>
      <c r="L2244" s="63" t="str">
        <f ca="1" t="shared" si="375"/>
        <v/>
      </c>
      <c r="M2244" t="str">
        <f ca="1" t="shared" si="376"/>
        <v/>
      </c>
      <c r="N2244" t="str">
        <f ca="1" t="shared" si="377"/>
        <v/>
      </c>
      <c r="O2244" t="str">
        <f ca="1" t="shared" si="378"/>
        <v/>
      </c>
    </row>
    <row r="2245" spans="2:15">
      <c r="B2245" s="46"/>
      <c r="C2245" t="str">
        <f t="shared" si="380"/>
        <v/>
      </c>
      <c r="D2245" s="63" t="str">
        <f t="shared" si="381"/>
        <v/>
      </c>
      <c r="E2245" t="str">
        <f t="shared" si="382"/>
        <v/>
      </c>
      <c r="F2245">
        <f t="shared" si="383"/>
        <v>4.28571428571429</v>
      </c>
      <c r="G2245" t="str">
        <f t="shared" si="384"/>
        <v/>
      </c>
      <c r="J2245" s="46"/>
      <c r="K2245" t="str">
        <f ca="1" t="shared" si="374"/>
        <v/>
      </c>
      <c r="L2245" s="63" t="str">
        <f ca="1" t="shared" si="375"/>
        <v/>
      </c>
      <c r="M2245" t="str">
        <f ca="1" t="shared" si="376"/>
        <v/>
      </c>
      <c r="N2245" t="str">
        <f ca="1" t="shared" si="377"/>
        <v/>
      </c>
      <c r="O2245" t="str">
        <f ca="1" t="shared" si="378"/>
        <v/>
      </c>
    </row>
    <row r="2246" spans="2:15">
      <c r="B2246" s="46"/>
      <c r="C2246" t="str">
        <f t="shared" si="380"/>
        <v/>
      </c>
      <c r="D2246" s="63" t="str">
        <f t="shared" si="381"/>
        <v/>
      </c>
      <c r="E2246" t="str">
        <f t="shared" si="382"/>
        <v/>
      </c>
      <c r="F2246" t="str">
        <f t="shared" si="383"/>
        <v/>
      </c>
      <c r="G2246">
        <f t="shared" si="384"/>
        <v>3.43396226415094</v>
      </c>
      <c r="J2246" s="46"/>
      <c r="K2246" t="str">
        <f ca="1" t="shared" si="374"/>
        <v/>
      </c>
      <c r="L2246" s="63" t="str">
        <f ca="1" t="shared" si="375"/>
        <v/>
      </c>
      <c r="M2246" t="str">
        <f ca="1" t="shared" si="376"/>
        <v/>
      </c>
      <c r="N2246" t="str">
        <f ca="1" t="shared" si="377"/>
        <v/>
      </c>
      <c r="O2246" t="str">
        <f ca="1" t="shared" si="378"/>
        <v/>
      </c>
    </row>
    <row r="2247" spans="2:15">
      <c r="B2247" s="46"/>
      <c r="C2247" t="str">
        <f t="shared" si="380"/>
        <v/>
      </c>
      <c r="D2247" s="63" t="str">
        <f t="shared" si="381"/>
        <v/>
      </c>
      <c r="E2247">
        <f t="shared" si="382"/>
        <v>14.5833333333333</v>
      </c>
      <c r="F2247" t="str">
        <f t="shared" si="383"/>
        <v/>
      </c>
      <c r="G2247" t="str">
        <f t="shared" si="384"/>
        <v/>
      </c>
      <c r="J2247" s="46"/>
      <c r="K2247" t="str">
        <f ca="1" t="shared" si="374"/>
        <v/>
      </c>
      <c r="L2247" s="63" t="str">
        <f ca="1" t="shared" si="375"/>
        <v/>
      </c>
      <c r="M2247" t="str">
        <f ca="1" t="shared" si="376"/>
        <v/>
      </c>
      <c r="N2247" t="str">
        <f ca="1" t="shared" si="377"/>
        <v/>
      </c>
      <c r="O2247" t="str">
        <f ca="1" t="shared" si="378"/>
        <v/>
      </c>
    </row>
    <row r="2248" spans="2:15">
      <c r="B2248" s="46"/>
      <c r="C2248" t="str">
        <f t="shared" si="380"/>
        <v/>
      </c>
      <c r="D2248" s="63" t="str">
        <f t="shared" si="381"/>
        <v/>
      </c>
      <c r="E2248" t="str">
        <f t="shared" si="382"/>
        <v/>
      </c>
      <c r="F2248">
        <f t="shared" si="383"/>
        <v>6.42857142857143</v>
      </c>
      <c r="G2248" t="str">
        <f t="shared" si="384"/>
        <v/>
      </c>
      <c r="J2248" s="46"/>
      <c r="K2248" t="str">
        <f ca="1" t="shared" si="374"/>
        <v/>
      </c>
      <c r="L2248" s="63" t="str">
        <f ca="1" t="shared" si="375"/>
        <v/>
      </c>
      <c r="M2248" t="str">
        <f ca="1" t="shared" si="376"/>
        <v/>
      </c>
      <c r="N2248" t="str">
        <f ca="1" t="shared" si="377"/>
        <v/>
      </c>
      <c r="O2248" t="str">
        <f ca="1" t="shared" si="378"/>
        <v/>
      </c>
    </row>
    <row r="2249" spans="2:15">
      <c r="B2249" s="46"/>
      <c r="C2249" t="str">
        <f t="shared" si="380"/>
        <v/>
      </c>
      <c r="D2249" s="63" t="str">
        <f t="shared" si="381"/>
        <v/>
      </c>
      <c r="E2249" t="str">
        <f t="shared" si="382"/>
        <v/>
      </c>
      <c r="F2249" t="str">
        <f t="shared" si="383"/>
        <v/>
      </c>
      <c r="G2249">
        <f t="shared" si="384"/>
        <v>3.84591194968553</v>
      </c>
      <c r="J2249" s="46"/>
      <c r="K2249" t="str">
        <f ca="1" t="shared" si="374"/>
        <v/>
      </c>
      <c r="L2249" s="63" t="str">
        <f ca="1" t="shared" si="375"/>
        <v/>
      </c>
      <c r="M2249" t="str">
        <f ca="1" t="shared" si="376"/>
        <v/>
      </c>
      <c r="N2249" t="str">
        <f ca="1" t="shared" si="377"/>
        <v/>
      </c>
      <c r="O2249" t="str">
        <f ca="1" t="shared" si="378"/>
        <v/>
      </c>
    </row>
    <row r="2250" spans="2:15">
      <c r="B2250" s="46"/>
      <c r="C2250">
        <f t="shared" si="380"/>
        <v>0.844907407407407</v>
      </c>
      <c r="D2250" s="63" t="str">
        <f t="shared" si="381"/>
        <v/>
      </c>
      <c r="E2250" t="str">
        <f t="shared" si="382"/>
        <v/>
      </c>
      <c r="F2250" t="str">
        <f t="shared" si="383"/>
        <v/>
      </c>
      <c r="G2250" t="str">
        <f t="shared" si="384"/>
        <v/>
      </c>
      <c r="J2250" s="46"/>
      <c r="K2250" t="str">
        <f ca="1" t="shared" si="374"/>
        <v/>
      </c>
      <c r="L2250" s="63" t="str">
        <f ca="1" t="shared" si="375"/>
        <v/>
      </c>
      <c r="M2250" t="str">
        <f ca="1" t="shared" si="376"/>
        <v/>
      </c>
      <c r="N2250" t="str">
        <f ca="1" t="shared" si="377"/>
        <v/>
      </c>
      <c r="O2250" t="str">
        <f ca="1" t="shared" si="378"/>
        <v/>
      </c>
    </row>
    <row r="2251" spans="2:15">
      <c r="B2251" s="46"/>
      <c r="C2251">
        <f t="shared" si="380"/>
        <v>6.79803240740741</v>
      </c>
      <c r="D2251" s="63" t="str">
        <f t="shared" si="381"/>
        <v/>
      </c>
      <c r="E2251" t="str">
        <f t="shared" si="382"/>
        <v/>
      </c>
      <c r="F2251" t="str">
        <f t="shared" si="383"/>
        <v/>
      </c>
      <c r="G2251" t="str">
        <f t="shared" si="384"/>
        <v/>
      </c>
      <c r="J2251" s="46"/>
      <c r="K2251" t="str">
        <f ca="1" t="shared" si="374"/>
        <v/>
      </c>
      <c r="L2251" s="63" t="str">
        <f ca="1" t="shared" si="375"/>
        <v/>
      </c>
      <c r="M2251" t="str">
        <f ca="1" t="shared" si="376"/>
        <v/>
      </c>
      <c r="N2251" t="str">
        <f ca="1" t="shared" si="377"/>
        <v/>
      </c>
      <c r="O2251" t="str">
        <f ca="1" t="shared" si="378"/>
        <v/>
      </c>
    </row>
    <row r="2252" spans="2:15">
      <c r="B2252" s="46"/>
      <c r="C2252">
        <f t="shared" si="380"/>
        <v>6.79803240740741</v>
      </c>
      <c r="D2252" s="63" t="str">
        <f t="shared" si="381"/>
        <v/>
      </c>
      <c r="E2252" t="str">
        <f t="shared" si="382"/>
        <v/>
      </c>
      <c r="F2252" t="str">
        <f t="shared" si="383"/>
        <v/>
      </c>
      <c r="G2252" t="str">
        <f t="shared" si="384"/>
        <v/>
      </c>
      <c r="J2252" s="46"/>
      <c r="K2252" t="str">
        <f ca="1" t="shared" si="374"/>
        <v/>
      </c>
      <c r="L2252" s="63" t="str">
        <f ca="1" t="shared" si="375"/>
        <v/>
      </c>
      <c r="M2252" t="str">
        <f ca="1" t="shared" si="376"/>
        <v/>
      </c>
      <c r="N2252" t="str">
        <f ca="1" t="shared" si="377"/>
        <v/>
      </c>
      <c r="O2252" t="str">
        <f ca="1" t="shared" si="378"/>
        <v/>
      </c>
    </row>
    <row r="2253" spans="2:15">
      <c r="B2253" s="46"/>
      <c r="C2253">
        <f t="shared" si="380"/>
        <v>7.52719907407408</v>
      </c>
      <c r="D2253" s="63" t="str">
        <f t="shared" si="381"/>
        <v/>
      </c>
      <c r="E2253" t="str">
        <f t="shared" si="382"/>
        <v/>
      </c>
      <c r="F2253" t="str">
        <f t="shared" si="383"/>
        <v/>
      </c>
      <c r="G2253" t="str">
        <f t="shared" si="384"/>
        <v/>
      </c>
      <c r="J2253" s="46"/>
      <c r="K2253" t="str">
        <f ca="1" t="shared" si="374"/>
        <v/>
      </c>
      <c r="L2253" s="63" t="str">
        <f ca="1" t="shared" si="375"/>
        <v/>
      </c>
      <c r="M2253" t="str">
        <f ca="1" t="shared" si="376"/>
        <v/>
      </c>
      <c r="N2253" t="str">
        <f ca="1" t="shared" si="377"/>
        <v/>
      </c>
      <c r="O2253" t="str">
        <f ca="1" t="shared" si="378"/>
        <v/>
      </c>
    </row>
    <row r="2254" spans="2:15">
      <c r="B2254" s="46"/>
      <c r="C2254" t="str">
        <f t="shared" si="380"/>
        <v/>
      </c>
      <c r="D2254" s="63">
        <f t="shared" si="381"/>
        <v>2.7881455399061</v>
      </c>
      <c r="E2254" t="str">
        <f t="shared" si="382"/>
        <v/>
      </c>
      <c r="F2254" t="str">
        <f t="shared" si="383"/>
        <v/>
      </c>
      <c r="G2254" t="str">
        <f t="shared" si="384"/>
        <v/>
      </c>
      <c r="J2254" s="46"/>
      <c r="K2254" t="str">
        <f ca="1" t="shared" si="374"/>
        <v/>
      </c>
      <c r="L2254" s="63" t="str">
        <f ca="1" t="shared" si="375"/>
        <v/>
      </c>
      <c r="M2254" t="str">
        <f ca="1" t="shared" si="376"/>
        <v/>
      </c>
      <c r="N2254" t="str">
        <f ca="1" t="shared" si="377"/>
        <v/>
      </c>
      <c r="O2254" t="str">
        <f ca="1" t="shared" si="378"/>
        <v/>
      </c>
    </row>
    <row r="2255" spans="2:15">
      <c r="B2255" s="46"/>
      <c r="C2255" t="str">
        <f t="shared" si="380"/>
        <v/>
      </c>
      <c r="D2255" s="63">
        <f t="shared" si="381"/>
        <v>4.47535211267606</v>
      </c>
      <c r="E2255" t="str">
        <f t="shared" si="382"/>
        <v/>
      </c>
      <c r="F2255" t="str">
        <f t="shared" si="383"/>
        <v/>
      </c>
      <c r="G2255" t="str">
        <f t="shared" si="384"/>
        <v/>
      </c>
      <c r="J2255" s="46"/>
      <c r="K2255" t="str">
        <f ca="1" t="shared" si="374"/>
        <v/>
      </c>
      <c r="L2255" s="63" t="str">
        <f ca="1" t="shared" si="375"/>
        <v/>
      </c>
      <c r="M2255" t="str">
        <f ca="1" t="shared" si="376"/>
        <v/>
      </c>
      <c r="N2255" t="str">
        <f ca="1" t="shared" si="377"/>
        <v/>
      </c>
      <c r="O2255" t="str">
        <f ca="1" t="shared" si="378"/>
        <v/>
      </c>
    </row>
    <row r="2256" spans="2:15">
      <c r="B2256" s="46"/>
      <c r="C2256" t="str">
        <f t="shared" si="380"/>
        <v/>
      </c>
      <c r="D2256" s="63">
        <f t="shared" si="381"/>
        <v>6.10680751173709</v>
      </c>
      <c r="E2256" t="str">
        <f t="shared" si="382"/>
        <v/>
      </c>
      <c r="F2256" t="str">
        <f t="shared" si="383"/>
        <v/>
      </c>
      <c r="G2256" t="str">
        <f t="shared" si="384"/>
        <v/>
      </c>
      <c r="J2256" s="46"/>
      <c r="K2256" t="str">
        <f ca="1" t="shared" si="374"/>
        <v/>
      </c>
      <c r="L2256" s="63" t="str">
        <f ca="1" t="shared" si="375"/>
        <v/>
      </c>
      <c r="M2256" t="str">
        <f ca="1" t="shared" si="376"/>
        <v/>
      </c>
      <c r="N2256" t="str">
        <f ca="1" t="shared" si="377"/>
        <v/>
      </c>
      <c r="O2256" t="str">
        <f ca="1" t="shared" si="378"/>
        <v/>
      </c>
    </row>
    <row r="2257" spans="2:15">
      <c r="B2257" s="46"/>
      <c r="C2257" t="str">
        <f t="shared" si="380"/>
        <v/>
      </c>
      <c r="D2257" s="63">
        <f t="shared" si="381"/>
        <v>8.50821596244131</v>
      </c>
      <c r="E2257" t="str">
        <f t="shared" si="382"/>
        <v/>
      </c>
      <c r="F2257" t="str">
        <f t="shared" si="383"/>
        <v/>
      </c>
      <c r="G2257" t="str">
        <f t="shared" si="384"/>
        <v/>
      </c>
      <c r="J2257" s="46"/>
      <c r="K2257" t="str">
        <f ca="1" t="shared" si="374"/>
        <v/>
      </c>
      <c r="L2257" s="63" t="str">
        <f ca="1" t="shared" si="375"/>
        <v/>
      </c>
      <c r="M2257" t="str">
        <f ca="1" t="shared" si="376"/>
        <v/>
      </c>
      <c r="N2257" t="str">
        <f ca="1" t="shared" si="377"/>
        <v/>
      </c>
      <c r="O2257" t="str">
        <f ca="1" t="shared" si="378"/>
        <v/>
      </c>
    </row>
    <row r="2258" spans="2:15">
      <c r="B2258" s="46"/>
      <c r="C2258" t="str">
        <f t="shared" si="380"/>
        <v/>
      </c>
      <c r="D2258" s="63">
        <f t="shared" si="381"/>
        <v>10.268779342723</v>
      </c>
      <c r="E2258" t="str">
        <f t="shared" si="382"/>
        <v/>
      </c>
      <c r="F2258" t="str">
        <f t="shared" si="383"/>
        <v/>
      </c>
      <c r="G2258" t="str">
        <f t="shared" si="384"/>
        <v/>
      </c>
      <c r="J2258" s="46"/>
      <c r="K2258" t="str">
        <f ca="1" t="shared" si="374"/>
        <v/>
      </c>
      <c r="L2258" s="63" t="str">
        <f ca="1" t="shared" si="375"/>
        <v/>
      </c>
      <c r="M2258" t="str">
        <f ca="1" t="shared" si="376"/>
        <v/>
      </c>
      <c r="N2258" t="str">
        <f ca="1" t="shared" si="377"/>
        <v/>
      </c>
      <c r="O2258" t="str">
        <f ca="1" t="shared" si="378"/>
        <v/>
      </c>
    </row>
    <row r="2259" spans="2:15">
      <c r="B2259" s="46"/>
      <c r="C2259" t="str">
        <f t="shared" si="380"/>
        <v/>
      </c>
      <c r="D2259" s="63" t="str">
        <f t="shared" si="381"/>
        <v/>
      </c>
      <c r="E2259" t="str">
        <f t="shared" si="382"/>
        <v/>
      </c>
      <c r="F2259" t="str">
        <f t="shared" si="383"/>
        <v/>
      </c>
      <c r="G2259">
        <f t="shared" si="384"/>
        <v>7.67610062893082</v>
      </c>
      <c r="J2259" s="46"/>
      <c r="K2259" t="str">
        <f ca="1" t="shared" si="374"/>
        <v/>
      </c>
      <c r="L2259" s="63" t="str">
        <f ca="1" t="shared" si="375"/>
        <v/>
      </c>
      <c r="M2259" t="str">
        <f ca="1" t="shared" si="376"/>
        <v/>
      </c>
      <c r="N2259" t="str">
        <f ca="1" t="shared" si="377"/>
        <v/>
      </c>
      <c r="O2259" t="str">
        <f ca="1" t="shared" si="378"/>
        <v/>
      </c>
    </row>
    <row r="2260" spans="2:15">
      <c r="B2260" s="46"/>
      <c r="C2260" t="str">
        <f t="shared" si="380"/>
        <v/>
      </c>
      <c r="D2260" s="63" t="str">
        <f t="shared" si="381"/>
        <v/>
      </c>
      <c r="E2260" t="str">
        <f t="shared" si="382"/>
        <v/>
      </c>
      <c r="F2260" t="str">
        <f t="shared" si="383"/>
        <v/>
      </c>
      <c r="G2260">
        <f t="shared" si="384"/>
        <v>10.3836477987421</v>
      </c>
      <c r="J2260" s="46"/>
      <c r="K2260" t="str">
        <f ca="1" t="shared" si="374"/>
        <v/>
      </c>
      <c r="L2260" s="63" t="str">
        <f ca="1" t="shared" si="375"/>
        <v/>
      </c>
      <c r="M2260" t="str">
        <f ca="1" t="shared" si="376"/>
        <v/>
      </c>
      <c r="N2260" t="str">
        <f ca="1" t="shared" si="377"/>
        <v/>
      </c>
      <c r="O2260" t="str">
        <f ca="1" t="shared" si="378"/>
        <v/>
      </c>
    </row>
    <row r="2261" spans="2:15">
      <c r="B2261" s="46"/>
      <c r="C2261" t="str">
        <f t="shared" si="380"/>
        <v/>
      </c>
      <c r="D2261" s="63" t="str">
        <f t="shared" si="381"/>
        <v/>
      </c>
      <c r="E2261" t="str">
        <f t="shared" si="382"/>
        <v/>
      </c>
      <c r="F2261" t="str">
        <f t="shared" si="383"/>
        <v/>
      </c>
      <c r="G2261">
        <f t="shared" si="384"/>
        <v>13.2138364779874</v>
      </c>
      <c r="J2261" s="46"/>
      <c r="K2261" t="str">
        <f ca="1" t="shared" si="374"/>
        <v/>
      </c>
      <c r="L2261" s="63" t="str">
        <f ca="1" t="shared" si="375"/>
        <v/>
      </c>
      <c r="M2261" t="str">
        <f ca="1" t="shared" si="376"/>
        <v/>
      </c>
      <c r="N2261" t="str">
        <f ca="1" t="shared" si="377"/>
        <v/>
      </c>
      <c r="O2261" t="str">
        <f ca="1" t="shared" si="378"/>
        <v/>
      </c>
    </row>
    <row r="2262" spans="2:15">
      <c r="B2262" s="46"/>
      <c r="C2262" t="str">
        <f t="shared" si="380"/>
        <v/>
      </c>
      <c r="D2262" s="63" t="str">
        <f t="shared" si="381"/>
        <v/>
      </c>
      <c r="E2262" t="str">
        <f t="shared" si="382"/>
        <v/>
      </c>
      <c r="F2262" t="str">
        <f t="shared" si="383"/>
        <v/>
      </c>
      <c r="G2262">
        <f t="shared" si="384"/>
        <v>14.7243186582809</v>
      </c>
      <c r="J2262" s="46"/>
      <c r="K2262" t="str">
        <f ca="1" t="shared" si="374"/>
        <v/>
      </c>
      <c r="L2262" s="63" t="str">
        <f ca="1" t="shared" si="375"/>
        <v/>
      </c>
      <c r="M2262" t="str">
        <f ca="1" t="shared" si="376"/>
        <v/>
      </c>
      <c r="N2262" t="str">
        <f ca="1" t="shared" si="377"/>
        <v/>
      </c>
      <c r="O2262" t="str">
        <f ca="1" t="shared" si="378"/>
        <v/>
      </c>
    </row>
    <row r="2263" spans="2:15">
      <c r="B2263" s="46"/>
      <c r="C2263" t="str">
        <f t="shared" si="380"/>
        <v/>
      </c>
      <c r="D2263" s="63" t="str">
        <f t="shared" si="381"/>
        <v/>
      </c>
      <c r="E2263" t="str">
        <f t="shared" si="382"/>
        <v/>
      </c>
      <c r="F2263">
        <f t="shared" si="383"/>
        <v>9.17630385487529</v>
      </c>
      <c r="G2263" t="str">
        <f t="shared" si="384"/>
        <v/>
      </c>
      <c r="J2263" s="46"/>
      <c r="K2263" t="str">
        <f ca="1" t="shared" si="374"/>
        <v/>
      </c>
      <c r="L2263" s="63" t="str">
        <f ca="1" t="shared" si="375"/>
        <v/>
      </c>
      <c r="M2263" t="str">
        <f ca="1" t="shared" si="376"/>
        <v/>
      </c>
      <c r="N2263" t="str">
        <f ca="1" t="shared" si="377"/>
        <v/>
      </c>
      <c r="O2263" t="str">
        <f ca="1" t="shared" si="378"/>
        <v/>
      </c>
    </row>
    <row r="2264" spans="2:15">
      <c r="B2264" s="46"/>
      <c r="C2264" t="str">
        <f t="shared" si="380"/>
        <v/>
      </c>
      <c r="D2264" s="63" t="str">
        <f t="shared" si="381"/>
        <v/>
      </c>
      <c r="E2264" t="str">
        <f t="shared" si="382"/>
        <v/>
      </c>
      <c r="F2264">
        <f t="shared" si="383"/>
        <v>12.328231292517</v>
      </c>
      <c r="G2264" t="str">
        <f t="shared" si="384"/>
        <v/>
      </c>
      <c r="J2264" s="46"/>
      <c r="K2264" t="str">
        <f ca="1" t="shared" si="374"/>
        <v/>
      </c>
      <c r="L2264" s="63" t="str">
        <f ca="1" t="shared" si="375"/>
        <v/>
      </c>
      <c r="M2264" t="str">
        <f ca="1" t="shared" si="376"/>
        <v/>
      </c>
      <c r="N2264" t="str">
        <f ca="1" t="shared" si="377"/>
        <v/>
      </c>
      <c r="O2264" t="str">
        <f ca="1" t="shared" si="378"/>
        <v/>
      </c>
    </row>
    <row r="2265" spans="2:15">
      <c r="B2265" s="46"/>
      <c r="C2265" t="str">
        <f t="shared" si="380"/>
        <v/>
      </c>
      <c r="D2265" s="63" t="str">
        <f t="shared" si="381"/>
        <v/>
      </c>
      <c r="E2265" t="str">
        <f t="shared" si="382"/>
        <v/>
      </c>
      <c r="F2265">
        <f t="shared" si="383"/>
        <v>15.0017006802721</v>
      </c>
      <c r="G2265" t="str">
        <f t="shared" si="384"/>
        <v/>
      </c>
      <c r="J2265" s="46"/>
      <c r="K2265" t="str">
        <f ca="1" t="shared" si="374"/>
        <v/>
      </c>
      <c r="L2265" s="63" t="str">
        <f ca="1" t="shared" si="375"/>
        <v/>
      </c>
      <c r="M2265" t="str">
        <f ca="1" t="shared" si="376"/>
        <v/>
      </c>
      <c r="N2265" t="str">
        <f ca="1" t="shared" si="377"/>
        <v/>
      </c>
      <c r="O2265" t="str">
        <f ca="1" t="shared" si="378"/>
        <v/>
      </c>
    </row>
    <row r="2266" spans="2:15">
      <c r="B2266" s="46"/>
      <c r="C2266">
        <f t="shared" si="380"/>
        <v>10.328125</v>
      </c>
      <c r="D2266" s="63" t="str">
        <f t="shared" si="381"/>
        <v/>
      </c>
      <c r="E2266" t="str">
        <f t="shared" si="382"/>
        <v/>
      </c>
      <c r="F2266" t="str">
        <f t="shared" si="383"/>
        <v/>
      </c>
      <c r="G2266" t="str">
        <f t="shared" si="384"/>
        <v/>
      </c>
      <c r="J2266" s="46"/>
      <c r="K2266" t="str">
        <f ca="1" t="shared" si="374"/>
        <v/>
      </c>
      <c r="L2266" s="63" t="str">
        <f ca="1" t="shared" si="375"/>
        <v/>
      </c>
      <c r="M2266" t="str">
        <f ca="1" t="shared" si="376"/>
        <v/>
      </c>
      <c r="N2266" t="str">
        <f ca="1" t="shared" si="377"/>
        <v/>
      </c>
      <c r="O2266" t="str">
        <f ca="1" t="shared" si="378"/>
        <v/>
      </c>
    </row>
    <row r="2267" spans="2:15">
      <c r="B2267" s="46"/>
      <c r="C2267">
        <f t="shared" si="380"/>
        <v>14.5908564814815</v>
      </c>
      <c r="D2267" s="63" t="str">
        <f t="shared" si="381"/>
        <v/>
      </c>
      <c r="E2267" t="str">
        <f t="shared" si="382"/>
        <v/>
      </c>
      <c r="F2267" t="str">
        <f t="shared" si="383"/>
        <v/>
      </c>
      <c r="G2267" t="str">
        <f t="shared" si="384"/>
        <v/>
      </c>
      <c r="J2267" s="46"/>
      <c r="K2267" t="str">
        <f ca="1" t="shared" si="374"/>
        <v/>
      </c>
      <c r="L2267" s="63" t="str">
        <f ca="1" t="shared" si="375"/>
        <v/>
      </c>
      <c r="M2267" t="str">
        <f ca="1" t="shared" si="376"/>
        <v/>
      </c>
      <c r="N2267" t="str">
        <f ca="1" t="shared" si="377"/>
        <v/>
      </c>
      <c r="O2267" t="str">
        <f ca="1" t="shared" si="378"/>
        <v/>
      </c>
    </row>
    <row r="2268" spans="2:15">
      <c r="B2268" s="46"/>
      <c r="C2268">
        <f t="shared" si="380"/>
        <v>14.9409722222222</v>
      </c>
      <c r="D2268" s="63" t="str">
        <f t="shared" si="381"/>
        <v/>
      </c>
      <c r="E2268" t="str">
        <f t="shared" si="382"/>
        <v/>
      </c>
      <c r="F2268" t="str">
        <f t="shared" si="383"/>
        <v/>
      </c>
      <c r="G2268" t="str">
        <f t="shared" si="384"/>
        <v/>
      </c>
      <c r="J2268" s="46"/>
      <c r="K2268" t="str">
        <f ca="1" t="shared" si="374"/>
        <v/>
      </c>
      <c r="L2268" s="63" t="str">
        <f ca="1" t="shared" si="375"/>
        <v/>
      </c>
      <c r="M2268" t="str">
        <f ca="1" t="shared" si="376"/>
        <v/>
      </c>
      <c r="N2268" t="str">
        <f ca="1" t="shared" si="377"/>
        <v/>
      </c>
      <c r="O2268" t="str">
        <f ca="1" t="shared" si="378"/>
        <v/>
      </c>
    </row>
    <row r="2269" spans="2:15">
      <c r="B2269" s="46"/>
      <c r="C2269">
        <f t="shared" si="380"/>
        <v>19.2465277777778</v>
      </c>
      <c r="D2269" s="63" t="str">
        <f t="shared" si="381"/>
        <v/>
      </c>
      <c r="E2269" t="str">
        <f t="shared" si="382"/>
        <v/>
      </c>
      <c r="F2269" t="str">
        <f t="shared" si="383"/>
        <v/>
      </c>
      <c r="G2269" t="str">
        <f t="shared" si="384"/>
        <v/>
      </c>
      <c r="J2269" s="46"/>
      <c r="K2269" t="str">
        <f ca="1" t="shared" si="374"/>
        <v/>
      </c>
      <c r="L2269" s="63" t="str">
        <f ca="1" t="shared" si="375"/>
        <v/>
      </c>
      <c r="M2269" t="str">
        <f ca="1" t="shared" si="376"/>
        <v/>
      </c>
      <c r="N2269" t="str">
        <f ca="1" t="shared" si="377"/>
        <v/>
      </c>
      <c r="O2269" t="str">
        <f ca="1" t="shared" si="378"/>
        <v/>
      </c>
    </row>
    <row r="2270" spans="2:15">
      <c r="B2270" s="46"/>
      <c r="C2270" t="str">
        <f t="shared" si="380"/>
        <v/>
      </c>
      <c r="D2270" s="63">
        <f t="shared" si="381"/>
        <v>15.0340375586854</v>
      </c>
      <c r="E2270" t="str">
        <f t="shared" si="382"/>
        <v/>
      </c>
      <c r="F2270" t="str">
        <f t="shared" si="383"/>
        <v/>
      </c>
      <c r="G2270" t="str">
        <f t="shared" si="384"/>
        <v/>
      </c>
      <c r="J2270" s="46"/>
      <c r="K2270" t="str">
        <f ca="1" t="shared" si="374"/>
        <v/>
      </c>
      <c r="L2270" s="63" t="str">
        <f ca="1" t="shared" si="375"/>
        <v/>
      </c>
      <c r="M2270" t="str">
        <f ca="1" t="shared" si="376"/>
        <v/>
      </c>
      <c r="N2270" t="str">
        <f ca="1" t="shared" si="377"/>
        <v/>
      </c>
      <c r="O2270" t="str">
        <f ca="1" t="shared" si="378"/>
        <v/>
      </c>
    </row>
    <row r="2271" spans="2:15">
      <c r="B2271" s="46"/>
      <c r="C2271" t="str">
        <f t="shared" si="380"/>
        <v/>
      </c>
      <c r="D2271" s="63">
        <f t="shared" si="381"/>
        <v>15.0340375586854</v>
      </c>
      <c r="E2271" t="str">
        <f t="shared" si="382"/>
        <v/>
      </c>
      <c r="F2271" t="str">
        <f t="shared" si="383"/>
        <v/>
      </c>
      <c r="G2271" t="str">
        <f t="shared" si="384"/>
        <v/>
      </c>
      <c r="J2271" s="46"/>
      <c r="K2271" t="str">
        <f ca="1" t="shared" si="374"/>
        <v/>
      </c>
      <c r="L2271" s="63" t="str">
        <f ca="1" t="shared" si="375"/>
        <v/>
      </c>
      <c r="M2271" t="str">
        <f ca="1" t="shared" si="376"/>
        <v/>
      </c>
      <c r="N2271" t="str">
        <f ca="1" t="shared" si="377"/>
        <v/>
      </c>
      <c r="O2271" t="str">
        <f ca="1" t="shared" si="378"/>
        <v/>
      </c>
    </row>
    <row r="2272" spans="2:15">
      <c r="B2272" s="46"/>
      <c r="C2272" t="str">
        <f t="shared" si="380"/>
        <v/>
      </c>
      <c r="D2272" s="63">
        <f t="shared" si="381"/>
        <v>16.1343896713615</v>
      </c>
      <c r="E2272" t="str">
        <f t="shared" si="382"/>
        <v/>
      </c>
      <c r="F2272" t="str">
        <f t="shared" si="383"/>
        <v/>
      </c>
      <c r="G2272" t="str">
        <f t="shared" si="384"/>
        <v/>
      </c>
      <c r="J2272" s="46"/>
      <c r="K2272" t="str">
        <f ca="1" t="shared" si="374"/>
        <v/>
      </c>
      <c r="L2272" s="63" t="str">
        <f ca="1" t="shared" si="375"/>
        <v/>
      </c>
      <c r="M2272" t="str">
        <f ca="1" t="shared" si="376"/>
        <v/>
      </c>
      <c r="N2272" t="str">
        <f ca="1" t="shared" si="377"/>
        <v/>
      </c>
      <c r="O2272" t="str">
        <f ca="1" t="shared" si="378"/>
        <v/>
      </c>
    </row>
    <row r="2273" spans="2:15">
      <c r="B2273" s="46"/>
      <c r="C2273" t="str">
        <f t="shared" si="380"/>
        <v/>
      </c>
      <c r="D2273" s="63">
        <f t="shared" si="381"/>
        <v>16.8620892018779</v>
      </c>
      <c r="E2273" t="str">
        <f t="shared" si="382"/>
        <v/>
      </c>
      <c r="F2273" t="str">
        <f t="shared" si="383"/>
        <v/>
      </c>
      <c r="G2273" t="str">
        <f t="shared" si="384"/>
        <v/>
      </c>
      <c r="J2273" s="46"/>
      <c r="K2273" t="str">
        <f ca="1" t="shared" si="374"/>
        <v/>
      </c>
      <c r="L2273" s="63" t="str">
        <f ca="1" t="shared" si="375"/>
        <v/>
      </c>
      <c r="M2273" t="str">
        <f ca="1" t="shared" si="376"/>
        <v/>
      </c>
      <c r="N2273" t="str">
        <f ca="1" t="shared" si="377"/>
        <v/>
      </c>
      <c r="O2273" t="str">
        <f ca="1" t="shared" si="378"/>
        <v/>
      </c>
    </row>
    <row r="2274" spans="2:15">
      <c r="B2274" s="46"/>
      <c r="C2274" t="str">
        <f t="shared" si="380"/>
        <v/>
      </c>
      <c r="D2274" s="63" t="str">
        <f t="shared" si="381"/>
        <v/>
      </c>
      <c r="E2274">
        <f t="shared" si="382"/>
        <v>16.1245098039216</v>
      </c>
      <c r="F2274" t="str">
        <f t="shared" si="383"/>
        <v/>
      </c>
      <c r="G2274" t="str">
        <f t="shared" si="384"/>
        <v/>
      </c>
      <c r="J2274" s="46"/>
      <c r="K2274" t="str">
        <f ca="1" t="shared" si="374"/>
        <v/>
      </c>
      <c r="L2274" s="63" t="str">
        <f ca="1" t="shared" si="375"/>
        <v/>
      </c>
      <c r="M2274" t="str">
        <f ca="1" t="shared" si="376"/>
        <v/>
      </c>
      <c r="N2274" t="str">
        <f ca="1" t="shared" si="377"/>
        <v/>
      </c>
      <c r="O2274" t="str">
        <f ca="1" t="shared" si="378"/>
        <v/>
      </c>
    </row>
    <row r="2275" spans="2:15">
      <c r="B2275" s="46"/>
      <c r="C2275" t="str">
        <f t="shared" si="380"/>
        <v/>
      </c>
      <c r="D2275" s="63" t="str">
        <f t="shared" si="381"/>
        <v/>
      </c>
      <c r="E2275">
        <f t="shared" si="382"/>
        <v>17.9225490196078</v>
      </c>
      <c r="F2275" t="str">
        <f t="shared" si="383"/>
        <v/>
      </c>
      <c r="G2275" t="str">
        <f t="shared" si="384"/>
        <v/>
      </c>
      <c r="J2275" s="46"/>
      <c r="K2275" t="str">
        <f ca="1" t="shared" si="374"/>
        <v/>
      </c>
      <c r="L2275" s="63" t="str">
        <f ca="1" t="shared" si="375"/>
        <v/>
      </c>
      <c r="M2275" t="str">
        <f ca="1" t="shared" si="376"/>
        <v/>
      </c>
      <c r="N2275" t="str">
        <f ca="1" t="shared" si="377"/>
        <v/>
      </c>
      <c r="O2275" t="str">
        <f ca="1" t="shared" si="378"/>
        <v/>
      </c>
    </row>
    <row r="2276" spans="2:15">
      <c r="B2276" s="46"/>
      <c r="C2276" t="str">
        <f t="shared" si="380"/>
        <v/>
      </c>
      <c r="D2276" s="63" t="str">
        <f t="shared" si="381"/>
        <v/>
      </c>
      <c r="E2276">
        <f t="shared" si="382"/>
        <v>18.7166666666667</v>
      </c>
      <c r="F2276" t="str">
        <f t="shared" si="383"/>
        <v/>
      </c>
      <c r="G2276" t="str">
        <f t="shared" si="384"/>
        <v/>
      </c>
      <c r="J2276" s="46"/>
      <c r="K2276" t="str">
        <f ca="1" t="shared" si="374"/>
        <v/>
      </c>
      <c r="L2276" s="63" t="str">
        <f ca="1" t="shared" si="375"/>
        <v/>
      </c>
      <c r="M2276" t="str">
        <f ca="1" t="shared" si="376"/>
        <v/>
      </c>
      <c r="N2276" t="str">
        <f ca="1" t="shared" si="377"/>
        <v/>
      </c>
      <c r="O2276" t="str">
        <f ca="1" t="shared" si="378"/>
        <v/>
      </c>
    </row>
    <row r="2277" spans="2:15">
      <c r="B2277" s="46"/>
      <c r="C2277" t="str">
        <f t="shared" si="380"/>
        <v/>
      </c>
      <c r="D2277" s="63" t="str">
        <f t="shared" si="381"/>
        <v/>
      </c>
      <c r="E2277">
        <f t="shared" si="382"/>
        <v>18.9539215686275</v>
      </c>
      <c r="F2277" t="str">
        <f t="shared" si="383"/>
        <v/>
      </c>
      <c r="G2277" t="str">
        <f t="shared" si="384"/>
        <v/>
      </c>
      <c r="J2277" s="46"/>
      <c r="K2277" t="str">
        <f ca="1" t="shared" si="374"/>
        <v/>
      </c>
      <c r="L2277" s="63" t="str">
        <f ca="1" t="shared" si="375"/>
        <v/>
      </c>
      <c r="M2277" t="str">
        <f ca="1" t="shared" si="376"/>
        <v/>
      </c>
      <c r="N2277" t="str">
        <f ca="1" t="shared" si="377"/>
        <v/>
      </c>
      <c r="O2277" t="str">
        <f ca="1" t="shared" si="378"/>
        <v/>
      </c>
    </row>
    <row r="2278" spans="2:15">
      <c r="B2278" s="46"/>
      <c r="C2278" t="str">
        <f t="shared" si="380"/>
        <v/>
      </c>
      <c r="D2278" s="63" t="str">
        <f t="shared" si="381"/>
        <v/>
      </c>
      <c r="E2278" t="str">
        <f t="shared" si="382"/>
        <v/>
      </c>
      <c r="F2278" t="str">
        <f t="shared" si="383"/>
        <v/>
      </c>
      <c r="G2278">
        <f t="shared" si="384"/>
        <v>15.4449685534591</v>
      </c>
      <c r="J2278" s="46"/>
      <c r="K2278" s="81"/>
      <c r="L2278" s="81"/>
      <c r="M2278" s="81"/>
      <c r="N2278" s="81"/>
      <c r="O2278" s="81"/>
    </row>
    <row r="2279" spans="2:15">
      <c r="B2279" s="46"/>
      <c r="C2279" t="str">
        <f t="shared" si="380"/>
        <v/>
      </c>
      <c r="D2279" s="63" t="str">
        <f t="shared" si="381"/>
        <v/>
      </c>
      <c r="E2279" t="str">
        <f t="shared" si="382"/>
        <v/>
      </c>
      <c r="F2279" t="str">
        <f t="shared" si="383"/>
        <v/>
      </c>
      <c r="G2279">
        <f t="shared" si="384"/>
        <v>16.4669811320755</v>
      </c>
      <c r="J2279" s="46"/>
      <c r="K2279" s="58"/>
      <c r="L2279" s="58"/>
    </row>
    <row r="2280" spans="2:15">
      <c r="B2280" s="46"/>
      <c r="C2280" t="str">
        <f t="shared" si="380"/>
        <v/>
      </c>
      <c r="D2280" s="63" t="str">
        <f t="shared" si="381"/>
        <v/>
      </c>
      <c r="E2280" t="str">
        <f t="shared" si="382"/>
        <v/>
      </c>
      <c r="F2280" t="str">
        <f t="shared" si="383"/>
        <v/>
      </c>
      <c r="G2280">
        <f t="shared" si="384"/>
        <v>17.7877358490566</v>
      </c>
      <c r="J2280" s="46"/>
      <c r="K2280" s="58"/>
      <c r="L2280" s="46"/>
    </row>
    <row r="2281" spans="2:15">
      <c r="B2281" s="46"/>
      <c r="C2281" t="str">
        <f t="shared" si="380"/>
        <v/>
      </c>
      <c r="D2281" s="63" t="str">
        <f t="shared" si="381"/>
        <v/>
      </c>
      <c r="E2281" t="str">
        <f t="shared" si="382"/>
        <v/>
      </c>
      <c r="F2281" t="str">
        <f t="shared" si="383"/>
        <v/>
      </c>
      <c r="G2281">
        <f t="shared" si="384"/>
        <v>18.377358490566</v>
      </c>
    </row>
    <row r="2282" spans="2:15">
      <c r="B2282" s="46"/>
      <c r="C2282" t="str">
        <f t="shared" si="380"/>
        <v/>
      </c>
      <c r="D2282" s="63" t="str">
        <f t="shared" si="381"/>
        <v/>
      </c>
      <c r="E2282" t="str">
        <f t="shared" si="382"/>
        <v/>
      </c>
      <c r="F2282">
        <f t="shared" si="383"/>
        <v>15.4234693877551</v>
      </c>
      <c r="G2282" t="str">
        <f t="shared" si="384"/>
        <v/>
      </c>
    </row>
    <row r="2283" spans="2:15">
      <c r="B2283" s="46"/>
      <c r="C2283" t="str">
        <f t="shared" si="380"/>
        <v/>
      </c>
      <c r="D2283" s="63" t="str">
        <f t="shared" si="381"/>
        <v/>
      </c>
      <c r="E2283" t="str">
        <f t="shared" si="382"/>
        <v/>
      </c>
      <c r="F2283">
        <f t="shared" si="383"/>
        <v>16.7698412698413</v>
      </c>
      <c r="G2283" t="str">
        <f t="shared" si="384"/>
        <v/>
      </c>
    </row>
    <row r="2284" spans="2:15">
      <c r="B2284" s="46"/>
      <c r="C2284" t="str">
        <f t="shared" si="380"/>
        <v/>
      </c>
      <c r="D2284" s="63" t="str">
        <f t="shared" si="381"/>
        <v/>
      </c>
      <c r="E2284" t="str">
        <f t="shared" si="382"/>
        <v/>
      </c>
      <c r="F2284">
        <f t="shared" si="383"/>
        <v>18.109410430839</v>
      </c>
      <c r="G2284" t="str">
        <f t="shared" si="384"/>
        <v/>
      </c>
    </row>
    <row r="2285" spans="2:15">
      <c r="B2285" s="46"/>
      <c r="C2285" t="str">
        <f t="shared" si="380"/>
        <v/>
      </c>
      <c r="D2285" s="63" t="str">
        <f t="shared" si="381"/>
        <v/>
      </c>
      <c r="E2285" t="str">
        <f t="shared" si="382"/>
        <v/>
      </c>
      <c r="F2285">
        <f t="shared" si="383"/>
        <v>20.1581632653061</v>
      </c>
      <c r="G2285" t="str">
        <f t="shared" si="384"/>
        <v/>
      </c>
    </row>
    <row r="2286" spans="2:15">
      <c r="B2286" s="46"/>
      <c r="C2286" t="str">
        <f t="shared" si="380"/>
        <v/>
      </c>
      <c r="D2286" s="63" t="str">
        <f t="shared" si="381"/>
        <v/>
      </c>
      <c r="E2286" t="str">
        <f t="shared" si="382"/>
        <v/>
      </c>
      <c r="F2286">
        <f t="shared" si="383"/>
        <v>22.1581632653061</v>
      </c>
      <c r="G2286" t="str">
        <f t="shared" si="384"/>
        <v/>
      </c>
    </row>
    <row r="2287" spans="2:15">
      <c r="B2287" s="46"/>
      <c r="C2287" t="str">
        <f t="shared" si="380"/>
        <v/>
      </c>
      <c r="D2287" s="63" t="str">
        <f t="shared" si="381"/>
        <v/>
      </c>
      <c r="E2287" t="str">
        <f t="shared" si="382"/>
        <v/>
      </c>
      <c r="F2287">
        <f t="shared" si="383"/>
        <v>22.8781179138322</v>
      </c>
      <c r="G2287" t="str">
        <f t="shared" si="384"/>
        <v/>
      </c>
    </row>
    <row r="2288" spans="2:15">
      <c r="B2288" s="46"/>
      <c r="C2288" t="str">
        <f t="shared" si="380"/>
        <v/>
      </c>
      <c r="D2288" s="63">
        <f t="shared" si="381"/>
        <v>17.3022300469484</v>
      </c>
      <c r="E2288" t="str">
        <f t="shared" si="382"/>
        <v/>
      </c>
      <c r="F2288" t="str">
        <f t="shared" si="383"/>
        <v/>
      </c>
      <c r="G2288" t="str">
        <f t="shared" si="384"/>
        <v/>
      </c>
    </row>
    <row r="2289" spans="2:7">
      <c r="B2289" s="46"/>
      <c r="C2289" t="str">
        <f t="shared" si="380"/>
        <v/>
      </c>
      <c r="D2289" s="63">
        <f t="shared" si="381"/>
        <v>22.837441314554</v>
      </c>
      <c r="E2289" t="str">
        <f t="shared" si="382"/>
        <v/>
      </c>
      <c r="F2289" t="str">
        <f t="shared" si="383"/>
        <v/>
      </c>
      <c r="G2289" t="str">
        <f t="shared" si="384"/>
        <v/>
      </c>
    </row>
    <row r="2290" spans="2:7">
      <c r="B2290" s="46"/>
      <c r="C2290" t="str">
        <f t="shared" si="380"/>
        <v/>
      </c>
      <c r="D2290" s="63">
        <f t="shared" si="381"/>
        <v>23.7089201877934</v>
      </c>
      <c r="E2290" t="str">
        <f t="shared" si="382"/>
        <v/>
      </c>
      <c r="F2290" t="str">
        <f t="shared" si="383"/>
        <v/>
      </c>
      <c r="G2290" t="str">
        <f t="shared" si="384"/>
        <v/>
      </c>
    </row>
    <row r="2291" spans="2:7">
      <c r="B2291" s="46"/>
      <c r="C2291" t="str">
        <f t="shared" si="380"/>
        <v/>
      </c>
      <c r="D2291" s="63">
        <f t="shared" si="381"/>
        <v>24.3427230046948</v>
      </c>
      <c r="E2291" t="str">
        <f t="shared" si="382"/>
        <v/>
      </c>
      <c r="F2291" t="str">
        <f t="shared" si="383"/>
        <v/>
      </c>
      <c r="G2291" t="str">
        <f t="shared" si="384"/>
        <v/>
      </c>
    </row>
    <row r="2292" spans="2:7">
      <c r="B2292" s="46"/>
      <c r="C2292" t="str">
        <f t="shared" si="380"/>
        <v/>
      </c>
      <c r="D2292" s="63">
        <f t="shared" si="381"/>
        <v>27.5704225352113</v>
      </c>
      <c r="E2292" t="str">
        <f t="shared" si="382"/>
        <v/>
      </c>
      <c r="F2292" t="str">
        <f t="shared" si="383"/>
        <v/>
      </c>
      <c r="G2292" t="str">
        <f t="shared" si="384"/>
        <v/>
      </c>
    </row>
    <row r="2293" spans="2:7">
      <c r="B2293" s="46"/>
      <c r="C2293" t="str">
        <f t="shared" si="380"/>
        <v/>
      </c>
      <c r="D2293" s="63" t="str">
        <f t="shared" si="381"/>
        <v/>
      </c>
      <c r="E2293" t="str">
        <f t="shared" si="382"/>
        <v/>
      </c>
      <c r="F2293" t="str">
        <f t="shared" si="383"/>
        <v/>
      </c>
      <c r="G2293">
        <f t="shared" si="384"/>
        <v>19.1949685534591</v>
      </c>
    </row>
    <row r="2294" spans="2:7">
      <c r="B2294" s="46"/>
      <c r="C2294" t="str">
        <f t="shared" si="380"/>
        <v/>
      </c>
      <c r="D2294" s="63" t="str">
        <f t="shared" si="381"/>
        <v/>
      </c>
      <c r="E2294" t="str">
        <f t="shared" si="382"/>
        <v/>
      </c>
      <c r="F2294" t="str">
        <f t="shared" si="383"/>
        <v/>
      </c>
      <c r="G2294">
        <f t="shared" si="384"/>
        <v>21.9606918238994</v>
      </c>
    </row>
    <row r="2295" spans="2:7">
      <c r="B2295" s="46"/>
      <c r="C2295" t="str">
        <f t="shared" si="380"/>
        <v/>
      </c>
      <c r="D2295" s="63" t="str">
        <f t="shared" si="381"/>
        <v/>
      </c>
      <c r="E2295" t="str">
        <f t="shared" si="382"/>
        <v/>
      </c>
      <c r="F2295" t="str">
        <f t="shared" si="383"/>
        <v/>
      </c>
      <c r="G2295">
        <f t="shared" si="384"/>
        <v>21.9606918238994</v>
      </c>
    </row>
    <row r="2296" spans="2:7">
      <c r="B2296" s="46"/>
      <c r="C2296" t="str">
        <f t="shared" si="380"/>
        <v/>
      </c>
      <c r="D2296" s="63" t="str">
        <f t="shared" si="381"/>
        <v/>
      </c>
      <c r="E2296" t="str">
        <f t="shared" si="382"/>
        <v/>
      </c>
      <c r="F2296" t="str">
        <f t="shared" si="383"/>
        <v/>
      </c>
      <c r="G2296">
        <f t="shared" si="384"/>
        <v>25.2222222222222</v>
      </c>
    </row>
    <row r="2297" spans="2:7">
      <c r="B2297" s="46"/>
      <c r="C2297" t="str">
        <f t="shared" si="380"/>
        <v/>
      </c>
      <c r="D2297" s="63" t="str">
        <f t="shared" si="381"/>
        <v/>
      </c>
      <c r="E2297">
        <f t="shared" si="382"/>
        <v>22.268137254902</v>
      </c>
      <c r="F2297" t="str">
        <f t="shared" si="383"/>
        <v/>
      </c>
      <c r="G2297" t="str">
        <f t="shared" si="384"/>
        <v/>
      </c>
    </row>
    <row r="2298" spans="2:7">
      <c r="B2298" s="46"/>
      <c r="C2298" t="str">
        <f t="shared" si="380"/>
        <v/>
      </c>
      <c r="D2298" s="63" t="str">
        <f t="shared" si="381"/>
        <v/>
      </c>
      <c r="E2298">
        <f t="shared" si="382"/>
        <v>22.268137254902</v>
      </c>
      <c r="F2298" t="str">
        <f t="shared" si="383"/>
        <v/>
      </c>
      <c r="G2298" t="str">
        <f t="shared" si="384"/>
        <v/>
      </c>
    </row>
    <row r="2299" spans="2:7">
      <c r="B2299" s="46"/>
      <c r="C2299" t="str">
        <f t="shared" si="380"/>
        <v/>
      </c>
      <c r="D2299" s="63" t="str">
        <f t="shared" si="381"/>
        <v/>
      </c>
      <c r="E2299">
        <f t="shared" si="382"/>
        <v>24.6995098039216</v>
      </c>
      <c r="F2299" t="str">
        <f t="shared" si="383"/>
        <v/>
      </c>
      <c r="G2299" t="str">
        <f t="shared" si="384"/>
        <v/>
      </c>
    </row>
    <row r="2300" ht="15.75" spans="2:7">
      <c r="B2300" s="46"/>
      <c r="C2300" t="str">
        <f t="shared" si="380"/>
        <v/>
      </c>
      <c r="D2300" s="63" t="str">
        <f t="shared" si="381"/>
        <v/>
      </c>
      <c r="E2300">
        <f t="shared" si="382"/>
        <v>25.3416666666667</v>
      </c>
      <c r="F2300" t="str">
        <f t="shared" si="383"/>
        <v/>
      </c>
      <c r="G2300" t="str">
        <f t="shared" si="384"/>
        <v/>
      </c>
    </row>
    <row r="2301" spans="2:7">
      <c r="B2301" s="74" t="s">
        <v>269</v>
      </c>
      <c r="C2301" s="75">
        <f>MAX(C2242:C2300)</f>
        <v>19.2465277777778</v>
      </c>
      <c r="D2301" s="75">
        <f>MAX(D2242:D2300)</f>
        <v>27.5704225352113</v>
      </c>
      <c r="E2301" s="75">
        <f t="shared" ref="E2301:G2301" si="385">MAX(E2242:E2300)</f>
        <v>25.3416666666667</v>
      </c>
      <c r="F2301" s="75">
        <f t="shared" si="385"/>
        <v>22.8781179138322</v>
      </c>
      <c r="G2301" s="75">
        <f t="shared" si="385"/>
        <v>25.2222222222222</v>
      </c>
    </row>
    <row r="2302" spans="2:7">
      <c r="B2302" s="76" t="s">
        <v>270</v>
      </c>
      <c r="C2302" s="77">
        <v>1</v>
      </c>
      <c r="D2302" s="78">
        <v>2</v>
      </c>
      <c r="E2302">
        <v>3</v>
      </c>
      <c r="F2302">
        <v>4</v>
      </c>
      <c r="G2302">
        <v>5</v>
      </c>
    </row>
    <row r="2303" spans="2:7">
      <c r="B2303" s="79" t="s">
        <v>271</v>
      </c>
      <c r="C2303" s="72">
        <f>HLOOKUP(MIN(C2301:G2301),C2301:G2302,2,FALSE)</f>
        <v>1</v>
      </c>
      <c r="D2303" s="80"/>
    </row>
    <row r="2304" spans="2:7">
      <c r="B2304" s="46"/>
      <c r="C2304" t="str">
        <f t="shared" ref="C2304:C2310" si="386">IF(J1427=1,S1427,"")</f>
        <v/>
      </c>
      <c r="D2304" s="63" t="str">
        <f t="shared" ref="D2304:D2310" si="387">IF(J1427=2,S1427,"")</f>
        <v/>
      </c>
      <c r="E2304" t="str">
        <f t="shared" ref="E2304:E2310" si="388">IF(J1427=3,S1427,"")</f>
        <v/>
      </c>
      <c r="F2304" t="str">
        <f t="shared" ref="F2304:F2310" si="389">IF(J1427=4,S1427,"")</f>
        <v/>
      </c>
      <c r="G2304" t="str">
        <f t="shared" ref="G2304:G2310" si="390">IF(J1427=5,S1427,"")</f>
        <v/>
      </c>
    </row>
    <row r="2305" spans="2:7">
      <c r="B2305" s="46"/>
      <c r="C2305" t="str">
        <f t="shared" si="386"/>
        <v/>
      </c>
      <c r="D2305" s="63" t="str">
        <f t="shared" si="387"/>
        <v/>
      </c>
      <c r="E2305" t="str">
        <f t="shared" si="388"/>
        <v/>
      </c>
      <c r="F2305" t="str">
        <f t="shared" si="389"/>
        <v/>
      </c>
      <c r="G2305" t="str">
        <f t="shared" si="390"/>
        <v/>
      </c>
    </row>
    <row r="2306" spans="2:7">
      <c r="B2306" s="46"/>
      <c r="C2306" t="str">
        <f t="shared" si="386"/>
        <v/>
      </c>
      <c r="D2306" s="63" t="str">
        <f t="shared" si="387"/>
        <v/>
      </c>
      <c r="E2306" t="str">
        <f t="shared" si="388"/>
        <v/>
      </c>
      <c r="F2306" t="str">
        <f t="shared" si="389"/>
        <v/>
      </c>
      <c r="G2306" t="str">
        <f t="shared" si="390"/>
        <v/>
      </c>
    </row>
    <row r="2307" spans="2:7">
      <c r="B2307" s="46"/>
      <c r="C2307" t="str">
        <f t="shared" si="386"/>
        <v/>
      </c>
      <c r="D2307" s="63" t="str">
        <f t="shared" si="387"/>
        <v/>
      </c>
      <c r="E2307" t="str">
        <f t="shared" si="388"/>
        <v/>
      </c>
      <c r="F2307" t="str">
        <f t="shared" si="389"/>
        <v/>
      </c>
      <c r="G2307" t="str">
        <f t="shared" si="390"/>
        <v/>
      </c>
    </row>
    <row r="2308" spans="2:7">
      <c r="B2308" s="46"/>
      <c r="C2308" t="str">
        <f t="shared" si="386"/>
        <v/>
      </c>
      <c r="D2308" s="63" t="str">
        <f t="shared" si="387"/>
        <v/>
      </c>
      <c r="E2308" t="str">
        <f t="shared" si="388"/>
        <v/>
      </c>
      <c r="F2308" t="str">
        <f t="shared" si="389"/>
        <v/>
      </c>
      <c r="G2308" t="str">
        <f t="shared" si="390"/>
        <v/>
      </c>
    </row>
    <row r="2309" spans="2:7">
      <c r="B2309" s="46"/>
      <c r="C2309" t="str">
        <f t="shared" si="386"/>
        <v/>
      </c>
      <c r="D2309" s="63" t="str">
        <f t="shared" si="387"/>
        <v/>
      </c>
      <c r="E2309" t="str">
        <f t="shared" si="388"/>
        <v/>
      </c>
      <c r="F2309" t="str">
        <f t="shared" si="389"/>
        <v/>
      </c>
      <c r="G2309" t="str">
        <f t="shared" si="390"/>
        <v/>
      </c>
    </row>
    <row r="2310" spans="2:7">
      <c r="B2310" s="46"/>
      <c r="C2310" t="str">
        <f t="shared" si="386"/>
        <v/>
      </c>
      <c r="D2310" s="63" t="str">
        <f t="shared" si="387"/>
        <v/>
      </c>
      <c r="E2310" t="str">
        <f t="shared" si="388"/>
        <v/>
      </c>
      <c r="F2310" t="str">
        <f t="shared" si="389"/>
        <v/>
      </c>
      <c r="G2310" t="str">
        <f t="shared" si="390"/>
        <v/>
      </c>
    </row>
    <row r="2311" spans="2:7">
      <c r="B2311" s="46"/>
      <c r="C2311" s="81"/>
      <c r="D2311" s="81"/>
      <c r="E2311" s="81"/>
      <c r="F2311" s="81"/>
      <c r="G2311" s="81"/>
    </row>
    <row r="2312" spans="2:7">
      <c r="B2312" s="46"/>
      <c r="C2312" s="58"/>
      <c r="D2312" s="58"/>
    </row>
    <row r="2313" spans="2:7">
      <c r="B2313" s="46"/>
      <c r="C2313" s="58"/>
      <c r="D2313" s="46"/>
    </row>
    <row r="2316" ht="15.75" spans="2:7">
      <c r="B2316" s="43" t="s">
        <v>332</v>
      </c>
      <c r="C2316" s="44"/>
      <c r="D2316" s="45"/>
    </row>
    <row r="2317" spans="2:7">
      <c r="B2317" s="46"/>
      <c r="C2317" s="61" t="s">
        <v>264</v>
      </c>
      <c r="D2317" s="61" t="s">
        <v>265</v>
      </c>
      <c r="E2317" s="62" t="s">
        <v>286</v>
      </c>
      <c r="F2317" s="62" t="s">
        <v>287</v>
      </c>
      <c r="G2317" s="62" t="s">
        <v>288</v>
      </c>
    </row>
    <row r="2318" spans="2:7">
      <c r="B2318" s="46"/>
      <c r="C2318">
        <f t="shared" ref="C2318:C2379" si="391">IF(J8=1,S8,"")</f>
        <v>0.700231481481482</v>
      </c>
      <c r="D2318" s="63" t="str">
        <f t="shared" ref="D2318:D2379" si="392">IF(J8=2,S8,"")</f>
        <v/>
      </c>
      <c r="E2318" t="str">
        <f t="shared" ref="E2318:E2379" si="393">IF(J8=3,S8,"")</f>
        <v/>
      </c>
      <c r="F2318" t="str">
        <f t="shared" ref="F2318:F2379" si="394">IF(J8=4,S8,"")</f>
        <v/>
      </c>
      <c r="G2318" t="str">
        <f t="shared" ref="G2318:G2379" si="395">IF(J8=5,S8,"")</f>
        <v/>
      </c>
    </row>
    <row r="2319" spans="2:7">
      <c r="B2319" s="46"/>
      <c r="C2319" t="str">
        <f t="shared" si="391"/>
        <v/>
      </c>
      <c r="D2319" s="63">
        <f t="shared" si="392"/>
        <v>0.734154929577465</v>
      </c>
      <c r="E2319" t="str">
        <f t="shared" si="393"/>
        <v/>
      </c>
      <c r="F2319" t="str">
        <f t="shared" si="394"/>
        <v/>
      </c>
      <c r="G2319" t="str">
        <f t="shared" si="395"/>
        <v/>
      </c>
    </row>
    <row r="2320" spans="2:7">
      <c r="B2320" s="46"/>
      <c r="C2320" t="str">
        <f t="shared" si="391"/>
        <v/>
      </c>
      <c r="D2320" s="63" t="str">
        <f t="shared" si="392"/>
        <v/>
      </c>
      <c r="E2320">
        <f t="shared" si="393"/>
        <v>1.83823529411765</v>
      </c>
      <c r="F2320" t="str">
        <f t="shared" si="394"/>
        <v/>
      </c>
      <c r="G2320" t="str">
        <f t="shared" si="395"/>
        <v/>
      </c>
    </row>
    <row r="2321" spans="2:7">
      <c r="B2321" s="46"/>
      <c r="C2321" t="str">
        <f t="shared" si="391"/>
        <v/>
      </c>
      <c r="D2321" s="63" t="str">
        <f t="shared" si="392"/>
        <v/>
      </c>
      <c r="E2321" t="str">
        <f t="shared" si="393"/>
        <v/>
      </c>
      <c r="F2321">
        <f t="shared" si="394"/>
        <v>4.28571428571429</v>
      </c>
      <c r="G2321" t="str">
        <f t="shared" si="395"/>
        <v/>
      </c>
    </row>
    <row r="2322" spans="2:7">
      <c r="B2322" s="46"/>
      <c r="C2322" t="str">
        <f t="shared" si="391"/>
        <v/>
      </c>
      <c r="D2322" s="63" t="str">
        <f t="shared" si="392"/>
        <v/>
      </c>
      <c r="E2322" t="str">
        <f t="shared" si="393"/>
        <v/>
      </c>
      <c r="F2322" t="str">
        <f t="shared" si="394"/>
        <v/>
      </c>
      <c r="G2322">
        <f t="shared" si="395"/>
        <v>3.43396226415094</v>
      </c>
    </row>
    <row r="2323" spans="2:7">
      <c r="B2323" s="46"/>
      <c r="C2323" t="str">
        <f t="shared" si="391"/>
        <v/>
      </c>
      <c r="D2323" s="63" t="str">
        <f t="shared" si="392"/>
        <v/>
      </c>
      <c r="E2323">
        <f t="shared" si="393"/>
        <v>14.5833333333333</v>
      </c>
      <c r="F2323" t="str">
        <f t="shared" si="394"/>
        <v/>
      </c>
      <c r="G2323" t="str">
        <f t="shared" si="395"/>
        <v/>
      </c>
    </row>
    <row r="2324" spans="2:7">
      <c r="B2324" s="46"/>
      <c r="C2324" t="str">
        <f t="shared" si="391"/>
        <v/>
      </c>
      <c r="D2324" s="63" t="str">
        <f t="shared" si="392"/>
        <v/>
      </c>
      <c r="E2324" t="str">
        <f t="shared" si="393"/>
        <v/>
      </c>
      <c r="F2324">
        <f t="shared" si="394"/>
        <v>6.42857142857143</v>
      </c>
      <c r="G2324" t="str">
        <f t="shared" si="395"/>
        <v/>
      </c>
    </row>
    <row r="2325" spans="2:7">
      <c r="B2325" s="46"/>
      <c r="C2325" t="str">
        <f t="shared" si="391"/>
        <v/>
      </c>
      <c r="D2325" s="63" t="str">
        <f t="shared" si="392"/>
        <v/>
      </c>
      <c r="E2325" t="str">
        <f t="shared" si="393"/>
        <v/>
      </c>
      <c r="F2325" t="str">
        <f t="shared" si="394"/>
        <v/>
      </c>
      <c r="G2325">
        <f t="shared" si="395"/>
        <v>3.84591194968553</v>
      </c>
    </row>
    <row r="2326" spans="2:7">
      <c r="B2326" s="46"/>
      <c r="C2326">
        <f t="shared" si="391"/>
        <v>0.844907407407407</v>
      </c>
      <c r="D2326" s="63" t="str">
        <f t="shared" si="392"/>
        <v/>
      </c>
      <c r="E2326" t="str">
        <f t="shared" si="393"/>
        <v/>
      </c>
      <c r="F2326" t="str">
        <f t="shared" si="394"/>
        <v/>
      </c>
      <c r="G2326" t="str">
        <f t="shared" si="395"/>
        <v/>
      </c>
    </row>
    <row r="2327" spans="2:7">
      <c r="B2327" s="46"/>
      <c r="C2327">
        <f t="shared" si="391"/>
        <v>6.79803240740741</v>
      </c>
      <c r="D2327" s="63" t="str">
        <f t="shared" si="392"/>
        <v/>
      </c>
      <c r="E2327" t="str">
        <f t="shared" si="393"/>
        <v/>
      </c>
      <c r="F2327" t="str">
        <f t="shared" si="394"/>
        <v/>
      </c>
      <c r="G2327" t="str">
        <f t="shared" si="395"/>
        <v/>
      </c>
    </row>
    <row r="2328" spans="2:7">
      <c r="B2328" s="46"/>
      <c r="C2328">
        <f t="shared" si="391"/>
        <v>6.79803240740741</v>
      </c>
      <c r="D2328" s="63" t="str">
        <f t="shared" si="392"/>
        <v/>
      </c>
      <c r="E2328" t="str">
        <f t="shared" si="393"/>
        <v/>
      </c>
      <c r="F2328" t="str">
        <f t="shared" si="394"/>
        <v/>
      </c>
      <c r="G2328" t="str">
        <f t="shared" si="395"/>
        <v/>
      </c>
    </row>
    <row r="2329" spans="2:7">
      <c r="B2329" s="46"/>
      <c r="C2329">
        <f t="shared" si="391"/>
        <v>7.52719907407408</v>
      </c>
      <c r="D2329" s="63" t="str">
        <f t="shared" si="392"/>
        <v/>
      </c>
      <c r="E2329" t="str">
        <f t="shared" si="393"/>
        <v/>
      </c>
      <c r="F2329" t="str">
        <f t="shared" si="394"/>
        <v/>
      </c>
      <c r="G2329" t="str">
        <f t="shared" si="395"/>
        <v/>
      </c>
    </row>
    <row r="2330" spans="2:7">
      <c r="B2330" s="46"/>
      <c r="C2330" t="str">
        <f t="shared" si="391"/>
        <v/>
      </c>
      <c r="D2330" s="63">
        <f t="shared" si="392"/>
        <v>2.7881455399061</v>
      </c>
      <c r="E2330" t="str">
        <f t="shared" si="393"/>
        <v/>
      </c>
      <c r="F2330" t="str">
        <f t="shared" si="394"/>
        <v/>
      </c>
      <c r="G2330" t="str">
        <f t="shared" si="395"/>
        <v/>
      </c>
    </row>
    <row r="2331" spans="2:7">
      <c r="B2331" s="46"/>
      <c r="C2331" t="str">
        <f t="shared" si="391"/>
        <v/>
      </c>
      <c r="D2331" s="63">
        <f t="shared" si="392"/>
        <v>4.47535211267606</v>
      </c>
      <c r="E2331" t="str">
        <f t="shared" si="393"/>
        <v/>
      </c>
      <c r="F2331" t="str">
        <f t="shared" si="394"/>
        <v/>
      </c>
      <c r="G2331" t="str">
        <f t="shared" si="395"/>
        <v/>
      </c>
    </row>
    <row r="2332" spans="2:7">
      <c r="B2332" s="46"/>
      <c r="C2332" t="str">
        <f t="shared" si="391"/>
        <v/>
      </c>
      <c r="D2332" s="63">
        <f t="shared" si="392"/>
        <v>6.10680751173709</v>
      </c>
      <c r="E2332" t="str">
        <f t="shared" si="393"/>
        <v/>
      </c>
      <c r="F2332" t="str">
        <f t="shared" si="394"/>
        <v/>
      </c>
      <c r="G2332" t="str">
        <f t="shared" si="395"/>
        <v/>
      </c>
    </row>
    <row r="2333" spans="2:7">
      <c r="B2333" s="46"/>
      <c r="C2333" t="str">
        <f t="shared" si="391"/>
        <v/>
      </c>
      <c r="D2333" s="63">
        <f t="shared" si="392"/>
        <v>8.50821596244131</v>
      </c>
      <c r="E2333" t="str">
        <f t="shared" si="393"/>
        <v/>
      </c>
      <c r="F2333" t="str">
        <f t="shared" si="394"/>
        <v/>
      </c>
      <c r="G2333" t="str">
        <f t="shared" si="395"/>
        <v/>
      </c>
    </row>
    <row r="2334" spans="2:7">
      <c r="B2334" s="46"/>
      <c r="C2334" t="str">
        <f t="shared" si="391"/>
        <v/>
      </c>
      <c r="D2334" s="63">
        <f t="shared" si="392"/>
        <v>10.268779342723</v>
      </c>
      <c r="E2334" t="str">
        <f t="shared" si="393"/>
        <v/>
      </c>
      <c r="F2334" t="str">
        <f t="shared" si="394"/>
        <v/>
      </c>
      <c r="G2334" t="str">
        <f t="shared" si="395"/>
        <v/>
      </c>
    </row>
    <row r="2335" spans="2:7">
      <c r="B2335" s="46"/>
      <c r="C2335" t="str">
        <f t="shared" si="391"/>
        <v/>
      </c>
      <c r="D2335" s="63" t="str">
        <f t="shared" si="392"/>
        <v/>
      </c>
      <c r="E2335" t="str">
        <f t="shared" si="393"/>
        <v/>
      </c>
      <c r="F2335" t="str">
        <f t="shared" si="394"/>
        <v/>
      </c>
      <c r="G2335">
        <f t="shared" si="395"/>
        <v>7.67610062893082</v>
      </c>
    </row>
    <row r="2336" spans="2:7">
      <c r="B2336" s="46"/>
      <c r="C2336" t="str">
        <f t="shared" si="391"/>
        <v/>
      </c>
      <c r="D2336" s="63" t="str">
        <f t="shared" si="392"/>
        <v/>
      </c>
      <c r="E2336" t="str">
        <f t="shared" si="393"/>
        <v/>
      </c>
      <c r="F2336" t="str">
        <f t="shared" si="394"/>
        <v/>
      </c>
      <c r="G2336">
        <f t="shared" si="395"/>
        <v>10.3836477987421</v>
      </c>
    </row>
    <row r="2337" spans="2:7">
      <c r="B2337" s="46"/>
      <c r="C2337" t="str">
        <f t="shared" si="391"/>
        <v/>
      </c>
      <c r="D2337" s="63" t="str">
        <f t="shared" si="392"/>
        <v/>
      </c>
      <c r="E2337" t="str">
        <f t="shared" si="393"/>
        <v/>
      </c>
      <c r="F2337" t="str">
        <f t="shared" si="394"/>
        <v/>
      </c>
      <c r="G2337">
        <f t="shared" si="395"/>
        <v>13.2138364779874</v>
      </c>
    </row>
    <row r="2338" spans="2:7">
      <c r="B2338" s="46"/>
      <c r="C2338" t="str">
        <f t="shared" si="391"/>
        <v/>
      </c>
      <c r="D2338" s="63" t="str">
        <f t="shared" si="392"/>
        <v/>
      </c>
      <c r="E2338" t="str">
        <f t="shared" si="393"/>
        <v/>
      </c>
      <c r="F2338" t="str">
        <f t="shared" si="394"/>
        <v/>
      </c>
      <c r="G2338">
        <f t="shared" si="395"/>
        <v>14.7243186582809</v>
      </c>
    </row>
    <row r="2339" spans="2:7">
      <c r="B2339" s="46"/>
      <c r="C2339" t="str">
        <f t="shared" si="391"/>
        <v/>
      </c>
      <c r="D2339" s="63" t="str">
        <f t="shared" si="392"/>
        <v/>
      </c>
      <c r="E2339" t="str">
        <f t="shared" si="393"/>
        <v/>
      </c>
      <c r="F2339">
        <f t="shared" si="394"/>
        <v>9.17630385487529</v>
      </c>
      <c r="G2339" t="str">
        <f t="shared" si="395"/>
        <v/>
      </c>
    </row>
    <row r="2340" spans="2:7">
      <c r="B2340" s="46"/>
      <c r="C2340" t="str">
        <f t="shared" si="391"/>
        <v/>
      </c>
      <c r="D2340" s="63" t="str">
        <f t="shared" si="392"/>
        <v/>
      </c>
      <c r="E2340" t="str">
        <f t="shared" si="393"/>
        <v/>
      </c>
      <c r="F2340">
        <f t="shared" si="394"/>
        <v>12.328231292517</v>
      </c>
      <c r="G2340" t="str">
        <f t="shared" si="395"/>
        <v/>
      </c>
    </row>
    <row r="2341" spans="2:7">
      <c r="B2341" s="46"/>
      <c r="C2341" t="str">
        <f t="shared" si="391"/>
        <v/>
      </c>
      <c r="D2341" s="63" t="str">
        <f t="shared" si="392"/>
        <v/>
      </c>
      <c r="E2341" t="str">
        <f t="shared" si="393"/>
        <v/>
      </c>
      <c r="F2341">
        <f t="shared" si="394"/>
        <v>15.0017006802721</v>
      </c>
      <c r="G2341" t="str">
        <f t="shared" si="395"/>
        <v/>
      </c>
    </row>
    <row r="2342" spans="2:7">
      <c r="B2342" s="46"/>
      <c r="C2342">
        <f t="shared" si="391"/>
        <v>10.328125</v>
      </c>
      <c r="D2342" s="63" t="str">
        <f t="shared" si="392"/>
        <v/>
      </c>
      <c r="E2342" t="str">
        <f t="shared" si="393"/>
        <v/>
      </c>
      <c r="F2342" t="str">
        <f t="shared" si="394"/>
        <v/>
      </c>
      <c r="G2342" t="str">
        <f t="shared" si="395"/>
        <v/>
      </c>
    </row>
    <row r="2343" spans="2:7">
      <c r="B2343" s="46"/>
      <c r="C2343">
        <f t="shared" si="391"/>
        <v>14.5908564814815</v>
      </c>
      <c r="D2343" s="63" t="str">
        <f t="shared" si="392"/>
        <v/>
      </c>
      <c r="E2343" t="str">
        <f t="shared" si="393"/>
        <v/>
      </c>
      <c r="F2343" t="str">
        <f t="shared" si="394"/>
        <v/>
      </c>
      <c r="G2343" t="str">
        <f t="shared" si="395"/>
        <v/>
      </c>
    </row>
    <row r="2344" spans="2:7">
      <c r="B2344" s="46"/>
      <c r="C2344">
        <f t="shared" si="391"/>
        <v>14.9409722222222</v>
      </c>
      <c r="D2344" s="63" t="str">
        <f t="shared" si="392"/>
        <v/>
      </c>
      <c r="E2344" t="str">
        <f t="shared" si="393"/>
        <v/>
      </c>
      <c r="F2344" t="str">
        <f t="shared" si="394"/>
        <v/>
      </c>
      <c r="G2344" t="str">
        <f t="shared" si="395"/>
        <v/>
      </c>
    </row>
    <row r="2345" spans="2:7">
      <c r="B2345" s="46"/>
      <c r="C2345">
        <f t="shared" si="391"/>
        <v>19.2465277777778</v>
      </c>
      <c r="D2345" s="63" t="str">
        <f t="shared" si="392"/>
        <v/>
      </c>
      <c r="E2345" t="str">
        <f t="shared" si="393"/>
        <v/>
      </c>
      <c r="F2345" t="str">
        <f t="shared" si="394"/>
        <v/>
      </c>
      <c r="G2345" t="str">
        <f t="shared" si="395"/>
        <v/>
      </c>
    </row>
    <row r="2346" spans="2:7">
      <c r="B2346" s="46"/>
      <c r="C2346" t="str">
        <f t="shared" si="391"/>
        <v/>
      </c>
      <c r="D2346" s="63">
        <f t="shared" si="392"/>
        <v>15.0340375586854</v>
      </c>
      <c r="E2346" t="str">
        <f t="shared" si="393"/>
        <v/>
      </c>
      <c r="F2346" t="str">
        <f t="shared" si="394"/>
        <v/>
      </c>
      <c r="G2346" t="str">
        <f t="shared" si="395"/>
        <v/>
      </c>
    </row>
    <row r="2347" spans="2:7">
      <c r="B2347" s="46"/>
      <c r="C2347" t="str">
        <f t="shared" si="391"/>
        <v/>
      </c>
      <c r="D2347" s="63">
        <f t="shared" si="392"/>
        <v>15.0340375586854</v>
      </c>
      <c r="E2347" t="str">
        <f t="shared" si="393"/>
        <v/>
      </c>
      <c r="F2347" t="str">
        <f t="shared" si="394"/>
        <v/>
      </c>
      <c r="G2347" t="str">
        <f t="shared" si="395"/>
        <v/>
      </c>
    </row>
    <row r="2348" spans="2:7">
      <c r="B2348" s="46"/>
      <c r="C2348" t="str">
        <f t="shared" si="391"/>
        <v/>
      </c>
      <c r="D2348" s="63">
        <f t="shared" si="392"/>
        <v>16.1343896713615</v>
      </c>
      <c r="E2348" t="str">
        <f t="shared" si="393"/>
        <v/>
      </c>
      <c r="F2348" t="str">
        <f t="shared" si="394"/>
        <v/>
      </c>
      <c r="G2348" t="str">
        <f t="shared" si="395"/>
        <v/>
      </c>
    </row>
    <row r="2349" spans="2:7">
      <c r="B2349" s="46"/>
      <c r="C2349" t="str">
        <f t="shared" si="391"/>
        <v/>
      </c>
      <c r="D2349" s="63">
        <f t="shared" si="392"/>
        <v>16.8620892018779</v>
      </c>
      <c r="E2349" t="str">
        <f t="shared" si="393"/>
        <v/>
      </c>
      <c r="F2349" t="str">
        <f t="shared" si="394"/>
        <v/>
      </c>
      <c r="G2349" t="str">
        <f t="shared" si="395"/>
        <v/>
      </c>
    </row>
    <row r="2350" spans="2:7">
      <c r="B2350" s="46"/>
      <c r="C2350" t="str">
        <f t="shared" si="391"/>
        <v/>
      </c>
      <c r="D2350" s="63" t="str">
        <f t="shared" si="392"/>
        <v/>
      </c>
      <c r="E2350">
        <f t="shared" si="393"/>
        <v>16.1245098039216</v>
      </c>
      <c r="F2350" t="str">
        <f t="shared" si="394"/>
        <v/>
      </c>
      <c r="G2350" t="str">
        <f t="shared" si="395"/>
        <v/>
      </c>
    </row>
    <row r="2351" spans="2:7">
      <c r="B2351" s="46"/>
      <c r="C2351" t="str">
        <f t="shared" si="391"/>
        <v/>
      </c>
      <c r="D2351" s="63" t="str">
        <f t="shared" si="392"/>
        <v/>
      </c>
      <c r="E2351">
        <f t="shared" si="393"/>
        <v>17.9225490196078</v>
      </c>
      <c r="F2351" t="str">
        <f t="shared" si="394"/>
        <v/>
      </c>
      <c r="G2351" t="str">
        <f t="shared" si="395"/>
        <v/>
      </c>
    </row>
    <row r="2352" spans="2:7">
      <c r="B2352" s="46"/>
      <c r="C2352" t="str">
        <f t="shared" si="391"/>
        <v/>
      </c>
      <c r="D2352" s="63" t="str">
        <f t="shared" si="392"/>
        <v/>
      </c>
      <c r="E2352">
        <f t="shared" si="393"/>
        <v>18.7166666666667</v>
      </c>
      <c r="F2352" t="str">
        <f t="shared" si="394"/>
        <v/>
      </c>
      <c r="G2352" t="str">
        <f t="shared" si="395"/>
        <v/>
      </c>
    </row>
    <row r="2353" spans="2:7">
      <c r="B2353" s="46"/>
      <c r="C2353" t="str">
        <f t="shared" si="391"/>
        <v/>
      </c>
      <c r="D2353" s="63" t="str">
        <f t="shared" si="392"/>
        <v/>
      </c>
      <c r="E2353">
        <f t="shared" si="393"/>
        <v>18.9539215686275</v>
      </c>
      <c r="F2353" t="str">
        <f t="shared" si="394"/>
        <v/>
      </c>
      <c r="G2353" t="str">
        <f t="shared" si="395"/>
        <v/>
      </c>
    </row>
    <row r="2354" spans="2:7">
      <c r="B2354" s="46"/>
      <c r="C2354" t="str">
        <f t="shared" si="391"/>
        <v/>
      </c>
      <c r="D2354" s="63" t="str">
        <f t="shared" si="392"/>
        <v/>
      </c>
      <c r="E2354" t="str">
        <f t="shared" si="393"/>
        <v/>
      </c>
      <c r="F2354" t="str">
        <f t="shared" si="394"/>
        <v/>
      </c>
      <c r="G2354">
        <f t="shared" si="395"/>
        <v>15.4449685534591</v>
      </c>
    </row>
    <row r="2355" spans="2:7">
      <c r="B2355" s="46"/>
      <c r="C2355" t="str">
        <f t="shared" si="391"/>
        <v/>
      </c>
      <c r="D2355" s="63" t="str">
        <f t="shared" si="392"/>
        <v/>
      </c>
      <c r="E2355" t="str">
        <f t="shared" si="393"/>
        <v/>
      </c>
      <c r="F2355" t="str">
        <f t="shared" si="394"/>
        <v/>
      </c>
      <c r="G2355">
        <f t="shared" si="395"/>
        <v>16.4669811320755</v>
      </c>
    </row>
    <row r="2356" spans="2:7">
      <c r="B2356" s="46"/>
      <c r="C2356" t="str">
        <f t="shared" si="391"/>
        <v/>
      </c>
      <c r="D2356" s="63" t="str">
        <f t="shared" si="392"/>
        <v/>
      </c>
      <c r="E2356" t="str">
        <f t="shared" si="393"/>
        <v/>
      </c>
      <c r="F2356" t="str">
        <f t="shared" si="394"/>
        <v/>
      </c>
      <c r="G2356">
        <f t="shared" si="395"/>
        <v>17.7877358490566</v>
      </c>
    </row>
    <row r="2357" spans="2:7">
      <c r="B2357" s="46"/>
      <c r="C2357" t="str">
        <f t="shared" si="391"/>
        <v/>
      </c>
      <c r="D2357" s="63" t="str">
        <f t="shared" si="392"/>
        <v/>
      </c>
      <c r="E2357" t="str">
        <f t="shared" si="393"/>
        <v/>
      </c>
      <c r="F2357" t="str">
        <f t="shared" si="394"/>
        <v/>
      </c>
      <c r="G2357">
        <f t="shared" si="395"/>
        <v>18.377358490566</v>
      </c>
    </row>
    <row r="2358" spans="2:7">
      <c r="B2358" s="46"/>
      <c r="C2358" t="str">
        <f t="shared" si="391"/>
        <v/>
      </c>
      <c r="D2358" s="63" t="str">
        <f t="shared" si="392"/>
        <v/>
      </c>
      <c r="E2358" t="str">
        <f t="shared" si="393"/>
        <v/>
      </c>
      <c r="F2358">
        <f t="shared" si="394"/>
        <v>15.4234693877551</v>
      </c>
      <c r="G2358" t="str">
        <f t="shared" si="395"/>
        <v/>
      </c>
    </row>
    <row r="2359" spans="2:7">
      <c r="B2359" s="46"/>
      <c r="C2359" t="str">
        <f t="shared" si="391"/>
        <v/>
      </c>
      <c r="D2359" s="63" t="str">
        <f t="shared" si="392"/>
        <v/>
      </c>
      <c r="E2359" t="str">
        <f t="shared" si="393"/>
        <v/>
      </c>
      <c r="F2359">
        <f t="shared" si="394"/>
        <v>16.7698412698413</v>
      </c>
      <c r="G2359" t="str">
        <f t="shared" si="395"/>
        <v/>
      </c>
    </row>
    <row r="2360" spans="2:7">
      <c r="B2360" s="46"/>
      <c r="C2360" t="str">
        <f t="shared" si="391"/>
        <v/>
      </c>
      <c r="D2360" s="63" t="str">
        <f t="shared" si="392"/>
        <v/>
      </c>
      <c r="E2360" t="str">
        <f t="shared" si="393"/>
        <v/>
      </c>
      <c r="F2360">
        <f t="shared" si="394"/>
        <v>18.109410430839</v>
      </c>
      <c r="G2360" t="str">
        <f t="shared" si="395"/>
        <v/>
      </c>
    </row>
    <row r="2361" spans="2:7">
      <c r="B2361" s="46"/>
      <c r="C2361" t="str">
        <f t="shared" si="391"/>
        <v/>
      </c>
      <c r="D2361" s="63" t="str">
        <f t="shared" si="392"/>
        <v/>
      </c>
      <c r="E2361" t="str">
        <f t="shared" si="393"/>
        <v/>
      </c>
      <c r="F2361">
        <f t="shared" si="394"/>
        <v>20.1581632653061</v>
      </c>
      <c r="G2361" t="str">
        <f t="shared" si="395"/>
        <v/>
      </c>
    </row>
    <row r="2362" spans="2:7">
      <c r="B2362" s="46"/>
      <c r="C2362" t="str">
        <f t="shared" si="391"/>
        <v/>
      </c>
      <c r="D2362" s="63" t="str">
        <f t="shared" si="392"/>
        <v/>
      </c>
      <c r="E2362" t="str">
        <f t="shared" si="393"/>
        <v/>
      </c>
      <c r="F2362">
        <f t="shared" si="394"/>
        <v>22.1581632653061</v>
      </c>
      <c r="G2362" t="str">
        <f t="shared" si="395"/>
        <v/>
      </c>
    </row>
    <row r="2363" spans="2:7">
      <c r="B2363" s="46"/>
      <c r="C2363" t="str">
        <f t="shared" si="391"/>
        <v/>
      </c>
      <c r="D2363" s="63" t="str">
        <f t="shared" si="392"/>
        <v/>
      </c>
      <c r="E2363" t="str">
        <f t="shared" si="393"/>
        <v/>
      </c>
      <c r="F2363">
        <f t="shared" si="394"/>
        <v>22.8781179138322</v>
      </c>
      <c r="G2363" t="str">
        <f t="shared" si="395"/>
        <v/>
      </c>
    </row>
    <row r="2364" spans="2:7">
      <c r="B2364" s="46"/>
      <c r="C2364" t="str">
        <f t="shared" si="391"/>
        <v/>
      </c>
      <c r="D2364" s="63">
        <f t="shared" si="392"/>
        <v>17.3022300469484</v>
      </c>
      <c r="E2364" t="str">
        <f t="shared" si="393"/>
        <v/>
      </c>
      <c r="F2364" t="str">
        <f t="shared" si="394"/>
        <v/>
      </c>
      <c r="G2364" t="str">
        <f t="shared" si="395"/>
        <v/>
      </c>
    </row>
    <row r="2365" spans="2:7">
      <c r="B2365" s="46"/>
      <c r="C2365" t="str">
        <f t="shared" si="391"/>
        <v/>
      </c>
      <c r="D2365" s="63">
        <f t="shared" si="392"/>
        <v>22.837441314554</v>
      </c>
      <c r="E2365" t="str">
        <f t="shared" si="393"/>
        <v/>
      </c>
      <c r="F2365" t="str">
        <f t="shared" si="394"/>
        <v/>
      </c>
      <c r="G2365" t="str">
        <f t="shared" si="395"/>
        <v/>
      </c>
    </row>
    <row r="2366" spans="2:7">
      <c r="B2366" s="46"/>
      <c r="C2366" t="str">
        <f t="shared" si="391"/>
        <v/>
      </c>
      <c r="D2366" s="63">
        <f t="shared" si="392"/>
        <v>23.7089201877934</v>
      </c>
      <c r="E2366" t="str">
        <f t="shared" si="393"/>
        <v/>
      </c>
      <c r="F2366" t="str">
        <f t="shared" si="394"/>
        <v/>
      </c>
      <c r="G2366" t="str">
        <f t="shared" si="395"/>
        <v/>
      </c>
    </row>
    <row r="2367" spans="2:7">
      <c r="B2367" s="46"/>
      <c r="C2367" t="str">
        <f t="shared" si="391"/>
        <v/>
      </c>
      <c r="D2367" s="63">
        <f t="shared" si="392"/>
        <v>24.3427230046948</v>
      </c>
      <c r="E2367" t="str">
        <f t="shared" si="393"/>
        <v/>
      </c>
      <c r="F2367" t="str">
        <f t="shared" si="394"/>
        <v/>
      </c>
      <c r="G2367" t="str">
        <f t="shared" si="395"/>
        <v/>
      </c>
    </row>
    <row r="2368" spans="2:7">
      <c r="B2368" s="46"/>
      <c r="C2368" t="str">
        <f t="shared" si="391"/>
        <v/>
      </c>
      <c r="D2368" s="63">
        <f t="shared" si="392"/>
        <v>27.5704225352113</v>
      </c>
      <c r="E2368" t="str">
        <f t="shared" si="393"/>
        <v/>
      </c>
      <c r="F2368" t="str">
        <f t="shared" si="394"/>
        <v/>
      </c>
      <c r="G2368" t="str">
        <f t="shared" si="395"/>
        <v/>
      </c>
    </row>
    <row r="2369" spans="2:7">
      <c r="B2369" s="46"/>
      <c r="C2369" t="str">
        <f t="shared" si="391"/>
        <v/>
      </c>
      <c r="D2369" s="63" t="str">
        <f t="shared" si="392"/>
        <v/>
      </c>
      <c r="E2369" t="str">
        <f t="shared" si="393"/>
        <v/>
      </c>
      <c r="F2369" t="str">
        <f t="shared" si="394"/>
        <v/>
      </c>
      <c r="G2369">
        <f t="shared" si="395"/>
        <v>19.1949685534591</v>
      </c>
    </row>
    <row r="2370" spans="2:7">
      <c r="B2370" s="46"/>
      <c r="C2370" t="str">
        <f t="shared" si="391"/>
        <v/>
      </c>
      <c r="D2370" s="63" t="str">
        <f t="shared" si="392"/>
        <v/>
      </c>
      <c r="E2370" t="str">
        <f t="shared" si="393"/>
        <v/>
      </c>
      <c r="F2370" t="str">
        <f t="shared" si="394"/>
        <v/>
      </c>
      <c r="G2370">
        <f t="shared" si="395"/>
        <v>21.9606918238994</v>
      </c>
    </row>
    <row r="2371" spans="2:7">
      <c r="B2371" s="46"/>
      <c r="C2371" t="str">
        <f t="shared" si="391"/>
        <v/>
      </c>
      <c r="D2371" s="63" t="str">
        <f t="shared" si="392"/>
        <v/>
      </c>
      <c r="E2371" t="str">
        <f t="shared" si="393"/>
        <v/>
      </c>
      <c r="F2371" t="str">
        <f t="shared" si="394"/>
        <v/>
      </c>
      <c r="G2371">
        <f t="shared" si="395"/>
        <v>21.9606918238994</v>
      </c>
    </row>
    <row r="2372" spans="2:7">
      <c r="B2372" s="46"/>
      <c r="C2372" t="str">
        <f t="shared" si="391"/>
        <v/>
      </c>
      <c r="D2372" s="63" t="str">
        <f t="shared" si="392"/>
        <v/>
      </c>
      <c r="E2372" t="str">
        <f t="shared" si="393"/>
        <v/>
      </c>
      <c r="F2372" t="str">
        <f t="shared" si="394"/>
        <v/>
      </c>
      <c r="G2372">
        <f t="shared" si="395"/>
        <v>25.2222222222222</v>
      </c>
    </row>
    <row r="2373" spans="2:7">
      <c r="B2373" s="46"/>
      <c r="C2373" t="str">
        <f t="shared" si="391"/>
        <v/>
      </c>
      <c r="D2373" s="63" t="str">
        <f t="shared" si="392"/>
        <v/>
      </c>
      <c r="E2373">
        <f t="shared" si="393"/>
        <v>22.268137254902</v>
      </c>
      <c r="F2373" t="str">
        <f t="shared" si="394"/>
        <v/>
      </c>
      <c r="G2373" t="str">
        <f t="shared" si="395"/>
        <v/>
      </c>
    </row>
    <row r="2374" spans="2:7">
      <c r="B2374" s="46"/>
      <c r="C2374" t="str">
        <f t="shared" si="391"/>
        <v/>
      </c>
      <c r="D2374" s="63" t="str">
        <f t="shared" si="392"/>
        <v/>
      </c>
      <c r="E2374">
        <f t="shared" si="393"/>
        <v>22.268137254902</v>
      </c>
      <c r="F2374" t="str">
        <f t="shared" si="394"/>
        <v/>
      </c>
      <c r="G2374" t="str">
        <f t="shared" si="395"/>
        <v/>
      </c>
    </row>
    <row r="2375" spans="2:7">
      <c r="B2375" s="46"/>
      <c r="C2375" t="str">
        <f t="shared" si="391"/>
        <v/>
      </c>
      <c r="D2375" s="63" t="str">
        <f t="shared" si="392"/>
        <v/>
      </c>
      <c r="E2375">
        <f t="shared" si="393"/>
        <v>24.6995098039216</v>
      </c>
      <c r="F2375" t="str">
        <f t="shared" si="394"/>
        <v/>
      </c>
      <c r="G2375" t="str">
        <f t="shared" si="395"/>
        <v/>
      </c>
    </row>
    <row r="2376" spans="2:7">
      <c r="B2376" s="46"/>
      <c r="C2376" t="str">
        <f t="shared" si="391"/>
        <v/>
      </c>
      <c r="D2376" s="63" t="str">
        <f t="shared" si="392"/>
        <v/>
      </c>
      <c r="E2376">
        <f t="shared" si="393"/>
        <v>25.3416666666667</v>
      </c>
      <c r="F2376" t="str">
        <f t="shared" si="394"/>
        <v/>
      </c>
      <c r="G2376" t="str">
        <f t="shared" si="395"/>
        <v/>
      </c>
    </row>
    <row r="2377" spans="2:7">
      <c r="B2377" s="46"/>
      <c r="C2377">
        <f t="shared" si="391"/>
        <v>19.5358796296296</v>
      </c>
      <c r="D2377" s="63" t="str">
        <f t="shared" si="392"/>
        <v/>
      </c>
      <c r="E2377" t="str">
        <f t="shared" si="393"/>
        <v/>
      </c>
      <c r="F2377" t="str">
        <f t="shared" si="394"/>
        <v/>
      </c>
      <c r="G2377" t="str">
        <f t="shared" si="395"/>
        <v/>
      </c>
    </row>
    <row r="2378" spans="2:7">
      <c r="B2378" s="46"/>
      <c r="C2378">
        <f t="shared" si="391"/>
        <v>20.1608796296296</v>
      </c>
      <c r="D2378" s="63" t="str">
        <f t="shared" si="392"/>
        <v/>
      </c>
      <c r="E2378" t="str">
        <f t="shared" si="393"/>
        <v/>
      </c>
      <c r="F2378" t="str">
        <f t="shared" si="394"/>
        <v/>
      </c>
      <c r="G2378" t="str">
        <f t="shared" si="395"/>
        <v/>
      </c>
    </row>
    <row r="2379" ht="15.75" spans="2:7">
      <c r="B2379" s="46"/>
      <c r="C2379">
        <f t="shared" si="391"/>
        <v>21.7233796296296</v>
      </c>
      <c r="D2379" s="63" t="str">
        <f t="shared" si="392"/>
        <v/>
      </c>
      <c r="E2379" t="str">
        <f t="shared" si="393"/>
        <v/>
      </c>
      <c r="F2379" t="str">
        <f t="shared" si="394"/>
        <v/>
      </c>
      <c r="G2379" t="str">
        <f t="shared" si="395"/>
        <v/>
      </c>
    </row>
    <row r="2380" spans="2:7">
      <c r="B2380" s="74" t="s">
        <v>269</v>
      </c>
      <c r="C2380" s="75">
        <f>MAX(C2318:C2379)</f>
        <v>21.7233796296296</v>
      </c>
      <c r="D2380" s="75">
        <f t="shared" ref="D2380:G2380" si="396">MAX(D2318:D2379)</f>
        <v>27.5704225352113</v>
      </c>
      <c r="E2380" s="75">
        <f t="shared" si="396"/>
        <v>25.3416666666667</v>
      </c>
      <c r="F2380" s="75">
        <f t="shared" si="396"/>
        <v>22.8781179138322</v>
      </c>
      <c r="G2380" s="75">
        <f t="shared" si="396"/>
        <v>25.2222222222222</v>
      </c>
    </row>
    <row r="2381" spans="2:7">
      <c r="B2381" s="76" t="s">
        <v>270</v>
      </c>
      <c r="C2381" s="77">
        <v>1</v>
      </c>
      <c r="D2381" s="78">
        <v>2</v>
      </c>
      <c r="E2381">
        <v>3</v>
      </c>
      <c r="F2381">
        <v>4</v>
      </c>
      <c r="G2381">
        <v>5</v>
      </c>
    </row>
    <row r="2382" spans="2:7">
      <c r="B2382" s="79" t="s">
        <v>271</v>
      </c>
      <c r="C2382" s="72">
        <f>HLOOKUP(MIN(C2380:G2380),C2380:G2381,2,FALSE)</f>
        <v>1</v>
      </c>
      <c r="D2382" s="80"/>
    </row>
    <row r="2384" ht="15.75" spans="2:7">
      <c r="B2384" s="43" t="s">
        <v>333</v>
      </c>
      <c r="C2384" s="44"/>
      <c r="D2384" s="45"/>
    </row>
    <row r="2385" spans="2:7">
      <c r="B2385" s="46"/>
      <c r="C2385" s="61" t="s">
        <v>264</v>
      </c>
      <c r="D2385" s="61" t="s">
        <v>265</v>
      </c>
      <c r="E2385" s="62" t="s">
        <v>286</v>
      </c>
      <c r="F2385" s="62" t="s">
        <v>287</v>
      </c>
      <c r="G2385" s="62" t="s">
        <v>288</v>
      </c>
    </row>
    <row r="2386" spans="2:7">
      <c r="B2386" s="46"/>
      <c r="C2386">
        <f t="shared" ref="C2386:C2448" si="397">IF(J8=1,S8,"")</f>
        <v>0.700231481481482</v>
      </c>
      <c r="D2386" s="63" t="str">
        <f t="shared" ref="D2386:D2448" si="398">IF(J8=2,S8,"")</f>
        <v/>
      </c>
      <c r="E2386" t="str">
        <f t="shared" ref="E2386:E2448" si="399">IF(J8=3,S8,"")</f>
        <v/>
      </c>
      <c r="F2386" t="str">
        <f t="shared" ref="F2386:F2448" si="400">IF(J8=4,S8,"")</f>
        <v/>
      </c>
      <c r="G2386" t="str">
        <f t="shared" ref="G2386:G2448" si="401">IF(J8=5,S8,"")</f>
        <v/>
      </c>
    </row>
    <row r="2387" spans="2:7">
      <c r="B2387" s="46"/>
      <c r="C2387" t="str">
        <f t="shared" si="397"/>
        <v/>
      </c>
      <c r="D2387" s="63">
        <f t="shared" si="398"/>
        <v>0.734154929577465</v>
      </c>
      <c r="E2387" t="str">
        <f t="shared" si="399"/>
        <v/>
      </c>
      <c r="F2387" t="str">
        <f t="shared" si="400"/>
        <v/>
      </c>
      <c r="G2387" t="str">
        <f t="shared" si="401"/>
        <v/>
      </c>
    </row>
    <row r="2388" spans="2:7">
      <c r="B2388" s="46"/>
      <c r="C2388" t="str">
        <f t="shared" si="397"/>
        <v/>
      </c>
      <c r="D2388" s="63" t="str">
        <f t="shared" si="398"/>
        <v/>
      </c>
      <c r="E2388">
        <f t="shared" si="399"/>
        <v>1.83823529411765</v>
      </c>
      <c r="F2388" t="str">
        <f t="shared" si="400"/>
        <v/>
      </c>
      <c r="G2388" t="str">
        <f t="shared" si="401"/>
        <v/>
      </c>
    </row>
    <row r="2389" spans="2:7">
      <c r="B2389" s="46"/>
      <c r="C2389" t="str">
        <f t="shared" si="397"/>
        <v/>
      </c>
      <c r="D2389" s="63" t="str">
        <f t="shared" si="398"/>
        <v/>
      </c>
      <c r="E2389" t="str">
        <f t="shared" si="399"/>
        <v/>
      </c>
      <c r="F2389">
        <f t="shared" si="400"/>
        <v>4.28571428571429</v>
      </c>
      <c r="G2389" t="str">
        <f t="shared" si="401"/>
        <v/>
      </c>
    </row>
    <row r="2390" spans="2:7">
      <c r="B2390" s="46"/>
      <c r="C2390" t="str">
        <f t="shared" si="397"/>
        <v/>
      </c>
      <c r="D2390" s="63" t="str">
        <f t="shared" si="398"/>
        <v/>
      </c>
      <c r="E2390" t="str">
        <f t="shared" si="399"/>
        <v/>
      </c>
      <c r="F2390" t="str">
        <f t="shared" si="400"/>
        <v/>
      </c>
      <c r="G2390">
        <f t="shared" si="401"/>
        <v>3.43396226415094</v>
      </c>
    </row>
    <row r="2391" spans="2:7">
      <c r="B2391" s="46"/>
      <c r="C2391" t="str">
        <f t="shared" si="397"/>
        <v/>
      </c>
      <c r="D2391" s="63" t="str">
        <f t="shared" si="398"/>
        <v/>
      </c>
      <c r="E2391">
        <f t="shared" si="399"/>
        <v>14.5833333333333</v>
      </c>
      <c r="F2391" t="str">
        <f t="shared" si="400"/>
        <v/>
      </c>
      <c r="G2391" t="str">
        <f t="shared" si="401"/>
        <v/>
      </c>
    </row>
    <row r="2392" spans="2:7">
      <c r="B2392" s="46"/>
      <c r="C2392" t="str">
        <f t="shared" si="397"/>
        <v/>
      </c>
      <c r="D2392" s="63" t="str">
        <f t="shared" si="398"/>
        <v/>
      </c>
      <c r="E2392" t="str">
        <f t="shared" si="399"/>
        <v/>
      </c>
      <c r="F2392">
        <f t="shared" si="400"/>
        <v>6.42857142857143</v>
      </c>
      <c r="G2392" t="str">
        <f t="shared" si="401"/>
        <v/>
      </c>
    </row>
    <row r="2393" spans="2:7">
      <c r="B2393" s="46"/>
      <c r="C2393" t="str">
        <f t="shared" si="397"/>
        <v/>
      </c>
      <c r="D2393" s="63" t="str">
        <f t="shared" si="398"/>
        <v/>
      </c>
      <c r="E2393" t="str">
        <f t="shared" si="399"/>
        <v/>
      </c>
      <c r="F2393" t="str">
        <f t="shared" si="400"/>
        <v/>
      </c>
      <c r="G2393">
        <f t="shared" si="401"/>
        <v>3.84591194968553</v>
      </c>
    </row>
    <row r="2394" spans="2:7">
      <c r="B2394" s="46"/>
      <c r="C2394">
        <f t="shared" si="397"/>
        <v>0.844907407407407</v>
      </c>
      <c r="D2394" s="63" t="str">
        <f t="shared" si="398"/>
        <v/>
      </c>
      <c r="E2394" t="str">
        <f t="shared" si="399"/>
        <v/>
      </c>
      <c r="F2394" t="str">
        <f t="shared" si="400"/>
        <v/>
      </c>
      <c r="G2394" t="str">
        <f t="shared" si="401"/>
        <v/>
      </c>
    </row>
    <row r="2395" spans="2:7">
      <c r="B2395" s="46"/>
      <c r="C2395">
        <f t="shared" si="397"/>
        <v>6.79803240740741</v>
      </c>
      <c r="D2395" s="63" t="str">
        <f t="shared" si="398"/>
        <v/>
      </c>
      <c r="E2395" t="str">
        <f t="shared" si="399"/>
        <v/>
      </c>
      <c r="F2395" t="str">
        <f t="shared" si="400"/>
        <v/>
      </c>
      <c r="G2395" t="str">
        <f t="shared" si="401"/>
        <v/>
      </c>
    </row>
    <row r="2396" spans="2:7">
      <c r="B2396" s="46"/>
      <c r="C2396">
        <f t="shared" si="397"/>
        <v>6.79803240740741</v>
      </c>
      <c r="D2396" s="63" t="str">
        <f t="shared" si="398"/>
        <v/>
      </c>
      <c r="E2396" t="str">
        <f t="shared" si="399"/>
        <v/>
      </c>
      <c r="F2396" t="str">
        <f t="shared" si="400"/>
        <v/>
      </c>
      <c r="G2396" t="str">
        <f t="shared" si="401"/>
        <v/>
      </c>
    </row>
    <row r="2397" spans="2:7">
      <c r="B2397" s="46"/>
      <c r="C2397">
        <f t="shared" si="397"/>
        <v>7.52719907407408</v>
      </c>
      <c r="D2397" s="63" t="str">
        <f t="shared" si="398"/>
        <v/>
      </c>
      <c r="E2397" t="str">
        <f t="shared" si="399"/>
        <v/>
      </c>
      <c r="F2397" t="str">
        <f t="shared" si="400"/>
        <v/>
      </c>
      <c r="G2397" t="str">
        <f t="shared" si="401"/>
        <v/>
      </c>
    </row>
    <row r="2398" spans="2:7">
      <c r="B2398" s="46"/>
      <c r="C2398" t="str">
        <f t="shared" si="397"/>
        <v/>
      </c>
      <c r="D2398" s="63">
        <f t="shared" si="398"/>
        <v>2.7881455399061</v>
      </c>
      <c r="E2398" t="str">
        <f t="shared" si="399"/>
        <v/>
      </c>
      <c r="F2398" t="str">
        <f t="shared" si="400"/>
        <v/>
      </c>
      <c r="G2398" t="str">
        <f t="shared" si="401"/>
        <v/>
      </c>
    </row>
    <row r="2399" spans="2:7">
      <c r="B2399" s="46"/>
      <c r="C2399" t="str">
        <f t="shared" si="397"/>
        <v/>
      </c>
      <c r="D2399" s="63">
        <f t="shared" si="398"/>
        <v>4.47535211267606</v>
      </c>
      <c r="E2399" t="str">
        <f t="shared" si="399"/>
        <v/>
      </c>
      <c r="F2399" t="str">
        <f t="shared" si="400"/>
        <v/>
      </c>
      <c r="G2399" t="str">
        <f t="shared" si="401"/>
        <v/>
      </c>
    </row>
    <row r="2400" spans="2:7">
      <c r="B2400" s="46"/>
      <c r="C2400" t="str">
        <f t="shared" si="397"/>
        <v/>
      </c>
      <c r="D2400" s="63">
        <f t="shared" si="398"/>
        <v>6.10680751173709</v>
      </c>
      <c r="E2400" t="str">
        <f t="shared" si="399"/>
        <v/>
      </c>
      <c r="F2400" t="str">
        <f t="shared" si="400"/>
        <v/>
      </c>
      <c r="G2400" t="str">
        <f t="shared" si="401"/>
        <v/>
      </c>
    </row>
    <row r="2401" spans="2:7">
      <c r="B2401" s="46"/>
      <c r="C2401" t="str">
        <f t="shared" si="397"/>
        <v/>
      </c>
      <c r="D2401" s="63">
        <f t="shared" si="398"/>
        <v>8.50821596244131</v>
      </c>
      <c r="E2401" t="str">
        <f t="shared" si="399"/>
        <v/>
      </c>
      <c r="F2401" t="str">
        <f t="shared" si="400"/>
        <v/>
      </c>
      <c r="G2401" t="str">
        <f t="shared" si="401"/>
        <v/>
      </c>
    </row>
    <row r="2402" spans="2:7">
      <c r="B2402" s="46"/>
      <c r="C2402" t="str">
        <f t="shared" si="397"/>
        <v/>
      </c>
      <c r="D2402" s="63">
        <f t="shared" si="398"/>
        <v>10.268779342723</v>
      </c>
      <c r="E2402" t="str">
        <f t="shared" si="399"/>
        <v/>
      </c>
      <c r="F2402" t="str">
        <f t="shared" si="400"/>
        <v/>
      </c>
      <c r="G2402" t="str">
        <f t="shared" si="401"/>
        <v/>
      </c>
    </row>
    <row r="2403" spans="2:7">
      <c r="B2403" s="46"/>
      <c r="C2403" t="str">
        <f t="shared" si="397"/>
        <v/>
      </c>
      <c r="D2403" s="63" t="str">
        <f t="shared" si="398"/>
        <v/>
      </c>
      <c r="E2403" t="str">
        <f t="shared" si="399"/>
        <v/>
      </c>
      <c r="F2403" t="str">
        <f t="shared" si="400"/>
        <v/>
      </c>
      <c r="G2403">
        <f t="shared" si="401"/>
        <v>7.67610062893082</v>
      </c>
    </row>
    <row r="2404" spans="2:7">
      <c r="B2404" s="46"/>
      <c r="C2404" t="str">
        <f t="shared" si="397"/>
        <v/>
      </c>
      <c r="D2404" s="63" t="str">
        <f t="shared" si="398"/>
        <v/>
      </c>
      <c r="E2404" t="str">
        <f t="shared" si="399"/>
        <v/>
      </c>
      <c r="F2404" t="str">
        <f t="shared" si="400"/>
        <v/>
      </c>
      <c r="G2404">
        <f t="shared" si="401"/>
        <v>10.3836477987421</v>
      </c>
    </row>
    <row r="2405" spans="2:7">
      <c r="B2405" s="46"/>
      <c r="C2405" t="str">
        <f t="shared" si="397"/>
        <v/>
      </c>
      <c r="D2405" s="63" t="str">
        <f t="shared" si="398"/>
        <v/>
      </c>
      <c r="E2405" t="str">
        <f t="shared" si="399"/>
        <v/>
      </c>
      <c r="F2405" t="str">
        <f t="shared" si="400"/>
        <v/>
      </c>
      <c r="G2405">
        <f t="shared" si="401"/>
        <v>13.2138364779874</v>
      </c>
    </row>
    <row r="2406" spans="2:7">
      <c r="B2406" s="46"/>
      <c r="C2406" t="str">
        <f t="shared" si="397"/>
        <v/>
      </c>
      <c r="D2406" s="63" t="str">
        <f t="shared" si="398"/>
        <v/>
      </c>
      <c r="E2406" t="str">
        <f t="shared" si="399"/>
        <v/>
      </c>
      <c r="F2406" t="str">
        <f t="shared" si="400"/>
        <v/>
      </c>
      <c r="G2406">
        <f t="shared" si="401"/>
        <v>14.7243186582809</v>
      </c>
    </row>
    <row r="2407" spans="2:7">
      <c r="B2407" s="46"/>
      <c r="C2407" t="str">
        <f t="shared" si="397"/>
        <v/>
      </c>
      <c r="D2407" s="63" t="str">
        <f t="shared" si="398"/>
        <v/>
      </c>
      <c r="E2407" t="str">
        <f t="shared" si="399"/>
        <v/>
      </c>
      <c r="F2407">
        <f t="shared" si="400"/>
        <v>9.17630385487529</v>
      </c>
      <c r="G2407" t="str">
        <f t="shared" si="401"/>
        <v/>
      </c>
    </row>
    <row r="2408" spans="2:7">
      <c r="B2408" s="46"/>
      <c r="C2408" t="str">
        <f t="shared" si="397"/>
        <v/>
      </c>
      <c r="D2408" s="63" t="str">
        <f t="shared" si="398"/>
        <v/>
      </c>
      <c r="E2408" t="str">
        <f t="shared" si="399"/>
        <v/>
      </c>
      <c r="F2408">
        <f t="shared" si="400"/>
        <v>12.328231292517</v>
      </c>
      <c r="G2408" t="str">
        <f t="shared" si="401"/>
        <v/>
      </c>
    </row>
    <row r="2409" spans="2:7">
      <c r="B2409" s="46"/>
      <c r="C2409" t="str">
        <f t="shared" si="397"/>
        <v/>
      </c>
      <c r="D2409" s="63" t="str">
        <f t="shared" si="398"/>
        <v/>
      </c>
      <c r="E2409" t="str">
        <f t="shared" si="399"/>
        <v/>
      </c>
      <c r="F2409">
        <f t="shared" si="400"/>
        <v>15.0017006802721</v>
      </c>
      <c r="G2409" t="str">
        <f t="shared" si="401"/>
        <v/>
      </c>
    </row>
    <row r="2410" spans="2:7">
      <c r="B2410" s="46"/>
      <c r="C2410">
        <f t="shared" si="397"/>
        <v>10.328125</v>
      </c>
      <c r="D2410" s="63" t="str">
        <f t="shared" si="398"/>
        <v/>
      </c>
      <c r="E2410" t="str">
        <f t="shared" si="399"/>
        <v/>
      </c>
      <c r="F2410" t="str">
        <f t="shared" si="400"/>
        <v/>
      </c>
      <c r="G2410" t="str">
        <f t="shared" si="401"/>
        <v/>
      </c>
    </row>
    <row r="2411" spans="2:7">
      <c r="B2411" s="46"/>
      <c r="C2411">
        <f t="shared" si="397"/>
        <v>14.5908564814815</v>
      </c>
      <c r="D2411" s="63" t="str">
        <f t="shared" si="398"/>
        <v/>
      </c>
      <c r="E2411" t="str">
        <f t="shared" si="399"/>
        <v/>
      </c>
      <c r="F2411" t="str">
        <f t="shared" si="400"/>
        <v/>
      </c>
      <c r="G2411" t="str">
        <f t="shared" si="401"/>
        <v/>
      </c>
    </row>
    <row r="2412" spans="2:7">
      <c r="B2412" s="46"/>
      <c r="C2412">
        <f t="shared" si="397"/>
        <v>14.9409722222222</v>
      </c>
      <c r="D2412" s="63" t="str">
        <f t="shared" si="398"/>
        <v/>
      </c>
      <c r="E2412" t="str">
        <f t="shared" si="399"/>
        <v/>
      </c>
      <c r="F2412" t="str">
        <f t="shared" si="400"/>
        <v/>
      </c>
      <c r="G2412" t="str">
        <f t="shared" si="401"/>
        <v/>
      </c>
    </row>
    <row r="2413" spans="2:7">
      <c r="B2413" s="46"/>
      <c r="C2413">
        <f t="shared" si="397"/>
        <v>19.2465277777778</v>
      </c>
      <c r="D2413" s="63" t="str">
        <f t="shared" si="398"/>
        <v/>
      </c>
      <c r="E2413" t="str">
        <f t="shared" si="399"/>
        <v/>
      </c>
      <c r="F2413" t="str">
        <f t="shared" si="400"/>
        <v/>
      </c>
      <c r="G2413" t="str">
        <f t="shared" si="401"/>
        <v/>
      </c>
    </row>
    <row r="2414" spans="2:7">
      <c r="B2414" s="46"/>
      <c r="C2414" t="str">
        <f t="shared" si="397"/>
        <v/>
      </c>
      <c r="D2414" s="63">
        <f t="shared" si="398"/>
        <v>15.0340375586854</v>
      </c>
      <c r="E2414" t="str">
        <f t="shared" si="399"/>
        <v/>
      </c>
      <c r="F2414" t="str">
        <f t="shared" si="400"/>
        <v/>
      </c>
      <c r="G2414" t="str">
        <f t="shared" si="401"/>
        <v/>
      </c>
    </row>
    <row r="2415" spans="2:7">
      <c r="B2415" s="46"/>
      <c r="C2415" t="str">
        <f t="shared" si="397"/>
        <v/>
      </c>
      <c r="D2415" s="63">
        <f t="shared" si="398"/>
        <v>15.0340375586854</v>
      </c>
      <c r="E2415" t="str">
        <f t="shared" si="399"/>
        <v/>
      </c>
      <c r="F2415" t="str">
        <f t="shared" si="400"/>
        <v/>
      </c>
      <c r="G2415" t="str">
        <f t="shared" si="401"/>
        <v/>
      </c>
    </row>
    <row r="2416" spans="2:7">
      <c r="B2416" s="46"/>
      <c r="C2416" t="str">
        <f t="shared" si="397"/>
        <v/>
      </c>
      <c r="D2416" s="63">
        <f t="shared" si="398"/>
        <v>16.1343896713615</v>
      </c>
      <c r="E2416" t="str">
        <f t="shared" si="399"/>
        <v/>
      </c>
      <c r="F2416" t="str">
        <f t="shared" si="400"/>
        <v/>
      </c>
      <c r="G2416" t="str">
        <f t="shared" si="401"/>
        <v/>
      </c>
    </row>
    <row r="2417" spans="2:7">
      <c r="B2417" s="46"/>
      <c r="C2417" t="str">
        <f t="shared" si="397"/>
        <v/>
      </c>
      <c r="D2417" s="63">
        <f t="shared" si="398"/>
        <v>16.8620892018779</v>
      </c>
      <c r="E2417" t="str">
        <f t="shared" si="399"/>
        <v/>
      </c>
      <c r="F2417" t="str">
        <f t="shared" si="400"/>
        <v/>
      </c>
      <c r="G2417" t="str">
        <f t="shared" si="401"/>
        <v/>
      </c>
    </row>
    <row r="2418" spans="2:7">
      <c r="B2418" s="46"/>
      <c r="C2418" t="str">
        <f t="shared" si="397"/>
        <v/>
      </c>
      <c r="D2418" s="63" t="str">
        <f t="shared" si="398"/>
        <v/>
      </c>
      <c r="E2418">
        <f t="shared" si="399"/>
        <v>16.1245098039216</v>
      </c>
      <c r="F2418" t="str">
        <f t="shared" si="400"/>
        <v/>
      </c>
      <c r="G2418" t="str">
        <f t="shared" si="401"/>
        <v/>
      </c>
    </row>
    <row r="2419" spans="2:7">
      <c r="B2419" s="46"/>
      <c r="C2419" t="str">
        <f t="shared" si="397"/>
        <v/>
      </c>
      <c r="D2419" s="63" t="str">
        <f t="shared" si="398"/>
        <v/>
      </c>
      <c r="E2419">
        <f t="shared" si="399"/>
        <v>17.9225490196078</v>
      </c>
      <c r="F2419" t="str">
        <f t="shared" si="400"/>
        <v/>
      </c>
      <c r="G2419" t="str">
        <f t="shared" si="401"/>
        <v/>
      </c>
    </row>
    <row r="2420" spans="2:7">
      <c r="B2420" s="46"/>
      <c r="C2420" t="str">
        <f t="shared" si="397"/>
        <v/>
      </c>
      <c r="D2420" s="63" t="str">
        <f t="shared" si="398"/>
        <v/>
      </c>
      <c r="E2420">
        <f t="shared" si="399"/>
        <v>18.7166666666667</v>
      </c>
      <c r="F2420" t="str">
        <f t="shared" si="400"/>
        <v/>
      </c>
      <c r="G2420" t="str">
        <f t="shared" si="401"/>
        <v/>
      </c>
    </row>
    <row r="2421" spans="2:7">
      <c r="B2421" s="46"/>
      <c r="C2421" t="str">
        <f t="shared" si="397"/>
        <v/>
      </c>
      <c r="D2421" s="63" t="str">
        <f t="shared" si="398"/>
        <v/>
      </c>
      <c r="E2421">
        <f t="shared" si="399"/>
        <v>18.9539215686275</v>
      </c>
      <c r="F2421" t="str">
        <f t="shared" si="400"/>
        <v/>
      </c>
      <c r="G2421" t="str">
        <f t="shared" si="401"/>
        <v/>
      </c>
    </row>
    <row r="2422" spans="2:7">
      <c r="B2422" s="46"/>
      <c r="C2422" t="str">
        <f t="shared" si="397"/>
        <v/>
      </c>
      <c r="D2422" s="63" t="str">
        <f t="shared" si="398"/>
        <v/>
      </c>
      <c r="E2422" t="str">
        <f t="shared" si="399"/>
        <v/>
      </c>
      <c r="F2422" t="str">
        <f t="shared" si="400"/>
        <v/>
      </c>
      <c r="G2422">
        <f t="shared" si="401"/>
        <v>15.4449685534591</v>
      </c>
    </row>
    <row r="2423" spans="2:7">
      <c r="B2423" s="46"/>
      <c r="C2423" t="str">
        <f t="shared" si="397"/>
        <v/>
      </c>
      <c r="D2423" s="63" t="str">
        <f t="shared" si="398"/>
        <v/>
      </c>
      <c r="E2423" t="str">
        <f t="shared" si="399"/>
        <v/>
      </c>
      <c r="F2423" t="str">
        <f t="shared" si="400"/>
        <v/>
      </c>
      <c r="G2423">
        <f t="shared" si="401"/>
        <v>16.4669811320755</v>
      </c>
    </row>
    <row r="2424" spans="2:7">
      <c r="B2424" s="46"/>
      <c r="C2424" t="str">
        <f t="shared" si="397"/>
        <v/>
      </c>
      <c r="D2424" s="63" t="str">
        <f t="shared" si="398"/>
        <v/>
      </c>
      <c r="E2424" t="str">
        <f t="shared" si="399"/>
        <v/>
      </c>
      <c r="F2424" t="str">
        <f t="shared" si="400"/>
        <v/>
      </c>
      <c r="G2424">
        <f t="shared" si="401"/>
        <v>17.7877358490566</v>
      </c>
    </row>
    <row r="2425" spans="2:7">
      <c r="B2425" s="46"/>
      <c r="C2425" t="str">
        <f t="shared" si="397"/>
        <v/>
      </c>
      <c r="D2425" s="63" t="str">
        <f t="shared" si="398"/>
        <v/>
      </c>
      <c r="E2425" t="str">
        <f t="shared" si="399"/>
        <v/>
      </c>
      <c r="F2425" t="str">
        <f t="shared" si="400"/>
        <v/>
      </c>
      <c r="G2425">
        <f t="shared" si="401"/>
        <v>18.377358490566</v>
      </c>
    </row>
    <row r="2426" spans="2:7">
      <c r="B2426" s="46"/>
      <c r="C2426" t="str">
        <f t="shared" si="397"/>
        <v/>
      </c>
      <c r="D2426" s="63" t="str">
        <f t="shared" si="398"/>
        <v/>
      </c>
      <c r="E2426" t="str">
        <f t="shared" si="399"/>
        <v/>
      </c>
      <c r="F2426">
        <f t="shared" si="400"/>
        <v>15.4234693877551</v>
      </c>
      <c r="G2426" t="str">
        <f t="shared" si="401"/>
        <v/>
      </c>
    </row>
    <row r="2427" spans="2:7">
      <c r="B2427" s="46"/>
      <c r="C2427" t="str">
        <f t="shared" si="397"/>
        <v/>
      </c>
      <c r="D2427" s="63" t="str">
        <f t="shared" si="398"/>
        <v/>
      </c>
      <c r="E2427" t="str">
        <f t="shared" si="399"/>
        <v/>
      </c>
      <c r="F2427">
        <f t="shared" si="400"/>
        <v>16.7698412698413</v>
      </c>
      <c r="G2427" t="str">
        <f t="shared" si="401"/>
        <v/>
      </c>
    </row>
    <row r="2428" spans="2:7">
      <c r="B2428" s="46"/>
      <c r="C2428" t="str">
        <f t="shared" si="397"/>
        <v/>
      </c>
      <c r="D2428" s="63" t="str">
        <f t="shared" si="398"/>
        <v/>
      </c>
      <c r="E2428" t="str">
        <f t="shared" si="399"/>
        <v/>
      </c>
      <c r="F2428">
        <f t="shared" si="400"/>
        <v>18.109410430839</v>
      </c>
      <c r="G2428" t="str">
        <f t="shared" si="401"/>
        <v/>
      </c>
    </row>
    <row r="2429" spans="2:7">
      <c r="B2429" s="46"/>
      <c r="C2429" t="str">
        <f t="shared" si="397"/>
        <v/>
      </c>
      <c r="D2429" s="63" t="str">
        <f t="shared" si="398"/>
        <v/>
      </c>
      <c r="E2429" t="str">
        <f t="shared" si="399"/>
        <v/>
      </c>
      <c r="F2429">
        <f t="shared" si="400"/>
        <v>20.1581632653061</v>
      </c>
      <c r="G2429" t="str">
        <f t="shared" si="401"/>
        <v/>
      </c>
    </row>
    <row r="2430" spans="2:7">
      <c r="B2430" s="46"/>
      <c r="C2430" t="str">
        <f t="shared" si="397"/>
        <v/>
      </c>
      <c r="D2430" s="63" t="str">
        <f t="shared" si="398"/>
        <v/>
      </c>
      <c r="E2430" t="str">
        <f t="shared" si="399"/>
        <v/>
      </c>
      <c r="F2430">
        <f t="shared" si="400"/>
        <v>22.1581632653061</v>
      </c>
      <c r="G2430" t="str">
        <f t="shared" si="401"/>
        <v/>
      </c>
    </row>
    <row r="2431" spans="2:7">
      <c r="B2431" s="46"/>
      <c r="C2431" t="str">
        <f t="shared" si="397"/>
        <v/>
      </c>
      <c r="D2431" s="63" t="str">
        <f t="shared" si="398"/>
        <v/>
      </c>
      <c r="E2431" t="str">
        <f t="shared" si="399"/>
        <v/>
      </c>
      <c r="F2431">
        <f t="shared" si="400"/>
        <v>22.8781179138322</v>
      </c>
      <c r="G2431" t="str">
        <f t="shared" si="401"/>
        <v/>
      </c>
    </row>
    <row r="2432" spans="2:7">
      <c r="B2432" s="46"/>
      <c r="C2432" t="str">
        <f t="shared" si="397"/>
        <v/>
      </c>
      <c r="D2432" s="63">
        <f t="shared" si="398"/>
        <v>17.3022300469484</v>
      </c>
      <c r="E2432" t="str">
        <f t="shared" si="399"/>
        <v/>
      </c>
      <c r="F2432" t="str">
        <f t="shared" si="400"/>
        <v/>
      </c>
      <c r="G2432" t="str">
        <f t="shared" si="401"/>
        <v/>
      </c>
    </row>
    <row r="2433" spans="2:7">
      <c r="B2433" s="46"/>
      <c r="C2433" t="str">
        <f t="shared" si="397"/>
        <v/>
      </c>
      <c r="D2433" s="63">
        <f t="shared" si="398"/>
        <v>22.837441314554</v>
      </c>
      <c r="E2433" t="str">
        <f t="shared" si="399"/>
        <v/>
      </c>
      <c r="F2433" t="str">
        <f t="shared" si="400"/>
        <v/>
      </c>
      <c r="G2433" t="str">
        <f t="shared" si="401"/>
        <v/>
      </c>
    </row>
    <row r="2434" spans="2:7">
      <c r="B2434" s="46"/>
      <c r="C2434" t="str">
        <f t="shared" si="397"/>
        <v/>
      </c>
      <c r="D2434" s="63">
        <f t="shared" si="398"/>
        <v>23.7089201877934</v>
      </c>
      <c r="E2434" t="str">
        <f t="shared" si="399"/>
        <v/>
      </c>
      <c r="F2434" t="str">
        <f t="shared" si="400"/>
        <v/>
      </c>
      <c r="G2434" t="str">
        <f t="shared" si="401"/>
        <v/>
      </c>
    </row>
    <row r="2435" spans="2:7">
      <c r="B2435" s="46"/>
      <c r="C2435" t="str">
        <f t="shared" si="397"/>
        <v/>
      </c>
      <c r="D2435" s="63">
        <f t="shared" si="398"/>
        <v>24.3427230046948</v>
      </c>
      <c r="E2435" t="str">
        <f t="shared" si="399"/>
        <v/>
      </c>
      <c r="F2435" t="str">
        <f t="shared" si="400"/>
        <v/>
      </c>
      <c r="G2435" t="str">
        <f t="shared" si="401"/>
        <v/>
      </c>
    </row>
    <row r="2436" spans="2:7">
      <c r="B2436" s="46"/>
      <c r="C2436" t="str">
        <f t="shared" si="397"/>
        <v/>
      </c>
      <c r="D2436" s="63">
        <f t="shared" si="398"/>
        <v>27.5704225352113</v>
      </c>
      <c r="E2436" t="str">
        <f t="shared" si="399"/>
        <v/>
      </c>
      <c r="F2436" t="str">
        <f t="shared" si="400"/>
        <v/>
      </c>
      <c r="G2436" t="str">
        <f t="shared" si="401"/>
        <v/>
      </c>
    </row>
    <row r="2437" spans="2:7">
      <c r="B2437" s="46"/>
      <c r="C2437" t="str">
        <f t="shared" si="397"/>
        <v/>
      </c>
      <c r="D2437" s="63" t="str">
        <f t="shared" si="398"/>
        <v/>
      </c>
      <c r="E2437" t="str">
        <f t="shared" si="399"/>
        <v/>
      </c>
      <c r="F2437" t="str">
        <f t="shared" si="400"/>
        <v/>
      </c>
      <c r="G2437">
        <f t="shared" si="401"/>
        <v>19.1949685534591</v>
      </c>
    </row>
    <row r="2438" spans="2:7">
      <c r="B2438" s="46"/>
      <c r="C2438" t="str">
        <f t="shared" si="397"/>
        <v/>
      </c>
      <c r="D2438" s="63" t="str">
        <f t="shared" si="398"/>
        <v/>
      </c>
      <c r="E2438" t="str">
        <f t="shared" si="399"/>
        <v/>
      </c>
      <c r="F2438" t="str">
        <f t="shared" si="400"/>
        <v/>
      </c>
      <c r="G2438">
        <f t="shared" si="401"/>
        <v>21.9606918238994</v>
      </c>
    </row>
    <row r="2439" spans="2:7">
      <c r="B2439" s="46"/>
      <c r="C2439" t="str">
        <f t="shared" si="397"/>
        <v/>
      </c>
      <c r="D2439" s="63" t="str">
        <f t="shared" si="398"/>
        <v/>
      </c>
      <c r="E2439" t="str">
        <f t="shared" si="399"/>
        <v/>
      </c>
      <c r="F2439" t="str">
        <f t="shared" si="400"/>
        <v/>
      </c>
      <c r="G2439">
        <f t="shared" si="401"/>
        <v>21.9606918238994</v>
      </c>
    </row>
    <row r="2440" spans="2:7">
      <c r="B2440" s="46"/>
      <c r="C2440" t="str">
        <f t="shared" si="397"/>
        <v/>
      </c>
      <c r="D2440" s="63" t="str">
        <f t="shared" si="398"/>
        <v/>
      </c>
      <c r="E2440" t="str">
        <f t="shared" si="399"/>
        <v/>
      </c>
      <c r="F2440" t="str">
        <f t="shared" si="400"/>
        <v/>
      </c>
      <c r="G2440">
        <f t="shared" si="401"/>
        <v>25.2222222222222</v>
      </c>
    </row>
    <row r="2441" spans="2:7">
      <c r="B2441" s="46"/>
      <c r="C2441" t="str">
        <f t="shared" si="397"/>
        <v/>
      </c>
      <c r="D2441" s="63" t="str">
        <f t="shared" si="398"/>
        <v/>
      </c>
      <c r="E2441">
        <f t="shared" si="399"/>
        <v>22.268137254902</v>
      </c>
      <c r="F2441" t="str">
        <f t="shared" si="400"/>
        <v/>
      </c>
      <c r="G2441" t="str">
        <f t="shared" si="401"/>
        <v/>
      </c>
    </row>
    <row r="2442" spans="2:7">
      <c r="B2442" s="46"/>
      <c r="C2442" t="str">
        <f t="shared" si="397"/>
        <v/>
      </c>
      <c r="D2442" s="63" t="str">
        <f t="shared" si="398"/>
        <v/>
      </c>
      <c r="E2442">
        <f t="shared" si="399"/>
        <v>22.268137254902</v>
      </c>
      <c r="F2442" t="str">
        <f t="shared" si="400"/>
        <v/>
      </c>
      <c r="G2442" t="str">
        <f t="shared" si="401"/>
        <v/>
      </c>
    </row>
    <row r="2443" spans="2:7">
      <c r="B2443" s="46"/>
      <c r="C2443" t="str">
        <f t="shared" si="397"/>
        <v/>
      </c>
      <c r="D2443" s="63" t="str">
        <f t="shared" si="398"/>
        <v/>
      </c>
      <c r="E2443">
        <f t="shared" si="399"/>
        <v>24.6995098039216</v>
      </c>
      <c r="F2443" t="str">
        <f t="shared" si="400"/>
        <v/>
      </c>
      <c r="G2443" t="str">
        <f t="shared" si="401"/>
        <v/>
      </c>
    </row>
    <row r="2444" spans="2:7">
      <c r="B2444" s="46"/>
      <c r="C2444" t="str">
        <f t="shared" si="397"/>
        <v/>
      </c>
      <c r="D2444" s="63" t="str">
        <f t="shared" si="398"/>
        <v/>
      </c>
      <c r="E2444">
        <f t="shared" si="399"/>
        <v>25.3416666666667</v>
      </c>
      <c r="F2444" t="str">
        <f t="shared" si="400"/>
        <v/>
      </c>
      <c r="G2444" t="str">
        <f t="shared" si="401"/>
        <v/>
      </c>
    </row>
    <row r="2445" spans="2:7">
      <c r="B2445" s="46"/>
      <c r="C2445">
        <f t="shared" si="397"/>
        <v>19.5358796296296</v>
      </c>
      <c r="D2445" s="63" t="str">
        <f t="shared" si="398"/>
        <v/>
      </c>
      <c r="E2445" t="str">
        <f t="shared" si="399"/>
        <v/>
      </c>
      <c r="F2445" t="str">
        <f t="shared" si="400"/>
        <v/>
      </c>
      <c r="G2445" t="str">
        <f t="shared" si="401"/>
        <v/>
      </c>
    </row>
    <row r="2446" spans="2:7">
      <c r="B2446" s="46"/>
      <c r="C2446">
        <f t="shared" si="397"/>
        <v>20.1608796296296</v>
      </c>
      <c r="D2446" s="63" t="str">
        <f t="shared" si="398"/>
        <v/>
      </c>
      <c r="E2446" t="str">
        <f t="shared" si="399"/>
        <v/>
      </c>
      <c r="F2446" t="str">
        <f t="shared" si="400"/>
        <v/>
      </c>
      <c r="G2446" t="str">
        <f t="shared" si="401"/>
        <v/>
      </c>
    </row>
    <row r="2447" spans="2:7">
      <c r="B2447" s="46"/>
      <c r="C2447">
        <f t="shared" si="397"/>
        <v>21.7233796296296</v>
      </c>
      <c r="D2447" s="63" t="str">
        <f t="shared" si="398"/>
        <v/>
      </c>
      <c r="E2447" t="str">
        <f t="shared" si="399"/>
        <v/>
      </c>
      <c r="F2447" t="str">
        <f t="shared" si="400"/>
        <v/>
      </c>
      <c r="G2447" t="str">
        <f t="shared" si="401"/>
        <v/>
      </c>
    </row>
    <row r="2448" ht="15.75" spans="2:7">
      <c r="B2448" s="46"/>
      <c r="C2448">
        <f t="shared" si="397"/>
        <v>22.7054398148148</v>
      </c>
      <c r="D2448" s="63" t="str">
        <f t="shared" si="398"/>
        <v/>
      </c>
      <c r="E2448" t="str">
        <f t="shared" si="399"/>
        <v/>
      </c>
      <c r="F2448" t="str">
        <f t="shared" si="400"/>
        <v/>
      </c>
      <c r="G2448" t="str">
        <f t="shared" si="401"/>
        <v/>
      </c>
    </row>
    <row r="2449" spans="2:7">
      <c r="B2449" s="74" t="s">
        <v>269</v>
      </c>
      <c r="C2449" s="75">
        <f>MAX(C2386:C2448)</f>
        <v>22.7054398148148</v>
      </c>
      <c r="D2449" s="75">
        <f t="shared" ref="D2449:G2449" si="402">MAX(D2386:D2448)</f>
        <v>27.5704225352113</v>
      </c>
      <c r="E2449" s="75">
        <f t="shared" si="402"/>
        <v>25.3416666666667</v>
      </c>
      <c r="F2449" s="75">
        <f t="shared" si="402"/>
        <v>22.8781179138322</v>
      </c>
      <c r="G2449" s="75">
        <f t="shared" si="402"/>
        <v>25.2222222222222</v>
      </c>
    </row>
    <row r="2450" spans="2:7">
      <c r="B2450" s="76" t="s">
        <v>270</v>
      </c>
      <c r="C2450" s="77">
        <v>1</v>
      </c>
      <c r="D2450" s="78">
        <v>2</v>
      </c>
      <c r="E2450">
        <v>3</v>
      </c>
      <c r="F2450">
        <v>4</v>
      </c>
      <c r="G2450">
        <v>5</v>
      </c>
    </row>
    <row r="2451" spans="2:7">
      <c r="B2451" s="79" t="s">
        <v>271</v>
      </c>
      <c r="C2451" s="72">
        <f>HLOOKUP(MIN(C2449:G2449),C2449:G2450,2,FALSE)</f>
        <v>1</v>
      </c>
      <c r="D2451" s="80"/>
    </row>
    <row r="2454" ht="15.75" spans="2:7">
      <c r="B2454" s="43" t="s">
        <v>334</v>
      </c>
      <c r="C2454" s="44"/>
      <c r="D2454" s="45"/>
    </row>
    <row r="2455" spans="2:7">
      <c r="B2455" s="46"/>
      <c r="C2455" s="61" t="s">
        <v>264</v>
      </c>
      <c r="D2455" s="61" t="s">
        <v>265</v>
      </c>
      <c r="E2455" s="62" t="s">
        <v>286</v>
      </c>
      <c r="F2455" s="62" t="s">
        <v>287</v>
      </c>
      <c r="G2455" s="62" t="s">
        <v>288</v>
      </c>
    </row>
    <row r="2456" spans="2:7">
      <c r="B2456" s="46"/>
      <c r="C2456">
        <f t="shared" ref="C2456:C2519" si="403">IF(J8=1,S8,"")</f>
        <v>0.700231481481482</v>
      </c>
      <c r="D2456" s="63" t="str">
        <f t="shared" ref="D2456:D2519" si="404">IF(J8=2,S8,"")</f>
        <v/>
      </c>
      <c r="E2456" t="str">
        <f t="shared" ref="E2456:E2519" si="405">IF(J8=3,S8,"")</f>
        <v/>
      </c>
      <c r="F2456" t="str">
        <f t="shared" ref="F2456:F2519" si="406">IF(J8=4,S8,"")</f>
        <v/>
      </c>
      <c r="G2456" t="str">
        <f t="shared" ref="G2456:G2519" si="407">IF(J8=5,S8,"")</f>
        <v/>
      </c>
    </row>
    <row r="2457" spans="2:7">
      <c r="B2457" s="46"/>
      <c r="C2457" t="str">
        <f t="shared" si="403"/>
        <v/>
      </c>
      <c r="D2457" s="63">
        <f t="shared" si="404"/>
        <v>0.734154929577465</v>
      </c>
      <c r="E2457" t="str">
        <f t="shared" si="405"/>
        <v/>
      </c>
      <c r="F2457" t="str">
        <f t="shared" si="406"/>
        <v/>
      </c>
      <c r="G2457" t="str">
        <f t="shared" si="407"/>
        <v/>
      </c>
    </row>
    <row r="2458" spans="2:7">
      <c r="B2458" s="46"/>
      <c r="C2458" t="str">
        <f t="shared" si="403"/>
        <v/>
      </c>
      <c r="D2458" s="63" t="str">
        <f t="shared" si="404"/>
        <v/>
      </c>
      <c r="E2458">
        <f t="shared" si="405"/>
        <v>1.83823529411765</v>
      </c>
      <c r="F2458" t="str">
        <f t="shared" si="406"/>
        <v/>
      </c>
      <c r="G2458" t="str">
        <f t="shared" si="407"/>
        <v/>
      </c>
    </row>
    <row r="2459" spans="2:7">
      <c r="B2459" s="46"/>
      <c r="C2459" t="str">
        <f t="shared" si="403"/>
        <v/>
      </c>
      <c r="D2459" s="63" t="str">
        <f t="shared" si="404"/>
        <v/>
      </c>
      <c r="E2459" t="str">
        <f t="shared" si="405"/>
        <v/>
      </c>
      <c r="F2459">
        <f t="shared" si="406"/>
        <v>4.28571428571429</v>
      </c>
      <c r="G2459" t="str">
        <f t="shared" si="407"/>
        <v/>
      </c>
    </row>
    <row r="2460" spans="2:7">
      <c r="B2460" s="46"/>
      <c r="C2460" t="str">
        <f t="shared" si="403"/>
        <v/>
      </c>
      <c r="D2460" s="63" t="str">
        <f t="shared" si="404"/>
        <v/>
      </c>
      <c r="E2460" t="str">
        <f t="shared" si="405"/>
        <v/>
      </c>
      <c r="F2460" t="str">
        <f t="shared" si="406"/>
        <v/>
      </c>
      <c r="G2460">
        <f t="shared" si="407"/>
        <v>3.43396226415094</v>
      </c>
    </row>
    <row r="2461" spans="2:7">
      <c r="B2461" s="46"/>
      <c r="C2461" t="str">
        <f t="shared" si="403"/>
        <v/>
      </c>
      <c r="D2461" s="63" t="str">
        <f t="shared" si="404"/>
        <v/>
      </c>
      <c r="E2461">
        <f t="shared" si="405"/>
        <v>14.5833333333333</v>
      </c>
      <c r="F2461" t="str">
        <f t="shared" si="406"/>
        <v/>
      </c>
      <c r="G2461" t="str">
        <f t="shared" si="407"/>
        <v/>
      </c>
    </row>
    <row r="2462" spans="2:7">
      <c r="B2462" s="46"/>
      <c r="C2462" t="str">
        <f t="shared" si="403"/>
        <v/>
      </c>
      <c r="D2462" s="63" t="str">
        <f t="shared" si="404"/>
        <v/>
      </c>
      <c r="E2462" t="str">
        <f t="shared" si="405"/>
        <v/>
      </c>
      <c r="F2462">
        <f t="shared" si="406"/>
        <v>6.42857142857143</v>
      </c>
      <c r="G2462" t="str">
        <f t="shared" si="407"/>
        <v/>
      </c>
    </row>
    <row r="2463" spans="2:7">
      <c r="B2463" s="46"/>
      <c r="C2463" t="str">
        <f t="shared" si="403"/>
        <v/>
      </c>
      <c r="D2463" s="63" t="str">
        <f t="shared" si="404"/>
        <v/>
      </c>
      <c r="E2463" t="str">
        <f t="shared" si="405"/>
        <v/>
      </c>
      <c r="F2463" t="str">
        <f t="shared" si="406"/>
        <v/>
      </c>
      <c r="G2463">
        <f t="shared" si="407"/>
        <v>3.84591194968553</v>
      </c>
    </row>
    <row r="2464" spans="2:7">
      <c r="B2464" s="46"/>
      <c r="C2464">
        <f t="shared" si="403"/>
        <v>0.844907407407407</v>
      </c>
      <c r="D2464" s="63" t="str">
        <f t="shared" si="404"/>
        <v/>
      </c>
      <c r="E2464" t="str">
        <f t="shared" si="405"/>
        <v/>
      </c>
      <c r="F2464" t="str">
        <f t="shared" si="406"/>
        <v/>
      </c>
      <c r="G2464" t="str">
        <f t="shared" si="407"/>
        <v/>
      </c>
    </row>
    <row r="2465" spans="2:7">
      <c r="B2465" s="46"/>
      <c r="C2465">
        <f t="shared" si="403"/>
        <v>6.79803240740741</v>
      </c>
      <c r="D2465" s="63" t="str">
        <f t="shared" si="404"/>
        <v/>
      </c>
      <c r="E2465" t="str">
        <f t="shared" si="405"/>
        <v/>
      </c>
      <c r="F2465" t="str">
        <f t="shared" si="406"/>
        <v/>
      </c>
      <c r="G2465" t="str">
        <f t="shared" si="407"/>
        <v/>
      </c>
    </row>
    <row r="2466" spans="2:7">
      <c r="B2466" s="46"/>
      <c r="C2466">
        <f t="shared" si="403"/>
        <v>6.79803240740741</v>
      </c>
      <c r="D2466" s="63" t="str">
        <f t="shared" si="404"/>
        <v/>
      </c>
      <c r="E2466" t="str">
        <f t="shared" si="405"/>
        <v/>
      </c>
      <c r="F2466" t="str">
        <f t="shared" si="406"/>
        <v/>
      </c>
      <c r="G2466" t="str">
        <f t="shared" si="407"/>
        <v/>
      </c>
    </row>
    <row r="2467" spans="2:7">
      <c r="B2467" s="46"/>
      <c r="C2467">
        <f t="shared" si="403"/>
        <v>7.52719907407408</v>
      </c>
      <c r="D2467" s="63" t="str">
        <f t="shared" si="404"/>
        <v/>
      </c>
      <c r="E2467" t="str">
        <f t="shared" si="405"/>
        <v/>
      </c>
      <c r="F2467" t="str">
        <f t="shared" si="406"/>
        <v/>
      </c>
      <c r="G2467" t="str">
        <f t="shared" si="407"/>
        <v/>
      </c>
    </row>
    <row r="2468" spans="2:7">
      <c r="B2468" s="46"/>
      <c r="C2468" t="str">
        <f t="shared" si="403"/>
        <v/>
      </c>
      <c r="D2468" s="63">
        <f t="shared" si="404"/>
        <v>2.7881455399061</v>
      </c>
      <c r="E2468" t="str">
        <f t="shared" si="405"/>
        <v/>
      </c>
      <c r="F2468" t="str">
        <f t="shared" si="406"/>
        <v/>
      </c>
      <c r="G2468" t="str">
        <f t="shared" si="407"/>
        <v/>
      </c>
    </row>
    <row r="2469" spans="2:7">
      <c r="B2469" s="46"/>
      <c r="C2469" t="str">
        <f t="shared" si="403"/>
        <v/>
      </c>
      <c r="D2469" s="63">
        <f t="shared" si="404"/>
        <v>4.47535211267606</v>
      </c>
      <c r="E2469" t="str">
        <f t="shared" si="405"/>
        <v/>
      </c>
      <c r="F2469" t="str">
        <f t="shared" si="406"/>
        <v/>
      </c>
      <c r="G2469" t="str">
        <f t="shared" si="407"/>
        <v/>
      </c>
    </row>
    <row r="2470" spans="2:7">
      <c r="B2470" s="46"/>
      <c r="C2470" t="str">
        <f t="shared" si="403"/>
        <v/>
      </c>
      <c r="D2470" s="63">
        <f t="shared" si="404"/>
        <v>6.10680751173709</v>
      </c>
      <c r="E2470" t="str">
        <f t="shared" si="405"/>
        <v/>
      </c>
      <c r="F2470" t="str">
        <f t="shared" si="406"/>
        <v/>
      </c>
      <c r="G2470" t="str">
        <f t="shared" si="407"/>
        <v/>
      </c>
    </row>
    <row r="2471" spans="2:7">
      <c r="B2471" s="46"/>
      <c r="C2471" t="str">
        <f t="shared" si="403"/>
        <v/>
      </c>
      <c r="D2471" s="63">
        <f t="shared" si="404"/>
        <v>8.50821596244131</v>
      </c>
      <c r="E2471" t="str">
        <f t="shared" si="405"/>
        <v/>
      </c>
      <c r="F2471" t="str">
        <f t="shared" si="406"/>
        <v/>
      </c>
      <c r="G2471" t="str">
        <f t="shared" si="407"/>
        <v/>
      </c>
    </row>
    <row r="2472" spans="2:7">
      <c r="B2472" s="46"/>
      <c r="C2472" t="str">
        <f t="shared" si="403"/>
        <v/>
      </c>
      <c r="D2472" s="63">
        <f t="shared" si="404"/>
        <v>10.268779342723</v>
      </c>
      <c r="E2472" t="str">
        <f t="shared" si="405"/>
        <v/>
      </c>
      <c r="F2472" t="str">
        <f t="shared" si="406"/>
        <v/>
      </c>
      <c r="G2472" t="str">
        <f t="shared" si="407"/>
        <v/>
      </c>
    </row>
    <row r="2473" spans="2:7">
      <c r="B2473" s="46"/>
      <c r="C2473" t="str">
        <f t="shared" si="403"/>
        <v/>
      </c>
      <c r="D2473" s="63" t="str">
        <f t="shared" si="404"/>
        <v/>
      </c>
      <c r="E2473" t="str">
        <f t="shared" si="405"/>
        <v/>
      </c>
      <c r="F2473" t="str">
        <f t="shared" si="406"/>
        <v/>
      </c>
      <c r="G2473">
        <f t="shared" si="407"/>
        <v>7.67610062893082</v>
      </c>
    </row>
    <row r="2474" spans="2:7">
      <c r="B2474" s="46"/>
      <c r="C2474" t="str">
        <f t="shared" si="403"/>
        <v/>
      </c>
      <c r="D2474" s="63" t="str">
        <f t="shared" si="404"/>
        <v/>
      </c>
      <c r="E2474" t="str">
        <f t="shared" si="405"/>
        <v/>
      </c>
      <c r="F2474" t="str">
        <f t="shared" si="406"/>
        <v/>
      </c>
      <c r="G2474">
        <f t="shared" si="407"/>
        <v>10.3836477987421</v>
      </c>
    </row>
    <row r="2475" spans="2:7">
      <c r="B2475" s="46"/>
      <c r="C2475" t="str">
        <f t="shared" si="403"/>
        <v/>
      </c>
      <c r="D2475" s="63" t="str">
        <f t="shared" si="404"/>
        <v/>
      </c>
      <c r="E2475" t="str">
        <f t="shared" si="405"/>
        <v/>
      </c>
      <c r="F2475" t="str">
        <f t="shared" si="406"/>
        <v/>
      </c>
      <c r="G2475">
        <f t="shared" si="407"/>
        <v>13.2138364779874</v>
      </c>
    </row>
    <row r="2476" spans="2:7">
      <c r="B2476" s="46"/>
      <c r="C2476" t="str">
        <f t="shared" si="403"/>
        <v/>
      </c>
      <c r="D2476" s="63" t="str">
        <f t="shared" si="404"/>
        <v/>
      </c>
      <c r="E2476" t="str">
        <f t="shared" si="405"/>
        <v/>
      </c>
      <c r="F2476" t="str">
        <f t="shared" si="406"/>
        <v/>
      </c>
      <c r="G2476">
        <f t="shared" si="407"/>
        <v>14.7243186582809</v>
      </c>
    </row>
    <row r="2477" spans="2:7">
      <c r="B2477" s="46"/>
      <c r="C2477" t="str">
        <f t="shared" si="403"/>
        <v/>
      </c>
      <c r="D2477" s="63" t="str">
        <f t="shared" si="404"/>
        <v/>
      </c>
      <c r="E2477" t="str">
        <f t="shared" si="405"/>
        <v/>
      </c>
      <c r="F2477">
        <f t="shared" si="406"/>
        <v>9.17630385487529</v>
      </c>
      <c r="G2477" t="str">
        <f t="shared" si="407"/>
        <v/>
      </c>
    </row>
    <row r="2478" spans="2:7">
      <c r="B2478" s="46"/>
      <c r="C2478" t="str">
        <f t="shared" si="403"/>
        <v/>
      </c>
      <c r="D2478" s="63" t="str">
        <f t="shared" si="404"/>
        <v/>
      </c>
      <c r="E2478" t="str">
        <f t="shared" si="405"/>
        <v/>
      </c>
      <c r="F2478">
        <f t="shared" si="406"/>
        <v>12.328231292517</v>
      </c>
      <c r="G2478" t="str">
        <f t="shared" si="407"/>
        <v/>
      </c>
    </row>
    <row r="2479" spans="2:7">
      <c r="B2479" s="46"/>
      <c r="C2479" t="str">
        <f t="shared" si="403"/>
        <v/>
      </c>
      <c r="D2479" s="63" t="str">
        <f t="shared" si="404"/>
        <v/>
      </c>
      <c r="E2479" t="str">
        <f t="shared" si="405"/>
        <v/>
      </c>
      <c r="F2479">
        <f t="shared" si="406"/>
        <v>15.0017006802721</v>
      </c>
      <c r="G2479" t="str">
        <f t="shared" si="407"/>
        <v/>
      </c>
    </row>
    <row r="2480" spans="2:7">
      <c r="B2480" s="46"/>
      <c r="C2480">
        <f t="shared" si="403"/>
        <v>10.328125</v>
      </c>
      <c r="D2480" s="63" t="str">
        <f t="shared" si="404"/>
        <v/>
      </c>
      <c r="E2480" t="str">
        <f t="shared" si="405"/>
        <v/>
      </c>
      <c r="F2480" t="str">
        <f t="shared" si="406"/>
        <v/>
      </c>
      <c r="G2480" t="str">
        <f t="shared" si="407"/>
        <v/>
      </c>
    </row>
    <row r="2481" spans="2:7">
      <c r="B2481" s="46"/>
      <c r="C2481">
        <f t="shared" si="403"/>
        <v>14.5908564814815</v>
      </c>
      <c r="D2481" s="63" t="str">
        <f t="shared" si="404"/>
        <v/>
      </c>
      <c r="E2481" t="str">
        <f t="shared" si="405"/>
        <v/>
      </c>
      <c r="F2481" t="str">
        <f t="shared" si="406"/>
        <v/>
      </c>
      <c r="G2481" t="str">
        <f t="shared" si="407"/>
        <v/>
      </c>
    </row>
    <row r="2482" spans="2:7">
      <c r="B2482" s="46"/>
      <c r="C2482">
        <f t="shared" si="403"/>
        <v>14.9409722222222</v>
      </c>
      <c r="D2482" s="63" t="str">
        <f t="shared" si="404"/>
        <v/>
      </c>
      <c r="E2482" t="str">
        <f t="shared" si="405"/>
        <v/>
      </c>
      <c r="F2482" t="str">
        <f t="shared" si="406"/>
        <v/>
      </c>
      <c r="G2482" t="str">
        <f t="shared" si="407"/>
        <v/>
      </c>
    </row>
    <row r="2483" spans="2:7">
      <c r="B2483" s="46"/>
      <c r="C2483">
        <f t="shared" si="403"/>
        <v>19.2465277777778</v>
      </c>
      <c r="D2483" s="63" t="str">
        <f t="shared" si="404"/>
        <v/>
      </c>
      <c r="E2483" t="str">
        <f t="shared" si="405"/>
        <v/>
      </c>
      <c r="F2483" t="str">
        <f t="shared" si="406"/>
        <v/>
      </c>
      <c r="G2483" t="str">
        <f t="shared" si="407"/>
        <v/>
      </c>
    </row>
    <row r="2484" spans="2:7">
      <c r="B2484" s="46"/>
      <c r="C2484" t="str">
        <f t="shared" si="403"/>
        <v/>
      </c>
      <c r="D2484" s="63">
        <f t="shared" si="404"/>
        <v>15.0340375586854</v>
      </c>
      <c r="E2484" t="str">
        <f t="shared" si="405"/>
        <v/>
      </c>
      <c r="F2484" t="str">
        <f t="shared" si="406"/>
        <v/>
      </c>
      <c r="G2484" t="str">
        <f t="shared" si="407"/>
        <v/>
      </c>
    </row>
    <row r="2485" spans="2:7">
      <c r="B2485" s="46"/>
      <c r="C2485" t="str">
        <f t="shared" si="403"/>
        <v/>
      </c>
      <c r="D2485" s="63">
        <f t="shared" si="404"/>
        <v>15.0340375586854</v>
      </c>
      <c r="E2485" t="str">
        <f t="shared" si="405"/>
        <v/>
      </c>
      <c r="F2485" t="str">
        <f t="shared" si="406"/>
        <v/>
      </c>
      <c r="G2485" t="str">
        <f t="shared" si="407"/>
        <v/>
      </c>
    </row>
    <row r="2486" spans="2:7">
      <c r="B2486" s="46"/>
      <c r="C2486" t="str">
        <f t="shared" si="403"/>
        <v/>
      </c>
      <c r="D2486" s="63">
        <f t="shared" si="404"/>
        <v>16.1343896713615</v>
      </c>
      <c r="E2486" t="str">
        <f t="shared" si="405"/>
        <v/>
      </c>
      <c r="F2486" t="str">
        <f t="shared" si="406"/>
        <v/>
      </c>
      <c r="G2486" t="str">
        <f t="shared" si="407"/>
        <v/>
      </c>
    </row>
    <row r="2487" spans="2:7">
      <c r="B2487" s="46"/>
      <c r="C2487" t="str">
        <f t="shared" si="403"/>
        <v/>
      </c>
      <c r="D2487" s="63">
        <f t="shared" si="404"/>
        <v>16.8620892018779</v>
      </c>
      <c r="E2487" t="str">
        <f t="shared" si="405"/>
        <v/>
      </c>
      <c r="F2487" t="str">
        <f t="shared" si="406"/>
        <v/>
      </c>
      <c r="G2487" t="str">
        <f t="shared" si="407"/>
        <v/>
      </c>
    </row>
    <row r="2488" spans="2:7">
      <c r="B2488" s="46"/>
      <c r="C2488" t="str">
        <f t="shared" si="403"/>
        <v/>
      </c>
      <c r="D2488" s="63" t="str">
        <f t="shared" si="404"/>
        <v/>
      </c>
      <c r="E2488">
        <f t="shared" si="405"/>
        <v>16.1245098039216</v>
      </c>
      <c r="F2488" t="str">
        <f t="shared" si="406"/>
        <v/>
      </c>
      <c r="G2488" t="str">
        <f t="shared" si="407"/>
        <v/>
      </c>
    </row>
    <row r="2489" spans="2:7">
      <c r="B2489" s="46"/>
      <c r="C2489" t="str">
        <f t="shared" si="403"/>
        <v/>
      </c>
      <c r="D2489" s="63" t="str">
        <f t="shared" si="404"/>
        <v/>
      </c>
      <c r="E2489">
        <f t="shared" si="405"/>
        <v>17.9225490196078</v>
      </c>
      <c r="F2489" t="str">
        <f t="shared" si="406"/>
        <v/>
      </c>
      <c r="G2489" t="str">
        <f t="shared" si="407"/>
        <v/>
      </c>
    </row>
    <row r="2490" spans="2:7">
      <c r="B2490" s="46"/>
      <c r="C2490" t="str">
        <f t="shared" si="403"/>
        <v/>
      </c>
      <c r="D2490" s="63" t="str">
        <f t="shared" si="404"/>
        <v/>
      </c>
      <c r="E2490">
        <f t="shared" si="405"/>
        <v>18.7166666666667</v>
      </c>
      <c r="F2490" t="str">
        <f t="shared" si="406"/>
        <v/>
      </c>
      <c r="G2490" t="str">
        <f t="shared" si="407"/>
        <v/>
      </c>
    </row>
    <row r="2491" spans="2:7">
      <c r="B2491" s="46"/>
      <c r="C2491" t="str">
        <f t="shared" si="403"/>
        <v/>
      </c>
      <c r="D2491" s="63" t="str">
        <f t="shared" si="404"/>
        <v/>
      </c>
      <c r="E2491">
        <f t="shared" si="405"/>
        <v>18.9539215686275</v>
      </c>
      <c r="F2491" t="str">
        <f t="shared" si="406"/>
        <v/>
      </c>
      <c r="G2491" t="str">
        <f t="shared" si="407"/>
        <v/>
      </c>
    </row>
    <row r="2492" spans="2:7">
      <c r="B2492" s="46"/>
      <c r="C2492" t="str">
        <f t="shared" si="403"/>
        <v/>
      </c>
      <c r="D2492" s="63" t="str">
        <f t="shared" si="404"/>
        <v/>
      </c>
      <c r="E2492" t="str">
        <f t="shared" si="405"/>
        <v/>
      </c>
      <c r="F2492" t="str">
        <f t="shared" si="406"/>
        <v/>
      </c>
      <c r="G2492">
        <f t="shared" si="407"/>
        <v>15.4449685534591</v>
      </c>
    </row>
    <row r="2493" spans="2:7">
      <c r="B2493" s="46"/>
      <c r="C2493" t="str">
        <f t="shared" si="403"/>
        <v/>
      </c>
      <c r="D2493" s="63" t="str">
        <f t="shared" si="404"/>
        <v/>
      </c>
      <c r="E2493" t="str">
        <f t="shared" si="405"/>
        <v/>
      </c>
      <c r="F2493" t="str">
        <f t="shared" si="406"/>
        <v/>
      </c>
      <c r="G2493">
        <f t="shared" si="407"/>
        <v>16.4669811320755</v>
      </c>
    </row>
    <row r="2494" spans="2:7">
      <c r="B2494" s="46"/>
      <c r="C2494" t="str">
        <f t="shared" si="403"/>
        <v/>
      </c>
      <c r="D2494" s="63" t="str">
        <f t="shared" si="404"/>
        <v/>
      </c>
      <c r="E2494" t="str">
        <f t="shared" si="405"/>
        <v/>
      </c>
      <c r="F2494" t="str">
        <f t="shared" si="406"/>
        <v/>
      </c>
      <c r="G2494">
        <f t="shared" si="407"/>
        <v>17.7877358490566</v>
      </c>
    </row>
    <row r="2495" spans="2:7">
      <c r="B2495" s="46"/>
      <c r="C2495" t="str">
        <f t="shared" si="403"/>
        <v/>
      </c>
      <c r="D2495" s="63" t="str">
        <f t="shared" si="404"/>
        <v/>
      </c>
      <c r="E2495" t="str">
        <f t="shared" si="405"/>
        <v/>
      </c>
      <c r="F2495" t="str">
        <f t="shared" si="406"/>
        <v/>
      </c>
      <c r="G2495">
        <f t="shared" si="407"/>
        <v>18.377358490566</v>
      </c>
    </row>
    <row r="2496" spans="2:7">
      <c r="B2496" s="46"/>
      <c r="C2496" t="str">
        <f t="shared" si="403"/>
        <v/>
      </c>
      <c r="D2496" s="63" t="str">
        <f t="shared" si="404"/>
        <v/>
      </c>
      <c r="E2496" t="str">
        <f t="shared" si="405"/>
        <v/>
      </c>
      <c r="F2496">
        <f t="shared" si="406"/>
        <v>15.4234693877551</v>
      </c>
      <c r="G2496" t="str">
        <f t="shared" si="407"/>
        <v/>
      </c>
    </row>
    <row r="2497" spans="2:7">
      <c r="B2497" s="46"/>
      <c r="C2497" t="str">
        <f t="shared" si="403"/>
        <v/>
      </c>
      <c r="D2497" s="63" t="str">
        <f t="shared" si="404"/>
        <v/>
      </c>
      <c r="E2497" t="str">
        <f t="shared" si="405"/>
        <v/>
      </c>
      <c r="F2497">
        <f t="shared" si="406"/>
        <v>16.7698412698413</v>
      </c>
      <c r="G2497" t="str">
        <f t="shared" si="407"/>
        <v/>
      </c>
    </row>
    <row r="2498" spans="2:7">
      <c r="B2498" s="46"/>
      <c r="C2498" t="str">
        <f t="shared" si="403"/>
        <v/>
      </c>
      <c r="D2498" s="63" t="str">
        <f t="shared" si="404"/>
        <v/>
      </c>
      <c r="E2498" t="str">
        <f t="shared" si="405"/>
        <v/>
      </c>
      <c r="F2498">
        <f t="shared" si="406"/>
        <v>18.109410430839</v>
      </c>
      <c r="G2498" t="str">
        <f t="shared" si="407"/>
        <v/>
      </c>
    </row>
    <row r="2499" spans="2:7">
      <c r="B2499" s="46"/>
      <c r="C2499" t="str">
        <f t="shared" si="403"/>
        <v/>
      </c>
      <c r="D2499" s="63" t="str">
        <f t="shared" si="404"/>
        <v/>
      </c>
      <c r="E2499" t="str">
        <f t="shared" si="405"/>
        <v/>
      </c>
      <c r="F2499">
        <f t="shared" si="406"/>
        <v>20.1581632653061</v>
      </c>
      <c r="G2499" t="str">
        <f t="shared" si="407"/>
        <v/>
      </c>
    </row>
    <row r="2500" spans="2:7">
      <c r="B2500" s="46"/>
      <c r="C2500" t="str">
        <f t="shared" si="403"/>
        <v/>
      </c>
      <c r="D2500" s="63" t="str">
        <f t="shared" si="404"/>
        <v/>
      </c>
      <c r="E2500" t="str">
        <f t="shared" si="405"/>
        <v/>
      </c>
      <c r="F2500">
        <f t="shared" si="406"/>
        <v>22.1581632653061</v>
      </c>
      <c r="G2500" t="str">
        <f t="shared" si="407"/>
        <v/>
      </c>
    </row>
    <row r="2501" spans="2:7">
      <c r="B2501" s="46"/>
      <c r="C2501" t="str">
        <f t="shared" si="403"/>
        <v/>
      </c>
      <c r="D2501" s="63" t="str">
        <f t="shared" si="404"/>
        <v/>
      </c>
      <c r="E2501" t="str">
        <f t="shared" si="405"/>
        <v/>
      </c>
      <c r="F2501">
        <f t="shared" si="406"/>
        <v>22.8781179138322</v>
      </c>
      <c r="G2501" t="str">
        <f t="shared" si="407"/>
        <v/>
      </c>
    </row>
    <row r="2502" spans="2:7">
      <c r="B2502" s="46"/>
      <c r="C2502" t="str">
        <f t="shared" si="403"/>
        <v/>
      </c>
      <c r="D2502" s="63">
        <f t="shared" si="404"/>
        <v>17.3022300469484</v>
      </c>
      <c r="E2502" t="str">
        <f t="shared" si="405"/>
        <v/>
      </c>
      <c r="F2502" t="str">
        <f t="shared" si="406"/>
        <v/>
      </c>
      <c r="G2502" t="str">
        <f t="shared" si="407"/>
        <v/>
      </c>
    </row>
    <row r="2503" spans="2:7">
      <c r="B2503" s="46"/>
      <c r="C2503" t="str">
        <f t="shared" si="403"/>
        <v/>
      </c>
      <c r="D2503" s="63">
        <f t="shared" si="404"/>
        <v>22.837441314554</v>
      </c>
      <c r="E2503" t="str">
        <f t="shared" si="405"/>
        <v/>
      </c>
      <c r="F2503" t="str">
        <f t="shared" si="406"/>
        <v/>
      </c>
      <c r="G2503" t="str">
        <f t="shared" si="407"/>
        <v/>
      </c>
    </row>
    <row r="2504" spans="2:7">
      <c r="B2504" s="46"/>
      <c r="C2504" t="str">
        <f t="shared" si="403"/>
        <v/>
      </c>
      <c r="D2504" s="63">
        <f t="shared" si="404"/>
        <v>23.7089201877934</v>
      </c>
      <c r="E2504" t="str">
        <f t="shared" si="405"/>
        <v/>
      </c>
      <c r="F2504" t="str">
        <f t="shared" si="406"/>
        <v/>
      </c>
      <c r="G2504" t="str">
        <f t="shared" si="407"/>
        <v/>
      </c>
    </row>
    <row r="2505" spans="2:7">
      <c r="B2505" s="46"/>
      <c r="C2505" t="str">
        <f t="shared" si="403"/>
        <v/>
      </c>
      <c r="D2505" s="63">
        <f t="shared" si="404"/>
        <v>24.3427230046948</v>
      </c>
      <c r="E2505" t="str">
        <f t="shared" si="405"/>
        <v/>
      </c>
      <c r="F2505" t="str">
        <f t="shared" si="406"/>
        <v/>
      </c>
      <c r="G2505" t="str">
        <f t="shared" si="407"/>
        <v/>
      </c>
    </row>
    <row r="2506" spans="2:7">
      <c r="B2506" s="46"/>
      <c r="C2506" t="str">
        <f t="shared" si="403"/>
        <v/>
      </c>
      <c r="D2506" s="63">
        <f t="shared" si="404"/>
        <v>27.5704225352113</v>
      </c>
      <c r="E2506" t="str">
        <f t="shared" si="405"/>
        <v/>
      </c>
      <c r="F2506" t="str">
        <f t="shared" si="406"/>
        <v/>
      </c>
      <c r="G2506" t="str">
        <f t="shared" si="407"/>
        <v/>
      </c>
    </row>
    <row r="2507" spans="2:7">
      <c r="B2507" s="46"/>
      <c r="C2507" t="str">
        <f t="shared" si="403"/>
        <v/>
      </c>
      <c r="D2507" s="63" t="str">
        <f t="shared" si="404"/>
        <v/>
      </c>
      <c r="E2507" t="str">
        <f t="shared" si="405"/>
        <v/>
      </c>
      <c r="F2507" t="str">
        <f t="shared" si="406"/>
        <v/>
      </c>
      <c r="G2507">
        <f t="shared" si="407"/>
        <v>19.1949685534591</v>
      </c>
    </row>
    <row r="2508" spans="2:7">
      <c r="B2508" s="46"/>
      <c r="C2508" t="str">
        <f t="shared" si="403"/>
        <v/>
      </c>
      <c r="D2508" s="63" t="str">
        <f t="shared" si="404"/>
        <v/>
      </c>
      <c r="E2508" t="str">
        <f t="shared" si="405"/>
        <v/>
      </c>
      <c r="F2508" t="str">
        <f t="shared" si="406"/>
        <v/>
      </c>
      <c r="G2508">
        <f t="shared" si="407"/>
        <v>21.9606918238994</v>
      </c>
    </row>
    <row r="2509" spans="2:7">
      <c r="B2509" s="46"/>
      <c r="C2509" t="str">
        <f t="shared" si="403"/>
        <v/>
      </c>
      <c r="D2509" s="63" t="str">
        <f t="shared" si="404"/>
        <v/>
      </c>
      <c r="E2509" t="str">
        <f t="shared" si="405"/>
        <v/>
      </c>
      <c r="F2509" t="str">
        <f t="shared" si="406"/>
        <v/>
      </c>
      <c r="G2509">
        <f t="shared" si="407"/>
        <v>21.9606918238994</v>
      </c>
    </row>
    <row r="2510" spans="2:7">
      <c r="B2510" s="46"/>
      <c r="C2510" t="str">
        <f t="shared" si="403"/>
        <v/>
      </c>
      <c r="D2510" s="63" t="str">
        <f t="shared" si="404"/>
        <v/>
      </c>
      <c r="E2510" t="str">
        <f t="shared" si="405"/>
        <v/>
      </c>
      <c r="F2510" t="str">
        <f t="shared" si="406"/>
        <v/>
      </c>
      <c r="G2510">
        <f t="shared" si="407"/>
        <v>25.2222222222222</v>
      </c>
    </row>
    <row r="2511" spans="2:7">
      <c r="B2511" s="46"/>
      <c r="C2511" t="str">
        <f t="shared" si="403"/>
        <v/>
      </c>
      <c r="D2511" s="63" t="str">
        <f t="shared" si="404"/>
        <v/>
      </c>
      <c r="E2511">
        <f t="shared" si="405"/>
        <v>22.268137254902</v>
      </c>
      <c r="F2511" t="str">
        <f t="shared" si="406"/>
        <v/>
      </c>
      <c r="G2511" t="str">
        <f t="shared" si="407"/>
        <v/>
      </c>
    </row>
    <row r="2512" spans="2:7">
      <c r="B2512" s="46"/>
      <c r="C2512" t="str">
        <f t="shared" si="403"/>
        <v/>
      </c>
      <c r="D2512" s="63" t="str">
        <f t="shared" si="404"/>
        <v/>
      </c>
      <c r="E2512">
        <f t="shared" si="405"/>
        <v>22.268137254902</v>
      </c>
      <c r="F2512" t="str">
        <f t="shared" si="406"/>
        <v/>
      </c>
      <c r="G2512" t="str">
        <f t="shared" si="407"/>
        <v/>
      </c>
    </row>
    <row r="2513" spans="2:7">
      <c r="B2513" s="46"/>
      <c r="C2513" t="str">
        <f t="shared" si="403"/>
        <v/>
      </c>
      <c r="D2513" s="63" t="str">
        <f t="shared" si="404"/>
        <v/>
      </c>
      <c r="E2513">
        <f t="shared" si="405"/>
        <v>24.6995098039216</v>
      </c>
      <c r="F2513" t="str">
        <f t="shared" si="406"/>
        <v/>
      </c>
      <c r="G2513" t="str">
        <f t="shared" si="407"/>
        <v/>
      </c>
    </row>
    <row r="2514" spans="2:7">
      <c r="B2514" s="46"/>
      <c r="C2514" t="str">
        <f t="shared" si="403"/>
        <v/>
      </c>
      <c r="D2514" s="63" t="str">
        <f t="shared" si="404"/>
        <v/>
      </c>
      <c r="E2514">
        <f t="shared" si="405"/>
        <v>25.3416666666667</v>
      </c>
      <c r="F2514" t="str">
        <f t="shared" si="406"/>
        <v/>
      </c>
      <c r="G2514" t="str">
        <f t="shared" si="407"/>
        <v/>
      </c>
    </row>
    <row r="2515" spans="2:7">
      <c r="B2515" s="46"/>
      <c r="C2515">
        <f t="shared" si="403"/>
        <v>19.5358796296296</v>
      </c>
      <c r="D2515" s="63" t="str">
        <f t="shared" si="404"/>
        <v/>
      </c>
      <c r="E2515" t="str">
        <f t="shared" si="405"/>
        <v/>
      </c>
      <c r="F2515" t="str">
        <f t="shared" si="406"/>
        <v/>
      </c>
      <c r="G2515" t="str">
        <f t="shared" si="407"/>
        <v/>
      </c>
    </row>
    <row r="2516" spans="2:7">
      <c r="B2516" s="46"/>
      <c r="C2516">
        <f t="shared" si="403"/>
        <v>20.1608796296296</v>
      </c>
      <c r="D2516" s="63" t="str">
        <f t="shared" si="404"/>
        <v/>
      </c>
      <c r="E2516" t="str">
        <f t="shared" si="405"/>
        <v/>
      </c>
      <c r="F2516" t="str">
        <f t="shared" si="406"/>
        <v/>
      </c>
      <c r="G2516" t="str">
        <f t="shared" si="407"/>
        <v/>
      </c>
    </row>
    <row r="2517" spans="2:7">
      <c r="B2517" s="46"/>
      <c r="C2517">
        <f t="shared" si="403"/>
        <v>21.7233796296296</v>
      </c>
      <c r="D2517" s="63" t="str">
        <f t="shared" si="404"/>
        <v/>
      </c>
      <c r="E2517" t="str">
        <f t="shared" si="405"/>
        <v/>
      </c>
      <c r="F2517" t="str">
        <f t="shared" si="406"/>
        <v/>
      </c>
      <c r="G2517" t="str">
        <f t="shared" si="407"/>
        <v/>
      </c>
    </row>
    <row r="2518" spans="2:7">
      <c r="B2518" s="46"/>
      <c r="C2518">
        <f t="shared" si="403"/>
        <v>22.7054398148148</v>
      </c>
      <c r="D2518" s="63" t="str">
        <f t="shared" si="404"/>
        <v/>
      </c>
      <c r="E2518" t="str">
        <f t="shared" si="405"/>
        <v/>
      </c>
      <c r="F2518" t="str">
        <f t="shared" si="406"/>
        <v/>
      </c>
      <c r="G2518" t="str">
        <f t="shared" si="407"/>
        <v/>
      </c>
    </row>
    <row r="2519" ht="15.75" spans="2:7">
      <c r="B2519" s="46"/>
      <c r="C2519">
        <f t="shared" si="403"/>
        <v>22.7054398148148</v>
      </c>
      <c r="D2519" s="63" t="str">
        <f t="shared" si="404"/>
        <v/>
      </c>
      <c r="E2519" t="str">
        <f t="shared" si="405"/>
        <v/>
      </c>
      <c r="F2519" t="str">
        <f t="shared" si="406"/>
        <v/>
      </c>
      <c r="G2519" t="str">
        <f t="shared" si="407"/>
        <v/>
      </c>
    </row>
    <row r="2520" spans="2:7">
      <c r="B2520" s="74" t="s">
        <v>269</v>
      </c>
      <c r="C2520" s="75">
        <f>MAX(C2456:C2519)</f>
        <v>22.7054398148148</v>
      </c>
      <c r="D2520" s="75">
        <f t="shared" ref="D2520:G2520" si="408">MAX(D2456:D2519)</f>
        <v>27.5704225352113</v>
      </c>
      <c r="E2520" s="75">
        <f t="shared" si="408"/>
        <v>25.3416666666667</v>
      </c>
      <c r="F2520" s="75">
        <f t="shared" si="408"/>
        <v>22.8781179138322</v>
      </c>
      <c r="G2520" s="75">
        <f t="shared" si="408"/>
        <v>25.2222222222222</v>
      </c>
    </row>
    <row r="2521" spans="2:7">
      <c r="B2521" s="76" t="s">
        <v>270</v>
      </c>
      <c r="C2521" s="77">
        <v>1</v>
      </c>
      <c r="D2521" s="78">
        <v>2</v>
      </c>
      <c r="E2521">
        <v>3</v>
      </c>
      <c r="F2521">
        <v>4</v>
      </c>
      <c r="G2521">
        <v>5</v>
      </c>
    </row>
    <row r="2522" spans="2:7">
      <c r="B2522" s="79" t="s">
        <v>271</v>
      </c>
      <c r="C2522" s="72">
        <f>HLOOKUP(MIN(C2520:G2520),C2520:G2521,2,FALSE)</f>
        <v>1</v>
      </c>
      <c r="D2522" s="80"/>
    </row>
    <row r="2526" ht="15.75" spans="2:7">
      <c r="B2526" s="43" t="s">
        <v>335</v>
      </c>
      <c r="C2526" s="44"/>
      <c r="D2526" s="45"/>
    </row>
    <row r="2527" spans="2:7">
      <c r="B2527" s="46"/>
      <c r="C2527" s="61" t="s">
        <v>264</v>
      </c>
      <c r="D2527" s="61" t="s">
        <v>265</v>
      </c>
      <c r="E2527" s="62" t="s">
        <v>286</v>
      </c>
      <c r="F2527" s="62" t="s">
        <v>287</v>
      </c>
      <c r="G2527" s="62" t="s">
        <v>288</v>
      </c>
    </row>
    <row r="2528" spans="2:7">
      <c r="B2528" s="46"/>
      <c r="C2528">
        <f t="shared" ref="C2528:C2591" si="409">IF(J8=1,S8,"")</f>
        <v>0.700231481481482</v>
      </c>
      <c r="D2528" s="63" t="str">
        <f t="shared" ref="D2528:D2591" si="410">IF(J8=2,S8,"")</f>
        <v/>
      </c>
      <c r="E2528" t="str">
        <f t="shared" ref="E2528:E2591" si="411">IF(J8=3,S8,"")</f>
        <v/>
      </c>
      <c r="F2528" t="str">
        <f t="shared" ref="F2528:F2591" si="412">IF(J8=4,S8,"")</f>
        <v/>
      </c>
      <c r="G2528" t="str">
        <f t="shared" ref="G2528:G2591" si="413">IF(J8=5,S8,"")</f>
        <v/>
      </c>
    </row>
    <row r="2529" spans="2:7">
      <c r="B2529" s="46"/>
      <c r="C2529" t="str">
        <f t="shared" si="409"/>
        <v/>
      </c>
      <c r="D2529" s="63">
        <f t="shared" si="410"/>
        <v>0.734154929577465</v>
      </c>
      <c r="E2529" t="str">
        <f t="shared" si="411"/>
        <v/>
      </c>
      <c r="F2529" t="str">
        <f t="shared" si="412"/>
        <v/>
      </c>
      <c r="G2529" t="str">
        <f t="shared" si="413"/>
        <v/>
      </c>
    </row>
    <row r="2530" spans="2:7">
      <c r="B2530" s="46"/>
      <c r="C2530" t="str">
        <f t="shared" si="409"/>
        <v/>
      </c>
      <c r="D2530" s="63" t="str">
        <f t="shared" si="410"/>
        <v/>
      </c>
      <c r="E2530">
        <f t="shared" si="411"/>
        <v>1.83823529411765</v>
      </c>
      <c r="F2530" t="str">
        <f t="shared" si="412"/>
        <v/>
      </c>
      <c r="G2530" t="str">
        <f t="shared" si="413"/>
        <v/>
      </c>
    </row>
    <row r="2531" spans="2:7">
      <c r="B2531" s="46"/>
      <c r="C2531" t="str">
        <f t="shared" si="409"/>
        <v/>
      </c>
      <c r="D2531" s="63" t="str">
        <f t="shared" si="410"/>
        <v/>
      </c>
      <c r="E2531" t="str">
        <f t="shared" si="411"/>
        <v/>
      </c>
      <c r="F2531">
        <f t="shared" si="412"/>
        <v>4.28571428571429</v>
      </c>
      <c r="G2531" t="str">
        <f t="shared" si="413"/>
        <v/>
      </c>
    </row>
    <row r="2532" spans="2:7">
      <c r="B2532" s="46"/>
      <c r="C2532" t="str">
        <f t="shared" si="409"/>
        <v/>
      </c>
      <c r="D2532" s="63" t="str">
        <f t="shared" si="410"/>
        <v/>
      </c>
      <c r="E2532" t="str">
        <f t="shared" si="411"/>
        <v/>
      </c>
      <c r="F2532" t="str">
        <f t="shared" si="412"/>
        <v/>
      </c>
      <c r="G2532">
        <f t="shared" si="413"/>
        <v>3.43396226415094</v>
      </c>
    </row>
    <row r="2533" spans="2:7">
      <c r="B2533" s="46"/>
      <c r="C2533" t="str">
        <f t="shared" si="409"/>
        <v/>
      </c>
      <c r="D2533" s="63" t="str">
        <f t="shared" si="410"/>
        <v/>
      </c>
      <c r="E2533">
        <f t="shared" si="411"/>
        <v>14.5833333333333</v>
      </c>
      <c r="F2533" t="str">
        <f t="shared" si="412"/>
        <v/>
      </c>
      <c r="G2533" t="str">
        <f t="shared" si="413"/>
        <v/>
      </c>
    </row>
    <row r="2534" spans="2:7">
      <c r="B2534" s="46"/>
      <c r="C2534" t="str">
        <f t="shared" si="409"/>
        <v/>
      </c>
      <c r="D2534" s="63" t="str">
        <f t="shared" si="410"/>
        <v/>
      </c>
      <c r="E2534" t="str">
        <f t="shared" si="411"/>
        <v/>
      </c>
      <c r="F2534">
        <f t="shared" si="412"/>
        <v>6.42857142857143</v>
      </c>
      <c r="G2534" t="str">
        <f t="shared" si="413"/>
        <v/>
      </c>
    </row>
    <row r="2535" spans="2:7">
      <c r="B2535" s="46"/>
      <c r="C2535" t="str">
        <f t="shared" si="409"/>
        <v/>
      </c>
      <c r="D2535" s="63" t="str">
        <f t="shared" si="410"/>
        <v/>
      </c>
      <c r="E2535" t="str">
        <f t="shared" si="411"/>
        <v/>
      </c>
      <c r="F2535" t="str">
        <f t="shared" si="412"/>
        <v/>
      </c>
      <c r="G2535">
        <f t="shared" si="413"/>
        <v>3.84591194968553</v>
      </c>
    </row>
    <row r="2536" spans="2:7">
      <c r="B2536" s="46"/>
      <c r="C2536">
        <f t="shared" si="409"/>
        <v>0.844907407407407</v>
      </c>
      <c r="D2536" s="63" t="str">
        <f t="shared" si="410"/>
        <v/>
      </c>
      <c r="E2536" t="str">
        <f t="shared" si="411"/>
        <v/>
      </c>
      <c r="F2536" t="str">
        <f t="shared" si="412"/>
        <v/>
      </c>
      <c r="G2536" t="str">
        <f t="shared" si="413"/>
        <v/>
      </c>
    </row>
    <row r="2537" spans="2:7">
      <c r="B2537" s="46"/>
      <c r="C2537">
        <f t="shared" si="409"/>
        <v>6.79803240740741</v>
      </c>
      <c r="D2537" s="63" t="str">
        <f t="shared" si="410"/>
        <v/>
      </c>
      <c r="E2537" t="str">
        <f t="shared" si="411"/>
        <v/>
      </c>
      <c r="F2537" t="str">
        <f t="shared" si="412"/>
        <v/>
      </c>
      <c r="G2537" t="str">
        <f t="shared" si="413"/>
        <v/>
      </c>
    </row>
    <row r="2538" spans="2:7">
      <c r="B2538" s="46"/>
      <c r="C2538">
        <f t="shared" si="409"/>
        <v>6.79803240740741</v>
      </c>
      <c r="D2538" s="63" t="str">
        <f t="shared" si="410"/>
        <v/>
      </c>
      <c r="E2538" t="str">
        <f t="shared" si="411"/>
        <v/>
      </c>
      <c r="F2538" t="str">
        <f t="shared" si="412"/>
        <v/>
      </c>
      <c r="G2538" t="str">
        <f t="shared" si="413"/>
        <v/>
      </c>
    </row>
    <row r="2539" spans="2:7">
      <c r="B2539" s="46"/>
      <c r="C2539">
        <f t="shared" si="409"/>
        <v>7.52719907407408</v>
      </c>
      <c r="D2539" s="63" t="str">
        <f t="shared" si="410"/>
        <v/>
      </c>
      <c r="E2539" t="str">
        <f t="shared" si="411"/>
        <v/>
      </c>
      <c r="F2539" t="str">
        <f t="shared" si="412"/>
        <v/>
      </c>
      <c r="G2539" t="str">
        <f t="shared" si="413"/>
        <v/>
      </c>
    </row>
    <row r="2540" spans="2:7">
      <c r="B2540" s="46"/>
      <c r="C2540" t="str">
        <f t="shared" si="409"/>
        <v/>
      </c>
      <c r="D2540" s="63">
        <f t="shared" si="410"/>
        <v>2.7881455399061</v>
      </c>
      <c r="E2540" t="str">
        <f t="shared" si="411"/>
        <v/>
      </c>
      <c r="F2540" t="str">
        <f t="shared" si="412"/>
        <v/>
      </c>
      <c r="G2540" t="str">
        <f t="shared" si="413"/>
        <v/>
      </c>
    </row>
    <row r="2541" spans="2:7">
      <c r="B2541" s="46"/>
      <c r="C2541" t="str">
        <f t="shared" si="409"/>
        <v/>
      </c>
      <c r="D2541" s="63">
        <f t="shared" si="410"/>
        <v>4.47535211267606</v>
      </c>
      <c r="E2541" t="str">
        <f t="shared" si="411"/>
        <v/>
      </c>
      <c r="F2541" t="str">
        <f t="shared" si="412"/>
        <v/>
      </c>
      <c r="G2541" t="str">
        <f t="shared" si="413"/>
        <v/>
      </c>
    </row>
    <row r="2542" spans="2:7">
      <c r="B2542" s="46"/>
      <c r="C2542" t="str">
        <f t="shared" si="409"/>
        <v/>
      </c>
      <c r="D2542" s="63">
        <f t="shared" si="410"/>
        <v>6.10680751173709</v>
      </c>
      <c r="E2542" t="str">
        <f t="shared" si="411"/>
        <v/>
      </c>
      <c r="F2542" t="str">
        <f t="shared" si="412"/>
        <v/>
      </c>
      <c r="G2542" t="str">
        <f t="shared" si="413"/>
        <v/>
      </c>
    </row>
    <row r="2543" spans="2:7">
      <c r="B2543" s="46"/>
      <c r="C2543" t="str">
        <f t="shared" si="409"/>
        <v/>
      </c>
      <c r="D2543" s="63">
        <f t="shared" si="410"/>
        <v>8.50821596244131</v>
      </c>
      <c r="E2543" t="str">
        <f t="shared" si="411"/>
        <v/>
      </c>
      <c r="F2543" t="str">
        <f t="shared" si="412"/>
        <v/>
      </c>
      <c r="G2543" t="str">
        <f t="shared" si="413"/>
        <v/>
      </c>
    </row>
    <row r="2544" spans="2:7">
      <c r="B2544" s="46"/>
      <c r="C2544" t="str">
        <f t="shared" si="409"/>
        <v/>
      </c>
      <c r="D2544" s="63">
        <f t="shared" si="410"/>
        <v>10.268779342723</v>
      </c>
      <c r="E2544" t="str">
        <f t="shared" si="411"/>
        <v/>
      </c>
      <c r="F2544" t="str">
        <f t="shared" si="412"/>
        <v/>
      </c>
      <c r="G2544" t="str">
        <f t="shared" si="413"/>
        <v/>
      </c>
    </row>
    <row r="2545" spans="2:7">
      <c r="B2545" s="46"/>
      <c r="C2545" t="str">
        <f t="shared" si="409"/>
        <v/>
      </c>
      <c r="D2545" s="63" t="str">
        <f t="shared" si="410"/>
        <v/>
      </c>
      <c r="E2545" t="str">
        <f t="shared" si="411"/>
        <v/>
      </c>
      <c r="F2545" t="str">
        <f t="shared" si="412"/>
        <v/>
      </c>
      <c r="G2545">
        <f t="shared" si="413"/>
        <v>7.67610062893082</v>
      </c>
    </row>
    <row r="2546" spans="2:7">
      <c r="B2546" s="46"/>
      <c r="C2546" t="str">
        <f t="shared" si="409"/>
        <v/>
      </c>
      <c r="D2546" s="63" t="str">
        <f t="shared" si="410"/>
        <v/>
      </c>
      <c r="E2546" t="str">
        <f t="shared" si="411"/>
        <v/>
      </c>
      <c r="F2546" t="str">
        <f t="shared" si="412"/>
        <v/>
      </c>
      <c r="G2546">
        <f t="shared" si="413"/>
        <v>10.3836477987421</v>
      </c>
    </row>
    <row r="2547" spans="2:7">
      <c r="B2547" s="46"/>
      <c r="C2547" t="str">
        <f t="shared" si="409"/>
        <v/>
      </c>
      <c r="D2547" s="63" t="str">
        <f t="shared" si="410"/>
        <v/>
      </c>
      <c r="E2547" t="str">
        <f t="shared" si="411"/>
        <v/>
      </c>
      <c r="F2547" t="str">
        <f t="shared" si="412"/>
        <v/>
      </c>
      <c r="G2547">
        <f t="shared" si="413"/>
        <v>13.2138364779874</v>
      </c>
    </row>
    <row r="2548" spans="2:7">
      <c r="B2548" s="46"/>
      <c r="C2548" t="str">
        <f t="shared" si="409"/>
        <v/>
      </c>
      <c r="D2548" s="63" t="str">
        <f t="shared" si="410"/>
        <v/>
      </c>
      <c r="E2548" t="str">
        <f t="shared" si="411"/>
        <v/>
      </c>
      <c r="F2548" t="str">
        <f t="shared" si="412"/>
        <v/>
      </c>
      <c r="G2548">
        <f t="shared" si="413"/>
        <v>14.7243186582809</v>
      </c>
    </row>
    <row r="2549" spans="2:7">
      <c r="B2549" s="46"/>
      <c r="C2549" t="str">
        <f t="shared" si="409"/>
        <v/>
      </c>
      <c r="D2549" s="63" t="str">
        <f t="shared" si="410"/>
        <v/>
      </c>
      <c r="E2549" t="str">
        <f t="shared" si="411"/>
        <v/>
      </c>
      <c r="F2549">
        <f t="shared" si="412"/>
        <v>9.17630385487529</v>
      </c>
      <c r="G2549" t="str">
        <f t="shared" si="413"/>
        <v/>
      </c>
    </row>
    <row r="2550" spans="2:7">
      <c r="B2550" s="46"/>
      <c r="C2550" t="str">
        <f t="shared" si="409"/>
        <v/>
      </c>
      <c r="D2550" s="63" t="str">
        <f t="shared" si="410"/>
        <v/>
      </c>
      <c r="E2550" t="str">
        <f t="shared" si="411"/>
        <v/>
      </c>
      <c r="F2550">
        <f t="shared" si="412"/>
        <v>12.328231292517</v>
      </c>
      <c r="G2550" t="str">
        <f t="shared" si="413"/>
        <v/>
      </c>
    </row>
    <row r="2551" spans="2:7">
      <c r="B2551" s="46"/>
      <c r="C2551" t="str">
        <f t="shared" si="409"/>
        <v/>
      </c>
      <c r="D2551" s="63" t="str">
        <f t="shared" si="410"/>
        <v/>
      </c>
      <c r="E2551" t="str">
        <f t="shared" si="411"/>
        <v/>
      </c>
      <c r="F2551">
        <f t="shared" si="412"/>
        <v>15.0017006802721</v>
      </c>
      <c r="G2551" t="str">
        <f t="shared" si="413"/>
        <v/>
      </c>
    </row>
    <row r="2552" spans="2:7">
      <c r="B2552" s="46"/>
      <c r="C2552">
        <f t="shared" si="409"/>
        <v>10.328125</v>
      </c>
      <c r="D2552" s="63" t="str">
        <f t="shared" si="410"/>
        <v/>
      </c>
      <c r="E2552" t="str">
        <f t="shared" si="411"/>
        <v/>
      </c>
      <c r="F2552" t="str">
        <f t="shared" si="412"/>
        <v/>
      </c>
      <c r="G2552" t="str">
        <f t="shared" si="413"/>
        <v/>
      </c>
    </row>
    <row r="2553" spans="2:7">
      <c r="B2553" s="46"/>
      <c r="C2553">
        <f t="shared" si="409"/>
        <v>14.5908564814815</v>
      </c>
      <c r="D2553" s="63" t="str">
        <f t="shared" si="410"/>
        <v/>
      </c>
      <c r="E2553" t="str">
        <f t="shared" si="411"/>
        <v/>
      </c>
      <c r="F2553" t="str">
        <f t="shared" si="412"/>
        <v/>
      </c>
      <c r="G2553" t="str">
        <f t="shared" si="413"/>
        <v/>
      </c>
    </row>
    <row r="2554" spans="2:7">
      <c r="B2554" s="46"/>
      <c r="C2554">
        <f t="shared" si="409"/>
        <v>14.9409722222222</v>
      </c>
      <c r="D2554" s="63" t="str">
        <f t="shared" si="410"/>
        <v/>
      </c>
      <c r="E2554" t="str">
        <f t="shared" si="411"/>
        <v/>
      </c>
      <c r="F2554" t="str">
        <f t="shared" si="412"/>
        <v/>
      </c>
      <c r="G2554" t="str">
        <f t="shared" si="413"/>
        <v/>
      </c>
    </row>
    <row r="2555" spans="2:7">
      <c r="B2555" s="46"/>
      <c r="C2555">
        <f t="shared" si="409"/>
        <v>19.2465277777778</v>
      </c>
      <c r="D2555" s="63" t="str">
        <f t="shared" si="410"/>
        <v/>
      </c>
      <c r="E2555" t="str">
        <f t="shared" si="411"/>
        <v/>
      </c>
      <c r="F2555" t="str">
        <f t="shared" si="412"/>
        <v/>
      </c>
      <c r="G2555" t="str">
        <f t="shared" si="413"/>
        <v/>
      </c>
    </row>
    <row r="2556" spans="2:7">
      <c r="B2556" s="46"/>
      <c r="C2556" t="str">
        <f t="shared" si="409"/>
        <v/>
      </c>
      <c r="D2556" s="63">
        <f t="shared" si="410"/>
        <v>15.0340375586854</v>
      </c>
      <c r="E2556" t="str">
        <f t="shared" si="411"/>
        <v/>
      </c>
      <c r="F2556" t="str">
        <f t="shared" si="412"/>
        <v/>
      </c>
      <c r="G2556" t="str">
        <f t="shared" si="413"/>
        <v/>
      </c>
    </row>
    <row r="2557" spans="2:7">
      <c r="B2557" s="46"/>
      <c r="C2557" t="str">
        <f t="shared" si="409"/>
        <v/>
      </c>
      <c r="D2557" s="63">
        <f t="shared" si="410"/>
        <v>15.0340375586854</v>
      </c>
      <c r="E2557" t="str">
        <f t="shared" si="411"/>
        <v/>
      </c>
      <c r="F2557" t="str">
        <f t="shared" si="412"/>
        <v/>
      </c>
      <c r="G2557" t="str">
        <f t="shared" si="413"/>
        <v/>
      </c>
    </row>
    <row r="2558" spans="2:7">
      <c r="B2558" s="46"/>
      <c r="C2558" t="str">
        <f t="shared" si="409"/>
        <v/>
      </c>
      <c r="D2558" s="63">
        <f t="shared" si="410"/>
        <v>16.1343896713615</v>
      </c>
      <c r="E2558" t="str">
        <f t="shared" si="411"/>
        <v/>
      </c>
      <c r="F2558" t="str">
        <f t="shared" si="412"/>
        <v/>
      </c>
      <c r="G2558" t="str">
        <f t="shared" si="413"/>
        <v/>
      </c>
    </row>
    <row r="2559" spans="2:7">
      <c r="B2559" s="46"/>
      <c r="C2559" t="str">
        <f t="shared" si="409"/>
        <v/>
      </c>
      <c r="D2559" s="63">
        <f t="shared" si="410"/>
        <v>16.8620892018779</v>
      </c>
      <c r="E2559" t="str">
        <f t="shared" si="411"/>
        <v/>
      </c>
      <c r="F2559" t="str">
        <f t="shared" si="412"/>
        <v/>
      </c>
      <c r="G2559" t="str">
        <f t="shared" si="413"/>
        <v/>
      </c>
    </row>
    <row r="2560" spans="2:7">
      <c r="B2560" s="46"/>
      <c r="C2560" t="str">
        <f t="shared" si="409"/>
        <v/>
      </c>
      <c r="D2560" s="63" t="str">
        <f t="shared" si="410"/>
        <v/>
      </c>
      <c r="E2560">
        <f t="shared" si="411"/>
        <v>16.1245098039216</v>
      </c>
      <c r="F2560" t="str">
        <f t="shared" si="412"/>
        <v/>
      </c>
      <c r="G2560" t="str">
        <f t="shared" si="413"/>
        <v/>
      </c>
    </row>
    <row r="2561" spans="2:7">
      <c r="B2561" s="46"/>
      <c r="C2561" t="str">
        <f t="shared" si="409"/>
        <v/>
      </c>
      <c r="D2561" s="63" t="str">
        <f t="shared" si="410"/>
        <v/>
      </c>
      <c r="E2561">
        <f t="shared" si="411"/>
        <v>17.9225490196078</v>
      </c>
      <c r="F2561" t="str">
        <f t="shared" si="412"/>
        <v/>
      </c>
      <c r="G2561" t="str">
        <f t="shared" si="413"/>
        <v/>
      </c>
    </row>
    <row r="2562" spans="2:7">
      <c r="B2562" s="46"/>
      <c r="C2562" t="str">
        <f t="shared" si="409"/>
        <v/>
      </c>
      <c r="D2562" s="63" t="str">
        <f t="shared" si="410"/>
        <v/>
      </c>
      <c r="E2562">
        <f t="shared" si="411"/>
        <v>18.7166666666667</v>
      </c>
      <c r="F2562" t="str">
        <f t="shared" si="412"/>
        <v/>
      </c>
      <c r="G2562" t="str">
        <f t="shared" si="413"/>
        <v/>
      </c>
    </row>
    <row r="2563" spans="2:7">
      <c r="B2563" s="46"/>
      <c r="C2563" t="str">
        <f t="shared" si="409"/>
        <v/>
      </c>
      <c r="D2563" s="63" t="str">
        <f t="shared" si="410"/>
        <v/>
      </c>
      <c r="E2563">
        <f t="shared" si="411"/>
        <v>18.9539215686275</v>
      </c>
      <c r="F2563" t="str">
        <f t="shared" si="412"/>
        <v/>
      </c>
      <c r="G2563" t="str">
        <f t="shared" si="413"/>
        <v/>
      </c>
    </row>
    <row r="2564" spans="2:7">
      <c r="B2564" s="46"/>
      <c r="C2564" t="str">
        <f t="shared" si="409"/>
        <v/>
      </c>
      <c r="D2564" s="63" t="str">
        <f t="shared" si="410"/>
        <v/>
      </c>
      <c r="E2564" t="str">
        <f t="shared" si="411"/>
        <v/>
      </c>
      <c r="F2564" t="str">
        <f t="shared" si="412"/>
        <v/>
      </c>
      <c r="G2564">
        <f t="shared" si="413"/>
        <v>15.4449685534591</v>
      </c>
    </row>
    <row r="2565" spans="2:7">
      <c r="B2565" s="46"/>
      <c r="C2565" t="str">
        <f t="shared" si="409"/>
        <v/>
      </c>
      <c r="D2565" s="63" t="str">
        <f t="shared" si="410"/>
        <v/>
      </c>
      <c r="E2565" t="str">
        <f t="shared" si="411"/>
        <v/>
      </c>
      <c r="F2565" t="str">
        <f t="shared" si="412"/>
        <v/>
      </c>
      <c r="G2565">
        <f t="shared" si="413"/>
        <v>16.4669811320755</v>
      </c>
    </row>
    <row r="2566" spans="2:7">
      <c r="B2566" s="46"/>
      <c r="C2566" t="str">
        <f t="shared" si="409"/>
        <v/>
      </c>
      <c r="D2566" s="63" t="str">
        <f t="shared" si="410"/>
        <v/>
      </c>
      <c r="E2566" t="str">
        <f t="shared" si="411"/>
        <v/>
      </c>
      <c r="F2566" t="str">
        <f t="shared" si="412"/>
        <v/>
      </c>
      <c r="G2566">
        <f t="shared" si="413"/>
        <v>17.7877358490566</v>
      </c>
    </row>
    <row r="2567" spans="2:7">
      <c r="B2567" s="46"/>
      <c r="C2567" t="str">
        <f t="shared" si="409"/>
        <v/>
      </c>
      <c r="D2567" s="63" t="str">
        <f t="shared" si="410"/>
        <v/>
      </c>
      <c r="E2567" t="str">
        <f t="shared" si="411"/>
        <v/>
      </c>
      <c r="F2567" t="str">
        <f t="shared" si="412"/>
        <v/>
      </c>
      <c r="G2567">
        <f t="shared" si="413"/>
        <v>18.377358490566</v>
      </c>
    </row>
    <row r="2568" spans="2:7">
      <c r="B2568" s="46"/>
      <c r="C2568" t="str">
        <f t="shared" si="409"/>
        <v/>
      </c>
      <c r="D2568" s="63" t="str">
        <f t="shared" si="410"/>
        <v/>
      </c>
      <c r="E2568" t="str">
        <f t="shared" si="411"/>
        <v/>
      </c>
      <c r="F2568">
        <f t="shared" si="412"/>
        <v>15.4234693877551</v>
      </c>
      <c r="G2568" t="str">
        <f t="shared" si="413"/>
        <v/>
      </c>
    </row>
    <row r="2569" spans="2:7">
      <c r="B2569" s="46"/>
      <c r="C2569" t="str">
        <f t="shared" si="409"/>
        <v/>
      </c>
      <c r="D2569" s="63" t="str">
        <f t="shared" si="410"/>
        <v/>
      </c>
      <c r="E2569" t="str">
        <f t="shared" si="411"/>
        <v/>
      </c>
      <c r="F2569">
        <f t="shared" si="412"/>
        <v>16.7698412698413</v>
      </c>
      <c r="G2569" t="str">
        <f t="shared" si="413"/>
        <v/>
      </c>
    </row>
    <row r="2570" spans="2:7">
      <c r="B2570" s="46"/>
      <c r="C2570" t="str">
        <f t="shared" si="409"/>
        <v/>
      </c>
      <c r="D2570" s="63" t="str">
        <f t="shared" si="410"/>
        <v/>
      </c>
      <c r="E2570" t="str">
        <f t="shared" si="411"/>
        <v/>
      </c>
      <c r="F2570">
        <f t="shared" si="412"/>
        <v>18.109410430839</v>
      </c>
      <c r="G2570" t="str">
        <f t="shared" si="413"/>
        <v/>
      </c>
    </row>
    <row r="2571" spans="2:7">
      <c r="B2571" s="46"/>
      <c r="C2571" t="str">
        <f t="shared" si="409"/>
        <v/>
      </c>
      <c r="D2571" s="63" t="str">
        <f t="shared" si="410"/>
        <v/>
      </c>
      <c r="E2571" t="str">
        <f t="shared" si="411"/>
        <v/>
      </c>
      <c r="F2571">
        <f t="shared" si="412"/>
        <v>20.1581632653061</v>
      </c>
      <c r="G2571" t="str">
        <f t="shared" si="413"/>
        <v/>
      </c>
    </row>
    <row r="2572" spans="2:7">
      <c r="B2572" s="46"/>
      <c r="C2572" t="str">
        <f t="shared" si="409"/>
        <v/>
      </c>
      <c r="D2572" s="63" t="str">
        <f t="shared" si="410"/>
        <v/>
      </c>
      <c r="E2572" t="str">
        <f t="shared" si="411"/>
        <v/>
      </c>
      <c r="F2572">
        <f t="shared" si="412"/>
        <v>22.1581632653061</v>
      </c>
      <c r="G2572" t="str">
        <f t="shared" si="413"/>
        <v/>
      </c>
    </row>
    <row r="2573" spans="2:7">
      <c r="B2573" s="46"/>
      <c r="C2573" t="str">
        <f t="shared" si="409"/>
        <v/>
      </c>
      <c r="D2573" s="63" t="str">
        <f t="shared" si="410"/>
        <v/>
      </c>
      <c r="E2573" t="str">
        <f t="shared" si="411"/>
        <v/>
      </c>
      <c r="F2573">
        <f t="shared" si="412"/>
        <v>22.8781179138322</v>
      </c>
      <c r="G2573" t="str">
        <f t="shared" si="413"/>
        <v/>
      </c>
    </row>
    <row r="2574" spans="2:7">
      <c r="B2574" s="46"/>
      <c r="C2574" t="str">
        <f t="shared" si="409"/>
        <v/>
      </c>
      <c r="D2574" s="63">
        <f t="shared" si="410"/>
        <v>17.3022300469484</v>
      </c>
      <c r="E2574" t="str">
        <f t="shared" si="411"/>
        <v/>
      </c>
      <c r="F2574" t="str">
        <f t="shared" si="412"/>
        <v/>
      </c>
      <c r="G2574" t="str">
        <f t="shared" si="413"/>
        <v/>
      </c>
    </row>
    <row r="2575" spans="2:7">
      <c r="B2575" s="46"/>
      <c r="C2575" t="str">
        <f t="shared" si="409"/>
        <v/>
      </c>
      <c r="D2575" s="63">
        <f t="shared" si="410"/>
        <v>22.837441314554</v>
      </c>
      <c r="E2575" t="str">
        <f t="shared" si="411"/>
        <v/>
      </c>
      <c r="F2575" t="str">
        <f t="shared" si="412"/>
        <v/>
      </c>
      <c r="G2575" t="str">
        <f t="shared" si="413"/>
        <v/>
      </c>
    </row>
    <row r="2576" spans="2:7">
      <c r="B2576" s="46"/>
      <c r="C2576" t="str">
        <f t="shared" si="409"/>
        <v/>
      </c>
      <c r="D2576" s="63">
        <f t="shared" si="410"/>
        <v>23.7089201877934</v>
      </c>
      <c r="E2576" t="str">
        <f t="shared" si="411"/>
        <v/>
      </c>
      <c r="F2576" t="str">
        <f t="shared" si="412"/>
        <v/>
      </c>
      <c r="G2576" t="str">
        <f t="shared" si="413"/>
        <v/>
      </c>
    </row>
    <row r="2577" spans="2:7">
      <c r="B2577" s="46"/>
      <c r="C2577" t="str">
        <f t="shared" si="409"/>
        <v/>
      </c>
      <c r="D2577" s="63">
        <f t="shared" si="410"/>
        <v>24.3427230046948</v>
      </c>
      <c r="E2577" t="str">
        <f t="shared" si="411"/>
        <v/>
      </c>
      <c r="F2577" t="str">
        <f t="shared" si="412"/>
        <v/>
      </c>
      <c r="G2577" t="str">
        <f t="shared" si="413"/>
        <v/>
      </c>
    </row>
    <row r="2578" spans="2:7">
      <c r="B2578" s="46"/>
      <c r="C2578" t="str">
        <f t="shared" si="409"/>
        <v/>
      </c>
      <c r="D2578" s="63">
        <f t="shared" si="410"/>
        <v>27.5704225352113</v>
      </c>
      <c r="E2578" t="str">
        <f t="shared" si="411"/>
        <v/>
      </c>
      <c r="F2578" t="str">
        <f t="shared" si="412"/>
        <v/>
      </c>
      <c r="G2578" t="str">
        <f t="shared" si="413"/>
        <v/>
      </c>
    </row>
    <row r="2579" spans="2:7">
      <c r="B2579" s="46"/>
      <c r="C2579" t="str">
        <f t="shared" si="409"/>
        <v/>
      </c>
      <c r="D2579" s="63" t="str">
        <f t="shared" si="410"/>
        <v/>
      </c>
      <c r="E2579" t="str">
        <f t="shared" si="411"/>
        <v/>
      </c>
      <c r="F2579" t="str">
        <f t="shared" si="412"/>
        <v/>
      </c>
      <c r="G2579">
        <f t="shared" si="413"/>
        <v>19.1949685534591</v>
      </c>
    </row>
    <row r="2580" spans="2:7">
      <c r="B2580" s="46"/>
      <c r="C2580" t="str">
        <f t="shared" si="409"/>
        <v/>
      </c>
      <c r="D2580" s="63" t="str">
        <f t="shared" si="410"/>
        <v/>
      </c>
      <c r="E2580" t="str">
        <f t="shared" si="411"/>
        <v/>
      </c>
      <c r="F2580" t="str">
        <f t="shared" si="412"/>
        <v/>
      </c>
      <c r="G2580">
        <f t="shared" si="413"/>
        <v>21.9606918238994</v>
      </c>
    </row>
    <row r="2581" spans="2:7">
      <c r="B2581" s="46"/>
      <c r="C2581" t="str">
        <f t="shared" si="409"/>
        <v/>
      </c>
      <c r="D2581" s="63" t="str">
        <f t="shared" si="410"/>
        <v/>
      </c>
      <c r="E2581" t="str">
        <f t="shared" si="411"/>
        <v/>
      </c>
      <c r="F2581" t="str">
        <f t="shared" si="412"/>
        <v/>
      </c>
      <c r="G2581">
        <f t="shared" si="413"/>
        <v>21.9606918238994</v>
      </c>
    </row>
    <row r="2582" spans="2:7">
      <c r="B2582" s="46"/>
      <c r="C2582" t="str">
        <f t="shared" si="409"/>
        <v/>
      </c>
      <c r="D2582" s="63" t="str">
        <f t="shared" si="410"/>
        <v/>
      </c>
      <c r="E2582" t="str">
        <f t="shared" si="411"/>
        <v/>
      </c>
      <c r="F2582" t="str">
        <f t="shared" si="412"/>
        <v/>
      </c>
      <c r="G2582">
        <f t="shared" si="413"/>
        <v>25.2222222222222</v>
      </c>
    </row>
    <row r="2583" spans="2:7">
      <c r="B2583" s="46"/>
      <c r="C2583" t="str">
        <f t="shared" si="409"/>
        <v/>
      </c>
      <c r="D2583" s="63" t="str">
        <f t="shared" si="410"/>
        <v/>
      </c>
      <c r="E2583">
        <f t="shared" si="411"/>
        <v>22.268137254902</v>
      </c>
      <c r="F2583" t="str">
        <f t="shared" si="412"/>
        <v/>
      </c>
      <c r="G2583" t="str">
        <f t="shared" si="413"/>
        <v/>
      </c>
    </row>
    <row r="2584" spans="2:7">
      <c r="B2584" s="46"/>
      <c r="C2584" t="str">
        <f t="shared" si="409"/>
        <v/>
      </c>
      <c r="D2584" s="63" t="str">
        <f t="shared" si="410"/>
        <v/>
      </c>
      <c r="E2584">
        <f t="shared" si="411"/>
        <v>22.268137254902</v>
      </c>
      <c r="F2584" t="str">
        <f t="shared" si="412"/>
        <v/>
      </c>
      <c r="G2584" t="str">
        <f t="shared" si="413"/>
        <v/>
      </c>
    </row>
    <row r="2585" spans="2:7">
      <c r="B2585" s="46"/>
      <c r="C2585" t="str">
        <f t="shared" si="409"/>
        <v/>
      </c>
      <c r="D2585" s="63" t="str">
        <f t="shared" si="410"/>
        <v/>
      </c>
      <c r="E2585">
        <f t="shared" si="411"/>
        <v>24.6995098039216</v>
      </c>
      <c r="F2585" t="str">
        <f t="shared" si="412"/>
        <v/>
      </c>
      <c r="G2585" t="str">
        <f t="shared" si="413"/>
        <v/>
      </c>
    </row>
    <row r="2586" spans="2:7">
      <c r="B2586" s="46"/>
      <c r="C2586" t="str">
        <f t="shared" si="409"/>
        <v/>
      </c>
      <c r="D2586" s="63" t="str">
        <f t="shared" si="410"/>
        <v/>
      </c>
      <c r="E2586">
        <f t="shared" si="411"/>
        <v>25.3416666666667</v>
      </c>
      <c r="F2586" t="str">
        <f t="shared" si="412"/>
        <v/>
      </c>
      <c r="G2586" t="str">
        <f t="shared" si="413"/>
        <v/>
      </c>
    </row>
    <row r="2587" spans="2:7">
      <c r="B2587" s="46"/>
      <c r="C2587">
        <f t="shared" si="409"/>
        <v>19.5358796296296</v>
      </c>
      <c r="D2587" s="63" t="str">
        <f t="shared" si="410"/>
        <v/>
      </c>
      <c r="E2587" t="str">
        <f t="shared" si="411"/>
        <v/>
      </c>
      <c r="F2587" t="str">
        <f t="shared" si="412"/>
        <v/>
      </c>
      <c r="G2587" t="str">
        <f t="shared" si="413"/>
        <v/>
      </c>
    </row>
    <row r="2588" spans="2:7">
      <c r="B2588" s="46"/>
      <c r="C2588">
        <f t="shared" si="409"/>
        <v>20.1608796296296</v>
      </c>
      <c r="D2588" s="63" t="str">
        <f t="shared" si="410"/>
        <v/>
      </c>
      <c r="E2588" t="str">
        <f t="shared" si="411"/>
        <v/>
      </c>
      <c r="F2588" t="str">
        <f t="shared" si="412"/>
        <v/>
      </c>
      <c r="G2588" t="str">
        <f t="shared" si="413"/>
        <v/>
      </c>
    </row>
    <row r="2589" spans="2:7">
      <c r="B2589" s="46"/>
      <c r="C2589">
        <f t="shared" si="409"/>
        <v>21.7233796296296</v>
      </c>
      <c r="D2589" s="63" t="str">
        <f t="shared" si="410"/>
        <v/>
      </c>
      <c r="E2589" t="str">
        <f t="shared" si="411"/>
        <v/>
      </c>
      <c r="F2589" t="str">
        <f t="shared" si="412"/>
        <v/>
      </c>
      <c r="G2589" t="str">
        <f t="shared" si="413"/>
        <v/>
      </c>
    </row>
    <row r="2590" spans="2:7">
      <c r="B2590" s="46"/>
      <c r="C2590">
        <f t="shared" si="409"/>
        <v>22.7054398148148</v>
      </c>
      <c r="D2590" s="63" t="str">
        <f t="shared" si="410"/>
        <v/>
      </c>
      <c r="E2590" t="str">
        <f t="shared" si="411"/>
        <v/>
      </c>
      <c r="F2590" t="str">
        <f t="shared" si="412"/>
        <v/>
      </c>
      <c r="G2590" t="str">
        <f t="shared" si="413"/>
        <v/>
      </c>
    </row>
    <row r="2591" spans="2:7">
      <c r="B2591" s="46"/>
      <c r="C2591">
        <f t="shared" si="409"/>
        <v>22.7054398148148</v>
      </c>
      <c r="D2591" s="63" t="str">
        <f t="shared" si="410"/>
        <v/>
      </c>
      <c r="E2591" t="str">
        <f t="shared" si="411"/>
        <v/>
      </c>
      <c r="F2591" t="str">
        <f t="shared" si="412"/>
        <v/>
      </c>
      <c r="G2591" t="str">
        <f t="shared" si="413"/>
        <v/>
      </c>
    </row>
    <row r="2592" ht="15.75" spans="2:7">
      <c r="B2592" s="46"/>
      <c r="C2592">
        <f>IF(J72=1,S72,"")</f>
        <v>22.8512731481482</v>
      </c>
      <c r="D2592" s="63" t="str">
        <f>IF(J72=2,S72,"")</f>
        <v/>
      </c>
      <c r="E2592" t="str">
        <f>IF(J72=3,S72,"")</f>
        <v/>
      </c>
      <c r="F2592" t="str">
        <f>IF(J72=4,S72,"")</f>
        <v/>
      </c>
      <c r="G2592" t="str">
        <f>IF(J72=5,S72,"")</f>
        <v/>
      </c>
    </row>
    <row r="2593" spans="2:7">
      <c r="B2593" s="74" t="s">
        <v>269</v>
      </c>
      <c r="C2593" s="75">
        <f>MAX(C2528:C2592)</f>
        <v>22.8512731481482</v>
      </c>
      <c r="D2593" s="75">
        <f t="shared" ref="D2593:G2593" si="414">MAX(D2528:D2592)</f>
        <v>27.5704225352113</v>
      </c>
      <c r="E2593" s="75">
        <f t="shared" si="414"/>
        <v>25.3416666666667</v>
      </c>
      <c r="F2593" s="75">
        <f t="shared" si="414"/>
        <v>22.8781179138322</v>
      </c>
      <c r="G2593" s="75">
        <f t="shared" si="414"/>
        <v>25.2222222222222</v>
      </c>
    </row>
    <row r="2594" spans="2:7">
      <c r="B2594" s="76" t="s">
        <v>270</v>
      </c>
      <c r="C2594" s="77">
        <v>1</v>
      </c>
      <c r="D2594" s="78">
        <v>2</v>
      </c>
      <c r="E2594">
        <v>3</v>
      </c>
      <c r="F2594">
        <v>4</v>
      </c>
      <c r="G2594">
        <v>5</v>
      </c>
    </row>
    <row r="2595" spans="2:7">
      <c r="B2595" s="79" t="s">
        <v>271</v>
      </c>
      <c r="C2595" s="72">
        <f>HLOOKUP(MIN(C2593:G2593),C2593:G2594,2,FALSE)</f>
        <v>1</v>
      </c>
      <c r="D2595" s="80"/>
    </row>
    <row r="2599" ht="15.75" spans="2:7">
      <c r="B2599" s="43" t="s">
        <v>336</v>
      </c>
      <c r="C2599" s="44"/>
      <c r="D2599" s="45"/>
    </row>
    <row r="2600" spans="2:7">
      <c r="B2600" s="46"/>
      <c r="C2600" s="61" t="s">
        <v>264</v>
      </c>
      <c r="D2600" s="61" t="s">
        <v>265</v>
      </c>
      <c r="E2600" s="62" t="s">
        <v>286</v>
      </c>
      <c r="F2600" s="62" t="s">
        <v>287</v>
      </c>
      <c r="G2600" s="62" t="s">
        <v>288</v>
      </c>
    </row>
    <row r="2601" spans="2:7">
      <c r="B2601" s="46"/>
      <c r="C2601">
        <f t="shared" ref="C2601:C2664" si="415">IF(J8=1,S8,"")</f>
        <v>0.700231481481482</v>
      </c>
      <c r="D2601" s="63" t="str">
        <f t="shared" ref="D2601:D2664" si="416">IF(J8=2,S8,"")</f>
        <v/>
      </c>
      <c r="E2601" t="str">
        <f t="shared" ref="E2601:E2664" si="417">IF(J8=3,S8,"")</f>
        <v/>
      </c>
      <c r="F2601" t="str">
        <f t="shared" ref="F2601:F2664" si="418">IF(J8=4,S8,"")</f>
        <v/>
      </c>
      <c r="G2601" t="str">
        <f t="shared" ref="G2601:G2664" si="419">IF(J8=5,S8,"")</f>
        <v/>
      </c>
    </row>
    <row r="2602" spans="2:7">
      <c r="B2602" s="46"/>
      <c r="C2602" t="str">
        <f t="shared" si="415"/>
        <v/>
      </c>
      <c r="D2602" s="63">
        <f t="shared" si="416"/>
        <v>0.734154929577465</v>
      </c>
      <c r="E2602" t="str">
        <f t="shared" si="417"/>
        <v/>
      </c>
      <c r="F2602" t="str">
        <f t="shared" si="418"/>
        <v/>
      </c>
      <c r="G2602" t="str">
        <f t="shared" si="419"/>
        <v/>
      </c>
    </row>
    <row r="2603" spans="2:7">
      <c r="B2603" s="46"/>
      <c r="C2603" t="str">
        <f t="shared" si="415"/>
        <v/>
      </c>
      <c r="D2603" s="63" t="str">
        <f t="shared" si="416"/>
        <v/>
      </c>
      <c r="E2603">
        <f t="shared" si="417"/>
        <v>1.83823529411765</v>
      </c>
      <c r="F2603" t="str">
        <f t="shared" si="418"/>
        <v/>
      </c>
      <c r="G2603" t="str">
        <f t="shared" si="419"/>
        <v/>
      </c>
    </row>
    <row r="2604" spans="2:7">
      <c r="B2604" s="46"/>
      <c r="C2604" t="str">
        <f t="shared" si="415"/>
        <v/>
      </c>
      <c r="D2604" s="63" t="str">
        <f t="shared" si="416"/>
        <v/>
      </c>
      <c r="E2604" t="str">
        <f t="shared" si="417"/>
        <v/>
      </c>
      <c r="F2604">
        <f t="shared" si="418"/>
        <v>4.28571428571429</v>
      </c>
      <c r="G2604" t="str">
        <f t="shared" si="419"/>
        <v/>
      </c>
    </row>
    <row r="2605" spans="2:7">
      <c r="B2605" s="46"/>
      <c r="C2605" t="str">
        <f t="shared" si="415"/>
        <v/>
      </c>
      <c r="D2605" s="63" t="str">
        <f t="shared" si="416"/>
        <v/>
      </c>
      <c r="E2605" t="str">
        <f t="shared" si="417"/>
        <v/>
      </c>
      <c r="F2605" t="str">
        <f t="shared" si="418"/>
        <v/>
      </c>
      <c r="G2605">
        <f t="shared" si="419"/>
        <v>3.43396226415094</v>
      </c>
    </row>
    <row r="2606" spans="2:7">
      <c r="B2606" s="46"/>
      <c r="C2606" t="str">
        <f t="shared" si="415"/>
        <v/>
      </c>
      <c r="D2606" s="63" t="str">
        <f t="shared" si="416"/>
        <v/>
      </c>
      <c r="E2606">
        <f t="shared" si="417"/>
        <v>14.5833333333333</v>
      </c>
      <c r="F2606" t="str">
        <f t="shared" si="418"/>
        <v/>
      </c>
      <c r="G2606" t="str">
        <f t="shared" si="419"/>
        <v/>
      </c>
    </row>
    <row r="2607" spans="2:7">
      <c r="B2607" s="46"/>
      <c r="C2607" t="str">
        <f t="shared" si="415"/>
        <v/>
      </c>
      <c r="D2607" s="63" t="str">
        <f t="shared" si="416"/>
        <v/>
      </c>
      <c r="E2607" t="str">
        <f t="shared" si="417"/>
        <v/>
      </c>
      <c r="F2607">
        <f t="shared" si="418"/>
        <v>6.42857142857143</v>
      </c>
      <c r="G2607" t="str">
        <f t="shared" si="419"/>
        <v/>
      </c>
    </row>
    <row r="2608" spans="2:7">
      <c r="B2608" s="46"/>
      <c r="C2608" t="str">
        <f t="shared" si="415"/>
        <v/>
      </c>
      <c r="D2608" s="63" t="str">
        <f t="shared" si="416"/>
        <v/>
      </c>
      <c r="E2608" t="str">
        <f t="shared" si="417"/>
        <v/>
      </c>
      <c r="F2608" t="str">
        <f t="shared" si="418"/>
        <v/>
      </c>
      <c r="G2608">
        <f t="shared" si="419"/>
        <v>3.84591194968553</v>
      </c>
    </row>
    <row r="2609" spans="2:7">
      <c r="B2609" s="46"/>
      <c r="C2609">
        <f t="shared" si="415"/>
        <v>0.844907407407407</v>
      </c>
      <c r="D2609" s="63" t="str">
        <f t="shared" si="416"/>
        <v/>
      </c>
      <c r="E2609" t="str">
        <f t="shared" si="417"/>
        <v/>
      </c>
      <c r="F2609" t="str">
        <f t="shared" si="418"/>
        <v/>
      </c>
      <c r="G2609" t="str">
        <f t="shared" si="419"/>
        <v/>
      </c>
    </row>
    <row r="2610" spans="2:7">
      <c r="B2610" s="46"/>
      <c r="C2610">
        <f t="shared" si="415"/>
        <v>6.79803240740741</v>
      </c>
      <c r="D2610" s="63" t="str">
        <f t="shared" si="416"/>
        <v/>
      </c>
      <c r="E2610" t="str">
        <f t="shared" si="417"/>
        <v/>
      </c>
      <c r="F2610" t="str">
        <f t="shared" si="418"/>
        <v/>
      </c>
      <c r="G2610" t="str">
        <f t="shared" si="419"/>
        <v/>
      </c>
    </row>
    <row r="2611" spans="2:7">
      <c r="B2611" s="46"/>
      <c r="C2611">
        <f t="shared" si="415"/>
        <v>6.79803240740741</v>
      </c>
      <c r="D2611" s="63" t="str">
        <f t="shared" si="416"/>
        <v/>
      </c>
      <c r="E2611" t="str">
        <f t="shared" si="417"/>
        <v/>
      </c>
      <c r="F2611" t="str">
        <f t="shared" si="418"/>
        <v/>
      </c>
      <c r="G2611" t="str">
        <f t="shared" si="419"/>
        <v/>
      </c>
    </row>
    <row r="2612" spans="2:7">
      <c r="B2612" s="46"/>
      <c r="C2612">
        <f t="shared" si="415"/>
        <v>7.52719907407408</v>
      </c>
      <c r="D2612" s="63" t="str">
        <f t="shared" si="416"/>
        <v/>
      </c>
      <c r="E2612" t="str">
        <f t="shared" si="417"/>
        <v/>
      </c>
      <c r="F2612" t="str">
        <f t="shared" si="418"/>
        <v/>
      </c>
      <c r="G2612" t="str">
        <f t="shared" si="419"/>
        <v/>
      </c>
    </row>
    <row r="2613" spans="2:7">
      <c r="B2613" s="46"/>
      <c r="C2613" t="str">
        <f t="shared" si="415"/>
        <v/>
      </c>
      <c r="D2613" s="63">
        <f t="shared" si="416"/>
        <v>2.7881455399061</v>
      </c>
      <c r="E2613" t="str">
        <f t="shared" si="417"/>
        <v/>
      </c>
      <c r="F2613" t="str">
        <f t="shared" si="418"/>
        <v/>
      </c>
      <c r="G2613" t="str">
        <f t="shared" si="419"/>
        <v/>
      </c>
    </row>
    <row r="2614" spans="2:7">
      <c r="B2614" s="46"/>
      <c r="C2614" t="str">
        <f t="shared" si="415"/>
        <v/>
      </c>
      <c r="D2614" s="63">
        <f t="shared" si="416"/>
        <v>4.47535211267606</v>
      </c>
      <c r="E2614" t="str">
        <f t="shared" si="417"/>
        <v/>
      </c>
      <c r="F2614" t="str">
        <f t="shared" si="418"/>
        <v/>
      </c>
      <c r="G2614" t="str">
        <f t="shared" si="419"/>
        <v/>
      </c>
    </row>
    <row r="2615" spans="2:7">
      <c r="B2615" s="46"/>
      <c r="C2615" t="str">
        <f t="shared" si="415"/>
        <v/>
      </c>
      <c r="D2615" s="63">
        <f t="shared" si="416"/>
        <v>6.10680751173709</v>
      </c>
      <c r="E2615" t="str">
        <f t="shared" si="417"/>
        <v/>
      </c>
      <c r="F2615" t="str">
        <f t="shared" si="418"/>
        <v/>
      </c>
      <c r="G2615" t="str">
        <f t="shared" si="419"/>
        <v/>
      </c>
    </row>
    <row r="2616" spans="2:7">
      <c r="B2616" s="46"/>
      <c r="C2616" t="str">
        <f t="shared" si="415"/>
        <v/>
      </c>
      <c r="D2616" s="63">
        <f t="shared" si="416"/>
        <v>8.50821596244131</v>
      </c>
      <c r="E2616" t="str">
        <f t="shared" si="417"/>
        <v/>
      </c>
      <c r="F2616" t="str">
        <f t="shared" si="418"/>
        <v/>
      </c>
      <c r="G2616" t="str">
        <f t="shared" si="419"/>
        <v/>
      </c>
    </row>
    <row r="2617" spans="2:7">
      <c r="B2617" s="46"/>
      <c r="C2617" t="str">
        <f t="shared" si="415"/>
        <v/>
      </c>
      <c r="D2617" s="63">
        <f t="shared" si="416"/>
        <v>10.268779342723</v>
      </c>
      <c r="E2617" t="str">
        <f t="shared" si="417"/>
        <v/>
      </c>
      <c r="F2617" t="str">
        <f t="shared" si="418"/>
        <v/>
      </c>
      <c r="G2617" t="str">
        <f t="shared" si="419"/>
        <v/>
      </c>
    </row>
    <row r="2618" spans="2:7">
      <c r="B2618" s="46"/>
      <c r="C2618" t="str">
        <f t="shared" si="415"/>
        <v/>
      </c>
      <c r="D2618" s="63" t="str">
        <f t="shared" si="416"/>
        <v/>
      </c>
      <c r="E2618" t="str">
        <f t="shared" si="417"/>
        <v/>
      </c>
      <c r="F2618" t="str">
        <f t="shared" si="418"/>
        <v/>
      </c>
      <c r="G2618">
        <f t="shared" si="419"/>
        <v>7.67610062893082</v>
      </c>
    </row>
    <row r="2619" spans="2:7">
      <c r="B2619" s="46"/>
      <c r="C2619" t="str">
        <f t="shared" si="415"/>
        <v/>
      </c>
      <c r="D2619" s="63" t="str">
        <f t="shared" si="416"/>
        <v/>
      </c>
      <c r="E2619" t="str">
        <f t="shared" si="417"/>
        <v/>
      </c>
      <c r="F2619" t="str">
        <f t="shared" si="418"/>
        <v/>
      </c>
      <c r="G2619">
        <f t="shared" si="419"/>
        <v>10.3836477987421</v>
      </c>
    </row>
    <row r="2620" spans="2:7">
      <c r="B2620" s="46"/>
      <c r="C2620" t="str">
        <f t="shared" si="415"/>
        <v/>
      </c>
      <c r="D2620" s="63" t="str">
        <f t="shared" si="416"/>
        <v/>
      </c>
      <c r="E2620" t="str">
        <f t="shared" si="417"/>
        <v/>
      </c>
      <c r="F2620" t="str">
        <f t="shared" si="418"/>
        <v/>
      </c>
      <c r="G2620">
        <f t="shared" si="419"/>
        <v>13.2138364779874</v>
      </c>
    </row>
    <row r="2621" spans="2:7">
      <c r="B2621" s="46"/>
      <c r="C2621" t="str">
        <f t="shared" si="415"/>
        <v/>
      </c>
      <c r="D2621" s="63" t="str">
        <f t="shared" si="416"/>
        <v/>
      </c>
      <c r="E2621" t="str">
        <f t="shared" si="417"/>
        <v/>
      </c>
      <c r="F2621" t="str">
        <f t="shared" si="418"/>
        <v/>
      </c>
      <c r="G2621">
        <f t="shared" si="419"/>
        <v>14.7243186582809</v>
      </c>
    </row>
    <row r="2622" spans="2:7">
      <c r="B2622" s="46"/>
      <c r="C2622" t="str">
        <f t="shared" si="415"/>
        <v/>
      </c>
      <c r="D2622" s="63" t="str">
        <f t="shared" si="416"/>
        <v/>
      </c>
      <c r="E2622" t="str">
        <f t="shared" si="417"/>
        <v/>
      </c>
      <c r="F2622">
        <f t="shared" si="418"/>
        <v>9.17630385487529</v>
      </c>
      <c r="G2622" t="str">
        <f t="shared" si="419"/>
        <v/>
      </c>
    </row>
    <row r="2623" spans="2:7">
      <c r="B2623" s="46"/>
      <c r="C2623" t="str">
        <f t="shared" si="415"/>
        <v/>
      </c>
      <c r="D2623" s="63" t="str">
        <f t="shared" si="416"/>
        <v/>
      </c>
      <c r="E2623" t="str">
        <f t="shared" si="417"/>
        <v/>
      </c>
      <c r="F2623">
        <f t="shared" si="418"/>
        <v>12.328231292517</v>
      </c>
      <c r="G2623" t="str">
        <f t="shared" si="419"/>
        <v/>
      </c>
    </row>
    <row r="2624" spans="2:7">
      <c r="B2624" s="46"/>
      <c r="C2624" t="str">
        <f t="shared" si="415"/>
        <v/>
      </c>
      <c r="D2624" s="63" t="str">
        <f t="shared" si="416"/>
        <v/>
      </c>
      <c r="E2624" t="str">
        <f t="shared" si="417"/>
        <v/>
      </c>
      <c r="F2624">
        <f t="shared" si="418"/>
        <v>15.0017006802721</v>
      </c>
      <c r="G2624" t="str">
        <f t="shared" si="419"/>
        <v/>
      </c>
    </row>
    <row r="2625" spans="2:7">
      <c r="B2625" s="46"/>
      <c r="C2625">
        <f t="shared" si="415"/>
        <v>10.328125</v>
      </c>
      <c r="D2625" s="63" t="str">
        <f t="shared" si="416"/>
        <v/>
      </c>
      <c r="E2625" t="str">
        <f t="shared" si="417"/>
        <v/>
      </c>
      <c r="F2625" t="str">
        <f t="shared" si="418"/>
        <v/>
      </c>
      <c r="G2625" t="str">
        <f t="shared" si="419"/>
        <v/>
      </c>
    </row>
    <row r="2626" spans="2:7">
      <c r="B2626" s="46"/>
      <c r="C2626">
        <f t="shared" si="415"/>
        <v>14.5908564814815</v>
      </c>
      <c r="D2626" s="63" t="str">
        <f t="shared" si="416"/>
        <v/>
      </c>
      <c r="E2626" t="str">
        <f t="shared" si="417"/>
        <v/>
      </c>
      <c r="F2626" t="str">
        <f t="shared" si="418"/>
        <v/>
      </c>
      <c r="G2626" t="str">
        <f t="shared" si="419"/>
        <v/>
      </c>
    </row>
    <row r="2627" spans="2:7">
      <c r="B2627" s="46"/>
      <c r="C2627">
        <f t="shared" si="415"/>
        <v>14.9409722222222</v>
      </c>
      <c r="D2627" s="63" t="str">
        <f t="shared" si="416"/>
        <v/>
      </c>
      <c r="E2627" t="str">
        <f t="shared" si="417"/>
        <v/>
      </c>
      <c r="F2627" t="str">
        <f t="shared" si="418"/>
        <v/>
      </c>
      <c r="G2627" t="str">
        <f t="shared" si="419"/>
        <v/>
      </c>
    </row>
    <row r="2628" spans="2:7">
      <c r="B2628" s="46"/>
      <c r="C2628">
        <f t="shared" si="415"/>
        <v>19.2465277777778</v>
      </c>
      <c r="D2628" s="63" t="str">
        <f t="shared" si="416"/>
        <v/>
      </c>
      <c r="E2628" t="str">
        <f t="shared" si="417"/>
        <v/>
      </c>
      <c r="F2628" t="str">
        <f t="shared" si="418"/>
        <v/>
      </c>
      <c r="G2628" t="str">
        <f t="shared" si="419"/>
        <v/>
      </c>
    </row>
    <row r="2629" spans="2:7">
      <c r="B2629" s="46"/>
      <c r="C2629" t="str">
        <f t="shared" si="415"/>
        <v/>
      </c>
      <c r="D2629" s="63">
        <f t="shared" si="416"/>
        <v>15.0340375586854</v>
      </c>
      <c r="E2629" t="str">
        <f t="shared" si="417"/>
        <v/>
      </c>
      <c r="F2629" t="str">
        <f t="shared" si="418"/>
        <v/>
      </c>
      <c r="G2629" t="str">
        <f t="shared" si="419"/>
        <v/>
      </c>
    </row>
    <row r="2630" spans="2:7">
      <c r="B2630" s="46"/>
      <c r="C2630" t="str">
        <f t="shared" si="415"/>
        <v/>
      </c>
      <c r="D2630" s="63">
        <f t="shared" si="416"/>
        <v>15.0340375586854</v>
      </c>
      <c r="E2630" t="str">
        <f t="shared" si="417"/>
        <v/>
      </c>
      <c r="F2630" t="str">
        <f t="shared" si="418"/>
        <v/>
      </c>
      <c r="G2630" t="str">
        <f t="shared" si="419"/>
        <v/>
      </c>
    </row>
    <row r="2631" spans="2:7">
      <c r="B2631" s="46"/>
      <c r="C2631" t="str">
        <f t="shared" si="415"/>
        <v/>
      </c>
      <c r="D2631" s="63">
        <f t="shared" si="416"/>
        <v>16.1343896713615</v>
      </c>
      <c r="E2631" t="str">
        <f t="shared" si="417"/>
        <v/>
      </c>
      <c r="F2631" t="str">
        <f t="shared" si="418"/>
        <v/>
      </c>
      <c r="G2631" t="str">
        <f t="shared" si="419"/>
        <v/>
      </c>
    </row>
    <row r="2632" spans="2:7">
      <c r="B2632" s="46"/>
      <c r="C2632" t="str">
        <f t="shared" si="415"/>
        <v/>
      </c>
      <c r="D2632" s="63">
        <f t="shared" si="416"/>
        <v>16.8620892018779</v>
      </c>
      <c r="E2632" t="str">
        <f t="shared" si="417"/>
        <v/>
      </c>
      <c r="F2632" t="str">
        <f t="shared" si="418"/>
        <v/>
      </c>
      <c r="G2632" t="str">
        <f t="shared" si="419"/>
        <v/>
      </c>
    </row>
    <row r="2633" spans="2:7">
      <c r="B2633" s="46"/>
      <c r="C2633" t="str">
        <f t="shared" si="415"/>
        <v/>
      </c>
      <c r="D2633" s="63" t="str">
        <f t="shared" si="416"/>
        <v/>
      </c>
      <c r="E2633">
        <f t="shared" si="417"/>
        <v>16.1245098039216</v>
      </c>
      <c r="F2633" t="str">
        <f t="shared" si="418"/>
        <v/>
      </c>
      <c r="G2633" t="str">
        <f t="shared" si="419"/>
        <v/>
      </c>
    </row>
    <row r="2634" spans="2:7">
      <c r="B2634" s="46"/>
      <c r="C2634" t="str">
        <f t="shared" si="415"/>
        <v/>
      </c>
      <c r="D2634" s="63" t="str">
        <f t="shared" si="416"/>
        <v/>
      </c>
      <c r="E2634">
        <f t="shared" si="417"/>
        <v>17.9225490196078</v>
      </c>
      <c r="F2634" t="str">
        <f t="shared" si="418"/>
        <v/>
      </c>
      <c r="G2634" t="str">
        <f t="shared" si="419"/>
        <v/>
      </c>
    </row>
    <row r="2635" spans="2:7">
      <c r="B2635" s="46"/>
      <c r="C2635" t="str">
        <f t="shared" si="415"/>
        <v/>
      </c>
      <c r="D2635" s="63" t="str">
        <f t="shared" si="416"/>
        <v/>
      </c>
      <c r="E2635">
        <f t="shared" si="417"/>
        <v>18.7166666666667</v>
      </c>
      <c r="F2635" t="str">
        <f t="shared" si="418"/>
        <v/>
      </c>
      <c r="G2635" t="str">
        <f t="shared" si="419"/>
        <v/>
      </c>
    </row>
    <row r="2636" spans="2:7">
      <c r="B2636" s="46"/>
      <c r="C2636" t="str">
        <f t="shared" si="415"/>
        <v/>
      </c>
      <c r="D2636" s="63" t="str">
        <f t="shared" si="416"/>
        <v/>
      </c>
      <c r="E2636">
        <f t="shared" si="417"/>
        <v>18.9539215686275</v>
      </c>
      <c r="F2636" t="str">
        <f t="shared" si="418"/>
        <v/>
      </c>
      <c r="G2636" t="str">
        <f t="shared" si="419"/>
        <v/>
      </c>
    </row>
    <row r="2637" spans="2:7">
      <c r="B2637" s="46"/>
      <c r="C2637" t="str">
        <f t="shared" si="415"/>
        <v/>
      </c>
      <c r="D2637" s="63" t="str">
        <f t="shared" si="416"/>
        <v/>
      </c>
      <c r="E2637" t="str">
        <f t="shared" si="417"/>
        <v/>
      </c>
      <c r="F2637" t="str">
        <f t="shared" si="418"/>
        <v/>
      </c>
      <c r="G2637">
        <f t="shared" si="419"/>
        <v>15.4449685534591</v>
      </c>
    </row>
    <row r="2638" spans="2:7">
      <c r="B2638" s="46"/>
      <c r="C2638" t="str">
        <f t="shared" si="415"/>
        <v/>
      </c>
      <c r="D2638" s="63" t="str">
        <f t="shared" si="416"/>
        <v/>
      </c>
      <c r="E2638" t="str">
        <f t="shared" si="417"/>
        <v/>
      </c>
      <c r="F2638" t="str">
        <f t="shared" si="418"/>
        <v/>
      </c>
      <c r="G2638">
        <f t="shared" si="419"/>
        <v>16.4669811320755</v>
      </c>
    </row>
    <row r="2639" spans="2:7">
      <c r="B2639" s="46"/>
      <c r="C2639" t="str">
        <f t="shared" si="415"/>
        <v/>
      </c>
      <c r="D2639" s="63" t="str">
        <f t="shared" si="416"/>
        <v/>
      </c>
      <c r="E2639" t="str">
        <f t="shared" si="417"/>
        <v/>
      </c>
      <c r="F2639" t="str">
        <f t="shared" si="418"/>
        <v/>
      </c>
      <c r="G2639">
        <f t="shared" si="419"/>
        <v>17.7877358490566</v>
      </c>
    </row>
    <row r="2640" spans="2:7">
      <c r="B2640" s="46"/>
      <c r="C2640" t="str">
        <f t="shared" si="415"/>
        <v/>
      </c>
      <c r="D2640" s="63" t="str">
        <f t="shared" si="416"/>
        <v/>
      </c>
      <c r="E2640" t="str">
        <f t="shared" si="417"/>
        <v/>
      </c>
      <c r="F2640" t="str">
        <f t="shared" si="418"/>
        <v/>
      </c>
      <c r="G2640">
        <f t="shared" si="419"/>
        <v>18.377358490566</v>
      </c>
    </row>
    <row r="2641" spans="2:7">
      <c r="B2641" s="46"/>
      <c r="C2641" t="str">
        <f t="shared" si="415"/>
        <v/>
      </c>
      <c r="D2641" s="63" t="str">
        <f t="shared" si="416"/>
        <v/>
      </c>
      <c r="E2641" t="str">
        <f t="shared" si="417"/>
        <v/>
      </c>
      <c r="F2641">
        <f t="shared" si="418"/>
        <v>15.4234693877551</v>
      </c>
      <c r="G2641" t="str">
        <f t="shared" si="419"/>
        <v/>
      </c>
    </row>
    <row r="2642" spans="2:7">
      <c r="B2642" s="46"/>
      <c r="C2642" t="str">
        <f t="shared" si="415"/>
        <v/>
      </c>
      <c r="D2642" s="63" t="str">
        <f t="shared" si="416"/>
        <v/>
      </c>
      <c r="E2642" t="str">
        <f t="shared" si="417"/>
        <v/>
      </c>
      <c r="F2642">
        <f t="shared" si="418"/>
        <v>16.7698412698413</v>
      </c>
      <c r="G2642" t="str">
        <f t="shared" si="419"/>
        <v/>
      </c>
    </row>
    <row r="2643" spans="2:7">
      <c r="B2643" s="46"/>
      <c r="C2643" t="str">
        <f t="shared" si="415"/>
        <v/>
      </c>
      <c r="D2643" s="63" t="str">
        <f t="shared" si="416"/>
        <v/>
      </c>
      <c r="E2643" t="str">
        <f t="shared" si="417"/>
        <v/>
      </c>
      <c r="F2643">
        <f t="shared" si="418"/>
        <v>18.109410430839</v>
      </c>
      <c r="G2643" t="str">
        <f t="shared" si="419"/>
        <v/>
      </c>
    </row>
    <row r="2644" spans="2:7">
      <c r="B2644" s="46"/>
      <c r="C2644" t="str">
        <f t="shared" si="415"/>
        <v/>
      </c>
      <c r="D2644" s="63" t="str">
        <f t="shared" si="416"/>
        <v/>
      </c>
      <c r="E2644" t="str">
        <f t="shared" si="417"/>
        <v/>
      </c>
      <c r="F2644">
        <f t="shared" si="418"/>
        <v>20.1581632653061</v>
      </c>
      <c r="G2644" t="str">
        <f t="shared" si="419"/>
        <v/>
      </c>
    </row>
    <row r="2645" spans="2:7">
      <c r="B2645" s="46"/>
      <c r="C2645" t="str">
        <f t="shared" si="415"/>
        <v/>
      </c>
      <c r="D2645" s="63" t="str">
        <f t="shared" si="416"/>
        <v/>
      </c>
      <c r="E2645" t="str">
        <f t="shared" si="417"/>
        <v/>
      </c>
      <c r="F2645">
        <f t="shared" si="418"/>
        <v>22.1581632653061</v>
      </c>
      <c r="G2645" t="str">
        <f t="shared" si="419"/>
        <v/>
      </c>
    </row>
    <row r="2646" spans="2:7">
      <c r="B2646" s="46"/>
      <c r="C2646" t="str">
        <f t="shared" si="415"/>
        <v/>
      </c>
      <c r="D2646" s="63" t="str">
        <f t="shared" si="416"/>
        <v/>
      </c>
      <c r="E2646" t="str">
        <f t="shared" si="417"/>
        <v/>
      </c>
      <c r="F2646">
        <f t="shared" si="418"/>
        <v>22.8781179138322</v>
      </c>
      <c r="G2646" t="str">
        <f t="shared" si="419"/>
        <v/>
      </c>
    </row>
    <row r="2647" spans="2:7">
      <c r="B2647" s="46"/>
      <c r="C2647" t="str">
        <f t="shared" si="415"/>
        <v/>
      </c>
      <c r="D2647" s="63">
        <f t="shared" si="416"/>
        <v>17.3022300469484</v>
      </c>
      <c r="E2647" t="str">
        <f t="shared" si="417"/>
        <v/>
      </c>
      <c r="F2647" t="str">
        <f t="shared" si="418"/>
        <v/>
      </c>
      <c r="G2647" t="str">
        <f t="shared" si="419"/>
        <v/>
      </c>
    </row>
    <row r="2648" spans="2:7">
      <c r="B2648" s="46"/>
      <c r="C2648" t="str">
        <f t="shared" si="415"/>
        <v/>
      </c>
      <c r="D2648" s="63">
        <f t="shared" si="416"/>
        <v>22.837441314554</v>
      </c>
      <c r="E2648" t="str">
        <f t="shared" si="417"/>
        <v/>
      </c>
      <c r="F2648" t="str">
        <f t="shared" si="418"/>
        <v/>
      </c>
      <c r="G2648" t="str">
        <f t="shared" si="419"/>
        <v/>
      </c>
    </row>
    <row r="2649" spans="2:7">
      <c r="B2649" s="46"/>
      <c r="C2649" t="str">
        <f t="shared" si="415"/>
        <v/>
      </c>
      <c r="D2649" s="63">
        <f t="shared" si="416"/>
        <v>23.7089201877934</v>
      </c>
      <c r="E2649" t="str">
        <f t="shared" si="417"/>
        <v/>
      </c>
      <c r="F2649" t="str">
        <f t="shared" si="418"/>
        <v/>
      </c>
      <c r="G2649" t="str">
        <f t="shared" si="419"/>
        <v/>
      </c>
    </row>
    <row r="2650" spans="2:7">
      <c r="B2650" s="46"/>
      <c r="C2650" t="str">
        <f t="shared" si="415"/>
        <v/>
      </c>
      <c r="D2650" s="63">
        <f t="shared" si="416"/>
        <v>24.3427230046948</v>
      </c>
      <c r="E2650" t="str">
        <f t="shared" si="417"/>
        <v/>
      </c>
      <c r="F2650" t="str">
        <f t="shared" si="418"/>
        <v/>
      </c>
      <c r="G2650" t="str">
        <f t="shared" si="419"/>
        <v/>
      </c>
    </row>
    <row r="2651" spans="2:7">
      <c r="B2651" s="46"/>
      <c r="C2651" t="str">
        <f t="shared" si="415"/>
        <v/>
      </c>
      <c r="D2651" s="63">
        <f t="shared" si="416"/>
        <v>27.5704225352113</v>
      </c>
      <c r="E2651" t="str">
        <f t="shared" si="417"/>
        <v/>
      </c>
      <c r="F2651" t="str">
        <f t="shared" si="418"/>
        <v/>
      </c>
      <c r="G2651" t="str">
        <f t="shared" si="419"/>
        <v/>
      </c>
    </row>
    <row r="2652" spans="2:7">
      <c r="B2652" s="46"/>
      <c r="C2652" t="str">
        <f t="shared" si="415"/>
        <v/>
      </c>
      <c r="D2652" s="63" t="str">
        <f t="shared" si="416"/>
        <v/>
      </c>
      <c r="E2652" t="str">
        <f t="shared" si="417"/>
        <v/>
      </c>
      <c r="F2652" t="str">
        <f t="shared" si="418"/>
        <v/>
      </c>
      <c r="G2652">
        <f t="shared" si="419"/>
        <v>19.1949685534591</v>
      </c>
    </row>
    <row r="2653" spans="2:7">
      <c r="B2653" s="46"/>
      <c r="C2653" t="str">
        <f t="shared" si="415"/>
        <v/>
      </c>
      <c r="D2653" s="63" t="str">
        <f t="shared" si="416"/>
        <v/>
      </c>
      <c r="E2653" t="str">
        <f t="shared" si="417"/>
        <v/>
      </c>
      <c r="F2653" t="str">
        <f t="shared" si="418"/>
        <v/>
      </c>
      <c r="G2653">
        <f t="shared" si="419"/>
        <v>21.9606918238994</v>
      </c>
    </row>
    <row r="2654" spans="2:7">
      <c r="B2654" s="46"/>
      <c r="C2654" t="str">
        <f t="shared" si="415"/>
        <v/>
      </c>
      <c r="D2654" s="63" t="str">
        <f t="shared" si="416"/>
        <v/>
      </c>
      <c r="E2654" t="str">
        <f t="shared" si="417"/>
        <v/>
      </c>
      <c r="F2654" t="str">
        <f t="shared" si="418"/>
        <v/>
      </c>
      <c r="G2654">
        <f t="shared" si="419"/>
        <v>21.9606918238994</v>
      </c>
    </row>
    <row r="2655" spans="2:7">
      <c r="B2655" s="46"/>
      <c r="C2655" t="str">
        <f t="shared" si="415"/>
        <v/>
      </c>
      <c r="D2655" s="63" t="str">
        <f t="shared" si="416"/>
        <v/>
      </c>
      <c r="E2655" t="str">
        <f t="shared" si="417"/>
        <v/>
      </c>
      <c r="F2655" t="str">
        <f t="shared" si="418"/>
        <v/>
      </c>
      <c r="G2655">
        <f t="shared" si="419"/>
        <v>25.2222222222222</v>
      </c>
    </row>
    <row r="2656" spans="2:7">
      <c r="B2656" s="46"/>
      <c r="C2656" t="str">
        <f t="shared" si="415"/>
        <v/>
      </c>
      <c r="D2656" s="63" t="str">
        <f t="shared" si="416"/>
        <v/>
      </c>
      <c r="E2656">
        <f t="shared" si="417"/>
        <v>22.268137254902</v>
      </c>
      <c r="F2656" t="str">
        <f t="shared" si="418"/>
        <v/>
      </c>
      <c r="G2656" t="str">
        <f t="shared" si="419"/>
        <v/>
      </c>
    </row>
    <row r="2657" spans="2:7">
      <c r="B2657" s="46"/>
      <c r="C2657" t="str">
        <f t="shared" si="415"/>
        <v/>
      </c>
      <c r="D2657" s="63" t="str">
        <f t="shared" si="416"/>
        <v/>
      </c>
      <c r="E2657">
        <f t="shared" si="417"/>
        <v>22.268137254902</v>
      </c>
      <c r="F2657" t="str">
        <f t="shared" si="418"/>
        <v/>
      </c>
      <c r="G2657" t="str">
        <f t="shared" si="419"/>
        <v/>
      </c>
    </row>
    <row r="2658" spans="2:7">
      <c r="B2658" s="46"/>
      <c r="C2658" t="str">
        <f t="shared" si="415"/>
        <v/>
      </c>
      <c r="D2658" s="63" t="str">
        <f t="shared" si="416"/>
        <v/>
      </c>
      <c r="E2658">
        <f t="shared" si="417"/>
        <v>24.6995098039216</v>
      </c>
      <c r="F2658" t="str">
        <f t="shared" si="418"/>
        <v/>
      </c>
      <c r="G2658" t="str">
        <f t="shared" si="419"/>
        <v/>
      </c>
    </row>
    <row r="2659" spans="2:7">
      <c r="B2659" s="46"/>
      <c r="C2659" t="str">
        <f t="shared" si="415"/>
        <v/>
      </c>
      <c r="D2659" s="63" t="str">
        <f t="shared" si="416"/>
        <v/>
      </c>
      <c r="E2659">
        <f t="shared" si="417"/>
        <v>25.3416666666667</v>
      </c>
      <c r="F2659" t="str">
        <f t="shared" si="418"/>
        <v/>
      </c>
      <c r="G2659" t="str">
        <f t="shared" si="419"/>
        <v/>
      </c>
    </row>
    <row r="2660" spans="2:7">
      <c r="B2660" s="46"/>
      <c r="C2660">
        <f t="shared" si="415"/>
        <v>19.5358796296296</v>
      </c>
      <c r="D2660" s="63" t="str">
        <f t="shared" si="416"/>
        <v/>
      </c>
      <c r="E2660" t="str">
        <f t="shared" si="417"/>
        <v/>
      </c>
      <c r="F2660" t="str">
        <f t="shared" si="418"/>
        <v/>
      </c>
      <c r="G2660" t="str">
        <f t="shared" si="419"/>
        <v/>
      </c>
    </row>
    <row r="2661" spans="2:7">
      <c r="B2661" s="46"/>
      <c r="C2661">
        <f t="shared" si="415"/>
        <v>20.1608796296296</v>
      </c>
      <c r="D2661" s="63" t="str">
        <f t="shared" si="416"/>
        <v/>
      </c>
      <c r="E2661" t="str">
        <f t="shared" si="417"/>
        <v/>
      </c>
      <c r="F2661" t="str">
        <f t="shared" si="418"/>
        <v/>
      </c>
      <c r="G2661" t="str">
        <f t="shared" si="419"/>
        <v/>
      </c>
    </row>
    <row r="2662" spans="2:7">
      <c r="B2662" s="46"/>
      <c r="C2662">
        <f t="shared" si="415"/>
        <v>21.7233796296296</v>
      </c>
      <c r="D2662" s="63" t="str">
        <f t="shared" si="416"/>
        <v/>
      </c>
      <c r="E2662" t="str">
        <f t="shared" si="417"/>
        <v/>
      </c>
      <c r="F2662" t="str">
        <f t="shared" si="418"/>
        <v/>
      </c>
      <c r="G2662" t="str">
        <f t="shared" si="419"/>
        <v/>
      </c>
    </row>
    <row r="2663" spans="2:7">
      <c r="B2663" s="46"/>
      <c r="C2663">
        <f t="shared" si="415"/>
        <v>22.7054398148148</v>
      </c>
      <c r="D2663" s="63" t="str">
        <f t="shared" si="416"/>
        <v/>
      </c>
      <c r="E2663" t="str">
        <f t="shared" si="417"/>
        <v/>
      </c>
      <c r="F2663" t="str">
        <f t="shared" si="418"/>
        <v/>
      </c>
      <c r="G2663" t="str">
        <f t="shared" si="419"/>
        <v/>
      </c>
    </row>
    <row r="2664" spans="2:7">
      <c r="B2664" s="46"/>
      <c r="C2664">
        <f t="shared" si="415"/>
        <v>22.7054398148148</v>
      </c>
      <c r="D2664" s="63" t="str">
        <f t="shared" si="416"/>
        <v/>
      </c>
      <c r="E2664" t="str">
        <f t="shared" si="417"/>
        <v/>
      </c>
      <c r="F2664" t="str">
        <f t="shared" si="418"/>
        <v/>
      </c>
      <c r="G2664" t="str">
        <f t="shared" si="419"/>
        <v/>
      </c>
    </row>
    <row r="2665" spans="2:7">
      <c r="B2665" s="46"/>
      <c r="C2665">
        <f>IF(J72=1,S72,"")</f>
        <v>22.8512731481482</v>
      </c>
      <c r="D2665" s="63" t="str">
        <f>IF(J72=2,S72,"")</f>
        <v/>
      </c>
      <c r="E2665" t="str">
        <f>IF(J72=3,S72,"")</f>
        <v/>
      </c>
      <c r="F2665" t="str">
        <f>IF(J72=4,S72,"")</f>
        <v/>
      </c>
      <c r="G2665" t="str">
        <f>IF(J72=5,S72,"")</f>
        <v/>
      </c>
    </row>
    <row r="2666" ht="15.75" spans="2:7">
      <c r="B2666" s="46"/>
      <c r="C2666">
        <f>IF(J73=1,S73,"")</f>
        <v>34.4068287037037</v>
      </c>
      <c r="D2666" s="63" t="str">
        <f>IF(J73=2,S73,"")</f>
        <v/>
      </c>
      <c r="E2666" t="str">
        <f>IF(J73=3,S73,"")</f>
        <v/>
      </c>
      <c r="F2666" t="str">
        <f>IF(J73=4,S73,"")</f>
        <v/>
      </c>
      <c r="G2666" t="str">
        <f>IF(J73=5,S73,"")</f>
        <v/>
      </c>
    </row>
    <row r="2667" spans="2:7">
      <c r="B2667" s="74" t="s">
        <v>269</v>
      </c>
      <c r="C2667" s="75">
        <f>MAX(C2601:C2666)</f>
        <v>34.4068287037037</v>
      </c>
      <c r="D2667" s="75">
        <f t="shared" ref="D2667:G2667" si="420">MAX(D2601:D2666)</f>
        <v>27.5704225352113</v>
      </c>
      <c r="E2667" s="75">
        <f t="shared" si="420"/>
        <v>25.3416666666667</v>
      </c>
      <c r="F2667" s="75">
        <f t="shared" si="420"/>
        <v>22.8781179138322</v>
      </c>
      <c r="G2667" s="75">
        <f t="shared" si="420"/>
        <v>25.2222222222222</v>
      </c>
    </row>
    <row r="2668" spans="2:7">
      <c r="B2668" s="76" t="s">
        <v>270</v>
      </c>
      <c r="C2668" s="77">
        <v>1</v>
      </c>
      <c r="D2668" s="78">
        <v>2</v>
      </c>
      <c r="E2668">
        <v>3</v>
      </c>
      <c r="F2668">
        <v>4</v>
      </c>
      <c r="G2668">
        <v>5</v>
      </c>
    </row>
    <row r="2669" spans="2:7">
      <c r="B2669" s="79" t="s">
        <v>271</v>
      </c>
      <c r="C2669" s="72">
        <f>HLOOKUP(MIN(C2667:G2667),C2667:G2668,2,FALSE)</f>
        <v>4</v>
      </c>
      <c r="D2669" s="80"/>
    </row>
    <row r="2671" ht="15.75" spans="2:7">
      <c r="B2671" s="43" t="s">
        <v>337</v>
      </c>
      <c r="C2671" s="44"/>
      <c r="D2671" s="45"/>
    </row>
    <row r="2672" spans="2:7">
      <c r="B2672" s="46"/>
      <c r="C2672" s="61" t="s">
        <v>264</v>
      </c>
      <c r="D2672" s="61" t="s">
        <v>265</v>
      </c>
      <c r="E2672" s="62" t="s">
        <v>286</v>
      </c>
      <c r="F2672" s="62" t="s">
        <v>287</v>
      </c>
      <c r="G2672" s="62" t="s">
        <v>288</v>
      </c>
    </row>
    <row r="2673" spans="2:7">
      <c r="B2673" s="46"/>
      <c r="C2673">
        <f t="shared" ref="C2673:C2736" si="421">IF(J8=1,S8,"")</f>
        <v>0.700231481481482</v>
      </c>
      <c r="D2673" s="63" t="str">
        <f t="shared" ref="D2673:D2736" si="422">IF(J8=2,S8,"")</f>
        <v/>
      </c>
      <c r="E2673" t="str">
        <f t="shared" ref="E2673:E2736" si="423">IF(J8=3,S8,"")</f>
        <v/>
      </c>
      <c r="F2673" t="str">
        <f t="shared" ref="F2673:F2736" si="424">IF(J8=4,S8,"")</f>
        <v/>
      </c>
      <c r="G2673" t="str">
        <f t="shared" ref="G2673:G2736" si="425">IF(J8=5,S8,"")</f>
        <v/>
      </c>
    </row>
    <row r="2674" spans="2:7">
      <c r="B2674" s="46"/>
      <c r="C2674" t="str">
        <f t="shared" si="421"/>
        <v/>
      </c>
      <c r="D2674" s="63">
        <f t="shared" si="422"/>
        <v>0.734154929577465</v>
      </c>
      <c r="E2674" t="str">
        <f t="shared" si="423"/>
        <v/>
      </c>
      <c r="F2674" t="str">
        <f t="shared" si="424"/>
        <v/>
      </c>
      <c r="G2674" t="str">
        <f t="shared" si="425"/>
        <v/>
      </c>
    </row>
    <row r="2675" spans="2:7">
      <c r="B2675" s="46"/>
      <c r="C2675" t="str">
        <f t="shared" si="421"/>
        <v/>
      </c>
      <c r="D2675" s="63" t="str">
        <f t="shared" si="422"/>
        <v/>
      </c>
      <c r="E2675">
        <f t="shared" si="423"/>
        <v>1.83823529411765</v>
      </c>
      <c r="F2675" t="str">
        <f t="shared" si="424"/>
        <v/>
      </c>
      <c r="G2675" t="str">
        <f t="shared" si="425"/>
        <v/>
      </c>
    </row>
    <row r="2676" spans="2:7">
      <c r="B2676" s="46"/>
      <c r="C2676" t="str">
        <f t="shared" si="421"/>
        <v/>
      </c>
      <c r="D2676" s="63" t="str">
        <f t="shared" si="422"/>
        <v/>
      </c>
      <c r="E2676" t="str">
        <f t="shared" si="423"/>
        <v/>
      </c>
      <c r="F2676">
        <f t="shared" si="424"/>
        <v>4.28571428571429</v>
      </c>
      <c r="G2676" t="str">
        <f t="shared" si="425"/>
        <v/>
      </c>
    </row>
    <row r="2677" spans="2:7">
      <c r="B2677" s="46"/>
      <c r="C2677" t="str">
        <f t="shared" si="421"/>
        <v/>
      </c>
      <c r="D2677" s="63" t="str">
        <f t="shared" si="422"/>
        <v/>
      </c>
      <c r="E2677" t="str">
        <f t="shared" si="423"/>
        <v/>
      </c>
      <c r="F2677" t="str">
        <f t="shared" si="424"/>
        <v/>
      </c>
      <c r="G2677">
        <f t="shared" si="425"/>
        <v>3.43396226415094</v>
      </c>
    </row>
    <row r="2678" spans="2:7">
      <c r="B2678" s="46"/>
      <c r="C2678" t="str">
        <f t="shared" si="421"/>
        <v/>
      </c>
      <c r="D2678" s="63" t="str">
        <f t="shared" si="422"/>
        <v/>
      </c>
      <c r="E2678">
        <f t="shared" si="423"/>
        <v>14.5833333333333</v>
      </c>
      <c r="F2678" t="str">
        <f t="shared" si="424"/>
        <v/>
      </c>
      <c r="G2678" t="str">
        <f t="shared" si="425"/>
        <v/>
      </c>
    </row>
    <row r="2679" spans="2:7">
      <c r="B2679" s="46"/>
      <c r="C2679" t="str">
        <f t="shared" si="421"/>
        <v/>
      </c>
      <c r="D2679" s="63" t="str">
        <f t="shared" si="422"/>
        <v/>
      </c>
      <c r="E2679" t="str">
        <f t="shared" si="423"/>
        <v/>
      </c>
      <c r="F2679">
        <f t="shared" si="424"/>
        <v>6.42857142857143</v>
      </c>
      <c r="G2679" t="str">
        <f t="shared" si="425"/>
        <v/>
      </c>
    </row>
    <row r="2680" spans="2:7">
      <c r="B2680" s="46"/>
      <c r="C2680" t="str">
        <f t="shared" si="421"/>
        <v/>
      </c>
      <c r="D2680" s="63" t="str">
        <f t="shared" si="422"/>
        <v/>
      </c>
      <c r="E2680" t="str">
        <f t="shared" si="423"/>
        <v/>
      </c>
      <c r="F2680" t="str">
        <f t="shared" si="424"/>
        <v/>
      </c>
      <c r="G2680">
        <f t="shared" si="425"/>
        <v>3.84591194968553</v>
      </c>
    </row>
    <row r="2681" spans="2:7">
      <c r="B2681" s="46"/>
      <c r="C2681">
        <f t="shared" si="421"/>
        <v>0.844907407407407</v>
      </c>
      <c r="D2681" s="63" t="str">
        <f t="shared" si="422"/>
        <v/>
      </c>
      <c r="E2681" t="str">
        <f t="shared" si="423"/>
        <v/>
      </c>
      <c r="F2681" t="str">
        <f t="shared" si="424"/>
        <v/>
      </c>
      <c r="G2681" t="str">
        <f t="shared" si="425"/>
        <v/>
      </c>
    </row>
    <row r="2682" spans="2:7">
      <c r="B2682" s="46"/>
      <c r="C2682">
        <f t="shared" si="421"/>
        <v>6.79803240740741</v>
      </c>
      <c r="D2682" s="63" t="str">
        <f t="shared" si="422"/>
        <v/>
      </c>
      <c r="E2682" t="str">
        <f t="shared" si="423"/>
        <v/>
      </c>
      <c r="F2682" t="str">
        <f t="shared" si="424"/>
        <v/>
      </c>
      <c r="G2682" t="str">
        <f t="shared" si="425"/>
        <v/>
      </c>
    </row>
    <row r="2683" spans="2:7">
      <c r="B2683" s="46"/>
      <c r="C2683">
        <f t="shared" si="421"/>
        <v>6.79803240740741</v>
      </c>
      <c r="D2683" s="63" t="str">
        <f t="shared" si="422"/>
        <v/>
      </c>
      <c r="E2683" t="str">
        <f t="shared" si="423"/>
        <v/>
      </c>
      <c r="F2683" t="str">
        <f t="shared" si="424"/>
        <v/>
      </c>
      <c r="G2683" t="str">
        <f t="shared" si="425"/>
        <v/>
      </c>
    </row>
    <row r="2684" spans="2:7">
      <c r="B2684" s="46"/>
      <c r="C2684">
        <f t="shared" si="421"/>
        <v>7.52719907407408</v>
      </c>
      <c r="D2684" s="63" t="str">
        <f t="shared" si="422"/>
        <v/>
      </c>
      <c r="E2684" t="str">
        <f t="shared" si="423"/>
        <v/>
      </c>
      <c r="F2684" t="str">
        <f t="shared" si="424"/>
        <v/>
      </c>
      <c r="G2684" t="str">
        <f t="shared" si="425"/>
        <v/>
      </c>
    </row>
    <row r="2685" spans="2:7">
      <c r="B2685" s="46"/>
      <c r="C2685" t="str">
        <f t="shared" si="421"/>
        <v/>
      </c>
      <c r="D2685" s="63">
        <f t="shared" si="422"/>
        <v>2.7881455399061</v>
      </c>
      <c r="E2685" t="str">
        <f t="shared" si="423"/>
        <v/>
      </c>
      <c r="F2685" t="str">
        <f t="shared" si="424"/>
        <v/>
      </c>
      <c r="G2685" t="str">
        <f t="shared" si="425"/>
        <v/>
      </c>
    </row>
    <row r="2686" spans="2:7">
      <c r="B2686" s="46"/>
      <c r="C2686" t="str">
        <f t="shared" si="421"/>
        <v/>
      </c>
      <c r="D2686" s="63">
        <f t="shared" si="422"/>
        <v>4.47535211267606</v>
      </c>
      <c r="E2686" t="str">
        <f t="shared" si="423"/>
        <v/>
      </c>
      <c r="F2686" t="str">
        <f t="shared" si="424"/>
        <v/>
      </c>
      <c r="G2686" t="str">
        <f t="shared" si="425"/>
        <v/>
      </c>
    </row>
    <row r="2687" spans="2:7">
      <c r="B2687" s="46"/>
      <c r="C2687" t="str">
        <f t="shared" si="421"/>
        <v/>
      </c>
      <c r="D2687" s="63">
        <f t="shared" si="422"/>
        <v>6.10680751173709</v>
      </c>
      <c r="E2687" t="str">
        <f t="shared" si="423"/>
        <v/>
      </c>
      <c r="F2687" t="str">
        <f t="shared" si="424"/>
        <v/>
      </c>
      <c r="G2687" t="str">
        <f t="shared" si="425"/>
        <v/>
      </c>
    </row>
    <row r="2688" spans="2:7">
      <c r="B2688" s="46"/>
      <c r="C2688" t="str">
        <f t="shared" si="421"/>
        <v/>
      </c>
      <c r="D2688" s="63">
        <f t="shared" si="422"/>
        <v>8.50821596244131</v>
      </c>
      <c r="E2688" t="str">
        <f t="shared" si="423"/>
        <v/>
      </c>
      <c r="F2688" t="str">
        <f t="shared" si="424"/>
        <v/>
      </c>
      <c r="G2688" t="str">
        <f t="shared" si="425"/>
        <v/>
      </c>
    </row>
    <row r="2689" spans="2:7">
      <c r="B2689" s="46"/>
      <c r="C2689" t="str">
        <f t="shared" si="421"/>
        <v/>
      </c>
      <c r="D2689" s="63">
        <f t="shared" si="422"/>
        <v>10.268779342723</v>
      </c>
      <c r="E2689" t="str">
        <f t="shared" si="423"/>
        <v/>
      </c>
      <c r="F2689" t="str">
        <f t="shared" si="424"/>
        <v/>
      </c>
      <c r="G2689" t="str">
        <f t="shared" si="425"/>
        <v/>
      </c>
    </row>
    <row r="2690" spans="2:7">
      <c r="B2690" s="46"/>
      <c r="C2690" t="str">
        <f t="shared" si="421"/>
        <v/>
      </c>
      <c r="D2690" s="63" t="str">
        <f t="shared" si="422"/>
        <v/>
      </c>
      <c r="E2690" t="str">
        <f t="shared" si="423"/>
        <v/>
      </c>
      <c r="F2690" t="str">
        <f t="shared" si="424"/>
        <v/>
      </c>
      <c r="G2690">
        <f t="shared" si="425"/>
        <v>7.67610062893082</v>
      </c>
    </row>
    <row r="2691" spans="2:7">
      <c r="B2691" s="46"/>
      <c r="C2691" t="str">
        <f t="shared" si="421"/>
        <v/>
      </c>
      <c r="D2691" s="63" t="str">
        <f t="shared" si="422"/>
        <v/>
      </c>
      <c r="E2691" t="str">
        <f t="shared" si="423"/>
        <v/>
      </c>
      <c r="F2691" t="str">
        <f t="shared" si="424"/>
        <v/>
      </c>
      <c r="G2691">
        <f t="shared" si="425"/>
        <v>10.3836477987421</v>
      </c>
    </row>
    <row r="2692" spans="2:7">
      <c r="B2692" s="46"/>
      <c r="C2692" t="str">
        <f t="shared" si="421"/>
        <v/>
      </c>
      <c r="D2692" s="63" t="str">
        <f t="shared" si="422"/>
        <v/>
      </c>
      <c r="E2692" t="str">
        <f t="shared" si="423"/>
        <v/>
      </c>
      <c r="F2692" t="str">
        <f t="shared" si="424"/>
        <v/>
      </c>
      <c r="G2692">
        <f t="shared" si="425"/>
        <v>13.2138364779874</v>
      </c>
    </row>
    <row r="2693" spans="2:7">
      <c r="B2693" s="46"/>
      <c r="C2693" t="str">
        <f t="shared" si="421"/>
        <v/>
      </c>
      <c r="D2693" s="63" t="str">
        <f t="shared" si="422"/>
        <v/>
      </c>
      <c r="E2693" t="str">
        <f t="shared" si="423"/>
        <v/>
      </c>
      <c r="F2693" t="str">
        <f t="shared" si="424"/>
        <v/>
      </c>
      <c r="G2693">
        <f t="shared" si="425"/>
        <v>14.7243186582809</v>
      </c>
    </row>
    <row r="2694" spans="2:7">
      <c r="B2694" s="46"/>
      <c r="C2694" t="str">
        <f t="shared" si="421"/>
        <v/>
      </c>
      <c r="D2694" s="63" t="str">
        <f t="shared" si="422"/>
        <v/>
      </c>
      <c r="E2694" t="str">
        <f t="shared" si="423"/>
        <v/>
      </c>
      <c r="F2694">
        <f t="shared" si="424"/>
        <v>9.17630385487529</v>
      </c>
      <c r="G2694" t="str">
        <f t="shared" si="425"/>
        <v/>
      </c>
    </row>
    <row r="2695" spans="2:7">
      <c r="B2695" s="46"/>
      <c r="C2695" t="str">
        <f t="shared" si="421"/>
        <v/>
      </c>
      <c r="D2695" s="63" t="str">
        <f t="shared" si="422"/>
        <v/>
      </c>
      <c r="E2695" t="str">
        <f t="shared" si="423"/>
        <v/>
      </c>
      <c r="F2695">
        <f t="shared" si="424"/>
        <v>12.328231292517</v>
      </c>
      <c r="G2695" t="str">
        <f t="shared" si="425"/>
        <v/>
      </c>
    </row>
    <row r="2696" spans="2:7">
      <c r="B2696" s="46"/>
      <c r="C2696" t="str">
        <f t="shared" si="421"/>
        <v/>
      </c>
      <c r="D2696" s="63" t="str">
        <f t="shared" si="422"/>
        <v/>
      </c>
      <c r="E2696" t="str">
        <f t="shared" si="423"/>
        <v/>
      </c>
      <c r="F2696">
        <f t="shared" si="424"/>
        <v>15.0017006802721</v>
      </c>
      <c r="G2696" t="str">
        <f t="shared" si="425"/>
        <v/>
      </c>
    </row>
    <row r="2697" spans="2:7">
      <c r="B2697" s="46"/>
      <c r="C2697">
        <f t="shared" si="421"/>
        <v>10.328125</v>
      </c>
      <c r="D2697" s="63" t="str">
        <f t="shared" si="422"/>
        <v/>
      </c>
      <c r="E2697" t="str">
        <f t="shared" si="423"/>
        <v/>
      </c>
      <c r="F2697" t="str">
        <f t="shared" si="424"/>
        <v/>
      </c>
      <c r="G2697" t="str">
        <f t="shared" si="425"/>
        <v/>
      </c>
    </row>
    <row r="2698" spans="2:7">
      <c r="B2698" s="46"/>
      <c r="C2698">
        <f t="shared" si="421"/>
        <v>14.5908564814815</v>
      </c>
      <c r="D2698" s="63" t="str">
        <f t="shared" si="422"/>
        <v/>
      </c>
      <c r="E2698" t="str">
        <f t="shared" si="423"/>
        <v/>
      </c>
      <c r="F2698" t="str">
        <f t="shared" si="424"/>
        <v/>
      </c>
      <c r="G2698" t="str">
        <f t="shared" si="425"/>
        <v/>
      </c>
    </row>
    <row r="2699" spans="2:7">
      <c r="B2699" s="46"/>
      <c r="C2699">
        <f t="shared" si="421"/>
        <v>14.9409722222222</v>
      </c>
      <c r="D2699" s="63" t="str">
        <f t="shared" si="422"/>
        <v/>
      </c>
      <c r="E2699" t="str">
        <f t="shared" si="423"/>
        <v/>
      </c>
      <c r="F2699" t="str">
        <f t="shared" si="424"/>
        <v/>
      </c>
      <c r="G2699" t="str">
        <f t="shared" si="425"/>
        <v/>
      </c>
    </row>
    <row r="2700" spans="2:7">
      <c r="B2700" s="46"/>
      <c r="C2700">
        <f t="shared" si="421"/>
        <v>19.2465277777778</v>
      </c>
      <c r="D2700" s="63" t="str">
        <f t="shared" si="422"/>
        <v/>
      </c>
      <c r="E2700" t="str">
        <f t="shared" si="423"/>
        <v/>
      </c>
      <c r="F2700" t="str">
        <f t="shared" si="424"/>
        <v/>
      </c>
      <c r="G2700" t="str">
        <f t="shared" si="425"/>
        <v/>
      </c>
    </row>
    <row r="2701" spans="2:7">
      <c r="B2701" s="46"/>
      <c r="C2701" t="str">
        <f t="shared" si="421"/>
        <v/>
      </c>
      <c r="D2701" s="63">
        <f t="shared" si="422"/>
        <v>15.0340375586854</v>
      </c>
      <c r="E2701" t="str">
        <f t="shared" si="423"/>
        <v/>
      </c>
      <c r="F2701" t="str">
        <f t="shared" si="424"/>
        <v/>
      </c>
      <c r="G2701" t="str">
        <f t="shared" si="425"/>
        <v/>
      </c>
    </row>
    <row r="2702" spans="2:7">
      <c r="B2702" s="46"/>
      <c r="C2702" t="str">
        <f t="shared" si="421"/>
        <v/>
      </c>
      <c r="D2702" s="63">
        <f t="shared" si="422"/>
        <v>15.0340375586854</v>
      </c>
      <c r="E2702" t="str">
        <f t="shared" si="423"/>
        <v/>
      </c>
      <c r="F2702" t="str">
        <f t="shared" si="424"/>
        <v/>
      </c>
      <c r="G2702" t="str">
        <f t="shared" si="425"/>
        <v/>
      </c>
    </row>
    <row r="2703" spans="2:7">
      <c r="B2703" s="46"/>
      <c r="C2703" t="str">
        <f t="shared" si="421"/>
        <v/>
      </c>
      <c r="D2703" s="63">
        <f t="shared" si="422"/>
        <v>16.1343896713615</v>
      </c>
      <c r="E2703" t="str">
        <f t="shared" si="423"/>
        <v/>
      </c>
      <c r="F2703" t="str">
        <f t="shared" si="424"/>
        <v/>
      </c>
      <c r="G2703" t="str">
        <f t="shared" si="425"/>
        <v/>
      </c>
    </row>
    <row r="2704" spans="2:7">
      <c r="B2704" s="46"/>
      <c r="C2704" t="str">
        <f t="shared" si="421"/>
        <v/>
      </c>
      <c r="D2704" s="63">
        <f t="shared" si="422"/>
        <v>16.8620892018779</v>
      </c>
      <c r="E2704" t="str">
        <f t="shared" si="423"/>
        <v/>
      </c>
      <c r="F2704" t="str">
        <f t="shared" si="424"/>
        <v/>
      </c>
      <c r="G2704" t="str">
        <f t="shared" si="425"/>
        <v/>
      </c>
    </row>
    <row r="2705" spans="2:7">
      <c r="B2705" s="46"/>
      <c r="C2705" t="str">
        <f t="shared" si="421"/>
        <v/>
      </c>
      <c r="D2705" s="63" t="str">
        <f t="shared" si="422"/>
        <v/>
      </c>
      <c r="E2705">
        <f t="shared" si="423"/>
        <v>16.1245098039216</v>
      </c>
      <c r="F2705" t="str">
        <f t="shared" si="424"/>
        <v/>
      </c>
      <c r="G2705" t="str">
        <f t="shared" si="425"/>
        <v/>
      </c>
    </row>
    <row r="2706" spans="2:7">
      <c r="B2706" s="46"/>
      <c r="C2706" t="str">
        <f t="shared" si="421"/>
        <v/>
      </c>
      <c r="D2706" s="63" t="str">
        <f t="shared" si="422"/>
        <v/>
      </c>
      <c r="E2706">
        <f t="shared" si="423"/>
        <v>17.9225490196078</v>
      </c>
      <c r="F2706" t="str">
        <f t="shared" si="424"/>
        <v/>
      </c>
      <c r="G2706" t="str">
        <f t="shared" si="425"/>
        <v/>
      </c>
    </row>
    <row r="2707" spans="2:7">
      <c r="B2707" s="46"/>
      <c r="C2707" t="str">
        <f t="shared" si="421"/>
        <v/>
      </c>
      <c r="D2707" s="63" t="str">
        <f t="shared" si="422"/>
        <v/>
      </c>
      <c r="E2707">
        <f t="shared" si="423"/>
        <v>18.7166666666667</v>
      </c>
      <c r="F2707" t="str">
        <f t="shared" si="424"/>
        <v/>
      </c>
      <c r="G2707" t="str">
        <f t="shared" si="425"/>
        <v/>
      </c>
    </row>
    <row r="2708" spans="2:7">
      <c r="B2708" s="46"/>
      <c r="C2708" t="str">
        <f t="shared" si="421"/>
        <v/>
      </c>
      <c r="D2708" s="63" t="str">
        <f t="shared" si="422"/>
        <v/>
      </c>
      <c r="E2708">
        <f t="shared" si="423"/>
        <v>18.9539215686275</v>
      </c>
      <c r="F2708" t="str">
        <f t="shared" si="424"/>
        <v/>
      </c>
      <c r="G2708" t="str">
        <f t="shared" si="425"/>
        <v/>
      </c>
    </row>
    <row r="2709" spans="2:7">
      <c r="B2709" s="46"/>
      <c r="C2709" t="str">
        <f t="shared" si="421"/>
        <v/>
      </c>
      <c r="D2709" s="63" t="str">
        <f t="shared" si="422"/>
        <v/>
      </c>
      <c r="E2709" t="str">
        <f t="shared" si="423"/>
        <v/>
      </c>
      <c r="F2709" t="str">
        <f t="shared" si="424"/>
        <v/>
      </c>
      <c r="G2709">
        <f t="shared" si="425"/>
        <v>15.4449685534591</v>
      </c>
    </row>
    <row r="2710" spans="2:7">
      <c r="B2710" s="46"/>
      <c r="C2710" t="str">
        <f t="shared" si="421"/>
        <v/>
      </c>
      <c r="D2710" s="63" t="str">
        <f t="shared" si="422"/>
        <v/>
      </c>
      <c r="E2710" t="str">
        <f t="shared" si="423"/>
        <v/>
      </c>
      <c r="F2710" t="str">
        <f t="shared" si="424"/>
        <v/>
      </c>
      <c r="G2710">
        <f t="shared" si="425"/>
        <v>16.4669811320755</v>
      </c>
    </row>
    <row r="2711" spans="2:7">
      <c r="B2711" s="46"/>
      <c r="C2711" t="str">
        <f t="shared" si="421"/>
        <v/>
      </c>
      <c r="D2711" s="63" t="str">
        <f t="shared" si="422"/>
        <v/>
      </c>
      <c r="E2711" t="str">
        <f t="shared" si="423"/>
        <v/>
      </c>
      <c r="F2711" t="str">
        <f t="shared" si="424"/>
        <v/>
      </c>
      <c r="G2711">
        <f t="shared" si="425"/>
        <v>17.7877358490566</v>
      </c>
    </row>
    <row r="2712" spans="2:7">
      <c r="B2712" s="46"/>
      <c r="C2712" t="str">
        <f t="shared" si="421"/>
        <v/>
      </c>
      <c r="D2712" s="63" t="str">
        <f t="shared" si="422"/>
        <v/>
      </c>
      <c r="E2712" t="str">
        <f t="shared" si="423"/>
        <v/>
      </c>
      <c r="F2712" t="str">
        <f t="shared" si="424"/>
        <v/>
      </c>
      <c r="G2712">
        <f t="shared" si="425"/>
        <v>18.377358490566</v>
      </c>
    </row>
    <row r="2713" spans="2:7">
      <c r="B2713" s="46"/>
      <c r="C2713" t="str">
        <f t="shared" si="421"/>
        <v/>
      </c>
      <c r="D2713" s="63" t="str">
        <f t="shared" si="422"/>
        <v/>
      </c>
      <c r="E2713" t="str">
        <f t="shared" si="423"/>
        <v/>
      </c>
      <c r="F2713">
        <f t="shared" si="424"/>
        <v>15.4234693877551</v>
      </c>
      <c r="G2713" t="str">
        <f t="shared" si="425"/>
        <v/>
      </c>
    </row>
    <row r="2714" spans="2:7">
      <c r="B2714" s="46"/>
      <c r="C2714" t="str">
        <f t="shared" si="421"/>
        <v/>
      </c>
      <c r="D2714" s="63" t="str">
        <f t="shared" si="422"/>
        <v/>
      </c>
      <c r="E2714" t="str">
        <f t="shared" si="423"/>
        <v/>
      </c>
      <c r="F2714">
        <f t="shared" si="424"/>
        <v>16.7698412698413</v>
      </c>
      <c r="G2714" t="str">
        <f t="shared" si="425"/>
        <v/>
      </c>
    </row>
    <row r="2715" spans="2:7">
      <c r="B2715" s="46"/>
      <c r="C2715" t="str">
        <f t="shared" si="421"/>
        <v/>
      </c>
      <c r="D2715" s="63" t="str">
        <f t="shared" si="422"/>
        <v/>
      </c>
      <c r="E2715" t="str">
        <f t="shared" si="423"/>
        <v/>
      </c>
      <c r="F2715">
        <f t="shared" si="424"/>
        <v>18.109410430839</v>
      </c>
      <c r="G2715" t="str">
        <f t="shared" si="425"/>
        <v/>
      </c>
    </row>
    <row r="2716" spans="2:7">
      <c r="B2716" s="46"/>
      <c r="C2716" t="str">
        <f t="shared" si="421"/>
        <v/>
      </c>
      <c r="D2716" s="63" t="str">
        <f t="shared" si="422"/>
        <v/>
      </c>
      <c r="E2716" t="str">
        <f t="shared" si="423"/>
        <v/>
      </c>
      <c r="F2716">
        <f t="shared" si="424"/>
        <v>20.1581632653061</v>
      </c>
      <c r="G2716" t="str">
        <f t="shared" si="425"/>
        <v/>
      </c>
    </row>
    <row r="2717" spans="2:7">
      <c r="B2717" s="46"/>
      <c r="C2717" t="str">
        <f t="shared" si="421"/>
        <v/>
      </c>
      <c r="D2717" s="63" t="str">
        <f t="shared" si="422"/>
        <v/>
      </c>
      <c r="E2717" t="str">
        <f t="shared" si="423"/>
        <v/>
      </c>
      <c r="F2717">
        <f t="shared" si="424"/>
        <v>22.1581632653061</v>
      </c>
      <c r="G2717" t="str">
        <f t="shared" si="425"/>
        <v/>
      </c>
    </row>
    <row r="2718" spans="2:7">
      <c r="B2718" s="46"/>
      <c r="C2718" t="str">
        <f t="shared" si="421"/>
        <v/>
      </c>
      <c r="D2718" s="63" t="str">
        <f t="shared" si="422"/>
        <v/>
      </c>
      <c r="E2718" t="str">
        <f t="shared" si="423"/>
        <v/>
      </c>
      <c r="F2718">
        <f t="shared" si="424"/>
        <v>22.8781179138322</v>
      </c>
      <c r="G2718" t="str">
        <f t="shared" si="425"/>
        <v/>
      </c>
    </row>
    <row r="2719" spans="2:7">
      <c r="B2719" s="46"/>
      <c r="C2719" t="str">
        <f t="shared" si="421"/>
        <v/>
      </c>
      <c r="D2719" s="63">
        <f t="shared" si="422"/>
        <v>17.3022300469484</v>
      </c>
      <c r="E2719" t="str">
        <f t="shared" si="423"/>
        <v/>
      </c>
      <c r="F2719" t="str">
        <f t="shared" si="424"/>
        <v/>
      </c>
      <c r="G2719" t="str">
        <f t="shared" si="425"/>
        <v/>
      </c>
    </row>
    <row r="2720" spans="2:7">
      <c r="B2720" s="46"/>
      <c r="C2720" t="str">
        <f t="shared" si="421"/>
        <v/>
      </c>
      <c r="D2720" s="63">
        <f t="shared" si="422"/>
        <v>22.837441314554</v>
      </c>
      <c r="E2720" t="str">
        <f t="shared" si="423"/>
        <v/>
      </c>
      <c r="F2720" t="str">
        <f t="shared" si="424"/>
        <v/>
      </c>
      <c r="G2720" t="str">
        <f t="shared" si="425"/>
        <v/>
      </c>
    </row>
    <row r="2721" spans="2:7">
      <c r="B2721" s="46"/>
      <c r="C2721" t="str">
        <f t="shared" si="421"/>
        <v/>
      </c>
      <c r="D2721" s="63">
        <f t="shared" si="422"/>
        <v>23.7089201877934</v>
      </c>
      <c r="E2721" t="str">
        <f t="shared" si="423"/>
        <v/>
      </c>
      <c r="F2721" t="str">
        <f t="shared" si="424"/>
        <v/>
      </c>
      <c r="G2721" t="str">
        <f t="shared" si="425"/>
        <v/>
      </c>
    </row>
    <row r="2722" spans="2:7">
      <c r="B2722" s="46"/>
      <c r="C2722" t="str">
        <f t="shared" si="421"/>
        <v/>
      </c>
      <c r="D2722" s="63">
        <f t="shared" si="422"/>
        <v>24.3427230046948</v>
      </c>
      <c r="E2722" t="str">
        <f t="shared" si="423"/>
        <v/>
      </c>
      <c r="F2722" t="str">
        <f t="shared" si="424"/>
        <v/>
      </c>
      <c r="G2722" t="str">
        <f t="shared" si="425"/>
        <v/>
      </c>
    </row>
    <row r="2723" spans="2:7">
      <c r="B2723" s="46"/>
      <c r="C2723" t="str">
        <f t="shared" si="421"/>
        <v/>
      </c>
      <c r="D2723" s="63">
        <f t="shared" si="422"/>
        <v>27.5704225352113</v>
      </c>
      <c r="E2723" t="str">
        <f t="shared" si="423"/>
        <v/>
      </c>
      <c r="F2723" t="str">
        <f t="shared" si="424"/>
        <v/>
      </c>
      <c r="G2723" t="str">
        <f t="shared" si="425"/>
        <v/>
      </c>
    </row>
    <row r="2724" spans="2:7">
      <c r="B2724" s="46"/>
      <c r="C2724" t="str">
        <f t="shared" si="421"/>
        <v/>
      </c>
      <c r="D2724" s="63" t="str">
        <f t="shared" si="422"/>
        <v/>
      </c>
      <c r="E2724" t="str">
        <f t="shared" si="423"/>
        <v/>
      </c>
      <c r="F2724" t="str">
        <f t="shared" si="424"/>
        <v/>
      </c>
      <c r="G2724">
        <f t="shared" si="425"/>
        <v>19.1949685534591</v>
      </c>
    </row>
    <row r="2725" spans="2:7">
      <c r="B2725" s="46"/>
      <c r="C2725" t="str">
        <f t="shared" si="421"/>
        <v/>
      </c>
      <c r="D2725" s="63" t="str">
        <f t="shared" si="422"/>
        <v/>
      </c>
      <c r="E2725" t="str">
        <f t="shared" si="423"/>
        <v/>
      </c>
      <c r="F2725" t="str">
        <f t="shared" si="424"/>
        <v/>
      </c>
      <c r="G2725">
        <f t="shared" si="425"/>
        <v>21.9606918238994</v>
      </c>
    </row>
    <row r="2726" spans="2:7">
      <c r="B2726" s="46"/>
      <c r="C2726" t="str">
        <f t="shared" si="421"/>
        <v/>
      </c>
      <c r="D2726" s="63" t="str">
        <f t="shared" si="422"/>
        <v/>
      </c>
      <c r="E2726" t="str">
        <f t="shared" si="423"/>
        <v/>
      </c>
      <c r="F2726" t="str">
        <f t="shared" si="424"/>
        <v/>
      </c>
      <c r="G2726">
        <f t="shared" si="425"/>
        <v>21.9606918238994</v>
      </c>
    </row>
    <row r="2727" spans="2:7">
      <c r="B2727" s="46"/>
      <c r="C2727" t="str">
        <f t="shared" si="421"/>
        <v/>
      </c>
      <c r="D2727" s="63" t="str">
        <f t="shared" si="422"/>
        <v/>
      </c>
      <c r="E2727" t="str">
        <f t="shared" si="423"/>
        <v/>
      </c>
      <c r="F2727" t="str">
        <f t="shared" si="424"/>
        <v/>
      </c>
      <c r="G2727">
        <f t="shared" si="425"/>
        <v>25.2222222222222</v>
      </c>
    </row>
    <row r="2728" spans="2:7">
      <c r="B2728" s="46"/>
      <c r="C2728" t="str">
        <f t="shared" si="421"/>
        <v/>
      </c>
      <c r="D2728" s="63" t="str">
        <f t="shared" si="422"/>
        <v/>
      </c>
      <c r="E2728">
        <f t="shared" si="423"/>
        <v>22.268137254902</v>
      </c>
      <c r="F2728" t="str">
        <f t="shared" si="424"/>
        <v/>
      </c>
      <c r="G2728" t="str">
        <f t="shared" si="425"/>
        <v/>
      </c>
    </row>
    <row r="2729" spans="2:7">
      <c r="B2729" s="46"/>
      <c r="C2729" t="str">
        <f t="shared" si="421"/>
        <v/>
      </c>
      <c r="D2729" s="63" t="str">
        <f t="shared" si="422"/>
        <v/>
      </c>
      <c r="E2729">
        <f t="shared" si="423"/>
        <v>22.268137254902</v>
      </c>
      <c r="F2729" t="str">
        <f t="shared" si="424"/>
        <v/>
      </c>
      <c r="G2729" t="str">
        <f t="shared" si="425"/>
        <v/>
      </c>
    </row>
    <row r="2730" spans="2:7">
      <c r="B2730" s="46"/>
      <c r="C2730" t="str">
        <f t="shared" si="421"/>
        <v/>
      </c>
      <c r="D2730" s="63" t="str">
        <f t="shared" si="422"/>
        <v/>
      </c>
      <c r="E2730">
        <f t="shared" si="423"/>
        <v>24.6995098039216</v>
      </c>
      <c r="F2730" t="str">
        <f t="shared" si="424"/>
        <v/>
      </c>
      <c r="G2730" t="str">
        <f t="shared" si="425"/>
        <v/>
      </c>
    </row>
    <row r="2731" spans="2:7">
      <c r="B2731" s="46"/>
      <c r="C2731" t="str">
        <f t="shared" si="421"/>
        <v/>
      </c>
      <c r="D2731" s="63" t="str">
        <f t="shared" si="422"/>
        <v/>
      </c>
      <c r="E2731">
        <f t="shared" si="423"/>
        <v>25.3416666666667</v>
      </c>
      <c r="F2731" t="str">
        <f t="shared" si="424"/>
        <v/>
      </c>
      <c r="G2731" t="str">
        <f t="shared" si="425"/>
        <v/>
      </c>
    </row>
    <row r="2732" spans="2:7">
      <c r="B2732" s="46"/>
      <c r="C2732">
        <f t="shared" si="421"/>
        <v>19.5358796296296</v>
      </c>
      <c r="D2732" s="63" t="str">
        <f t="shared" si="422"/>
        <v/>
      </c>
      <c r="E2732" t="str">
        <f t="shared" si="423"/>
        <v/>
      </c>
      <c r="F2732" t="str">
        <f t="shared" si="424"/>
        <v/>
      </c>
      <c r="G2732" t="str">
        <f t="shared" si="425"/>
        <v/>
      </c>
    </row>
    <row r="2733" spans="2:7">
      <c r="B2733" s="46"/>
      <c r="C2733">
        <f t="shared" si="421"/>
        <v>20.1608796296296</v>
      </c>
      <c r="D2733" s="63" t="str">
        <f t="shared" si="422"/>
        <v/>
      </c>
      <c r="E2733" t="str">
        <f t="shared" si="423"/>
        <v/>
      </c>
      <c r="F2733" t="str">
        <f t="shared" si="424"/>
        <v/>
      </c>
      <c r="G2733" t="str">
        <f t="shared" si="425"/>
        <v/>
      </c>
    </row>
    <row r="2734" spans="2:7">
      <c r="B2734" s="46"/>
      <c r="C2734">
        <f t="shared" si="421"/>
        <v>21.7233796296296</v>
      </c>
      <c r="D2734" s="63" t="str">
        <f t="shared" si="422"/>
        <v/>
      </c>
      <c r="E2734" t="str">
        <f t="shared" si="423"/>
        <v/>
      </c>
      <c r="F2734" t="str">
        <f t="shared" si="424"/>
        <v/>
      </c>
      <c r="G2734" t="str">
        <f t="shared" si="425"/>
        <v/>
      </c>
    </row>
    <row r="2735" spans="2:7">
      <c r="B2735" s="46"/>
      <c r="C2735">
        <f t="shared" si="421"/>
        <v>22.7054398148148</v>
      </c>
      <c r="D2735" s="63" t="str">
        <f t="shared" si="422"/>
        <v/>
      </c>
      <c r="E2735" t="str">
        <f t="shared" si="423"/>
        <v/>
      </c>
      <c r="F2735" t="str">
        <f t="shared" si="424"/>
        <v/>
      </c>
      <c r="G2735" t="str">
        <f t="shared" si="425"/>
        <v/>
      </c>
    </row>
    <row r="2736" spans="2:7">
      <c r="B2736" s="46"/>
      <c r="C2736">
        <f t="shared" si="421"/>
        <v>22.7054398148148</v>
      </c>
      <c r="D2736" s="63" t="str">
        <f t="shared" si="422"/>
        <v/>
      </c>
      <c r="E2736" t="str">
        <f t="shared" si="423"/>
        <v/>
      </c>
      <c r="F2736" t="str">
        <f t="shared" si="424"/>
        <v/>
      </c>
      <c r="G2736" t="str">
        <f t="shared" si="425"/>
        <v/>
      </c>
    </row>
    <row r="2737" spans="2:7">
      <c r="B2737" s="46"/>
      <c r="C2737">
        <f>IF(J72=1,S72,"")</f>
        <v>22.8512731481482</v>
      </c>
      <c r="D2737" s="63" t="str">
        <f>IF(J72=2,S72,"")</f>
        <v/>
      </c>
      <c r="E2737" t="str">
        <f>IF(J72=3,S72,"")</f>
        <v/>
      </c>
      <c r="F2737" t="str">
        <f>IF(J72=4,S72,"")</f>
        <v/>
      </c>
      <c r="G2737" t="str">
        <f>IF(J72=5,S72,"")</f>
        <v/>
      </c>
    </row>
    <row r="2738" spans="2:7">
      <c r="B2738" s="46"/>
      <c r="C2738">
        <f>IF(J73=1,S73,"")</f>
        <v>34.4068287037037</v>
      </c>
      <c r="D2738" s="63" t="str">
        <f>IF(J73=2,S73,"")</f>
        <v/>
      </c>
      <c r="E2738" t="str">
        <f>IF(J73=3,S73,"")</f>
        <v/>
      </c>
      <c r="F2738" t="str">
        <f>IF(J73=4,S73,"")</f>
        <v/>
      </c>
      <c r="G2738" t="str">
        <f>IF(J73=5,S73,"")</f>
        <v/>
      </c>
    </row>
    <row r="2739" ht="15.75" spans="2:7">
      <c r="B2739" s="46"/>
      <c r="C2739">
        <f>IF(J74=1,S74,"")</f>
        <v>34.4068287037037</v>
      </c>
      <c r="D2739" s="63" t="str">
        <f>IF(J74=2,S74,"")</f>
        <v/>
      </c>
      <c r="E2739" t="str">
        <f>IF(J74=3,S74,"")</f>
        <v/>
      </c>
      <c r="F2739" t="str">
        <f>IF(J74=4,S74,"")</f>
        <v/>
      </c>
      <c r="G2739" t="str">
        <f>IF(J74=5,S74,"")</f>
        <v/>
      </c>
    </row>
    <row r="2740" spans="2:7">
      <c r="B2740" s="74" t="s">
        <v>269</v>
      </c>
      <c r="C2740" s="75">
        <f>MAX(C2673:C2739)</f>
        <v>34.4068287037037</v>
      </c>
      <c r="D2740" s="75">
        <f t="shared" ref="D2740:G2740" si="426">MAX(D2673:D2739)</f>
        <v>27.5704225352113</v>
      </c>
      <c r="E2740" s="75">
        <f t="shared" si="426"/>
        <v>25.3416666666667</v>
      </c>
      <c r="F2740" s="75">
        <f t="shared" si="426"/>
        <v>22.8781179138322</v>
      </c>
      <c r="G2740" s="75">
        <f t="shared" si="426"/>
        <v>25.2222222222222</v>
      </c>
    </row>
    <row r="2741" spans="2:7">
      <c r="B2741" s="76" t="s">
        <v>270</v>
      </c>
      <c r="C2741" s="77">
        <v>1</v>
      </c>
      <c r="D2741" s="78">
        <v>2</v>
      </c>
      <c r="E2741">
        <v>3</v>
      </c>
      <c r="F2741">
        <v>4</v>
      </c>
      <c r="G2741">
        <v>5</v>
      </c>
    </row>
    <row r="2742" spans="2:7">
      <c r="B2742" s="79" t="s">
        <v>271</v>
      </c>
      <c r="C2742" s="72">
        <f>HLOOKUP(MIN(C2740:G2740),C2740:G2741,2,FALSE)</f>
        <v>4</v>
      </c>
      <c r="D2742" s="80"/>
    </row>
    <row r="2744" ht="15.75" spans="2:7">
      <c r="B2744" s="43" t="s">
        <v>338</v>
      </c>
      <c r="C2744" s="44"/>
      <c r="D2744" s="45"/>
    </row>
    <row r="2745" spans="2:7">
      <c r="B2745" s="46"/>
      <c r="C2745" s="61" t="s">
        <v>264</v>
      </c>
      <c r="D2745" s="61" t="s">
        <v>265</v>
      </c>
      <c r="E2745" s="62" t="s">
        <v>286</v>
      </c>
      <c r="F2745" s="62" t="s">
        <v>287</v>
      </c>
      <c r="G2745" s="62" t="s">
        <v>288</v>
      </c>
    </row>
    <row r="2746" spans="2:7">
      <c r="B2746" s="46"/>
      <c r="C2746">
        <f>IF(J8=1,S8,"")</f>
        <v>0.700231481481482</v>
      </c>
      <c r="D2746" s="63" t="str">
        <f>IF(J8=2,S8,"")</f>
        <v/>
      </c>
      <c r="E2746" t="str">
        <f>IF(J8=3,S8,"")</f>
        <v/>
      </c>
      <c r="F2746" t="str">
        <f>IF(J8=4,S8,"")</f>
        <v/>
      </c>
      <c r="G2746" t="str">
        <f>IF(J8=5,S8,"")</f>
        <v/>
      </c>
    </row>
    <row r="2747" spans="2:7">
      <c r="B2747" s="46"/>
      <c r="C2747" t="str">
        <f t="shared" ref="C2747:C2810" si="427">IF(J9=1,S9,"")</f>
        <v/>
      </c>
      <c r="D2747" s="63">
        <f t="shared" ref="D2747:D2810" si="428">IF(J9=2,S9,"")</f>
        <v>0.734154929577465</v>
      </c>
      <c r="E2747" t="str">
        <f t="shared" ref="E2747:E2810" si="429">IF(J9=3,S9,"")</f>
        <v/>
      </c>
      <c r="F2747" t="str">
        <f t="shared" ref="F2747:F2810" si="430">IF(J9=4,S9,"")</f>
        <v/>
      </c>
      <c r="G2747" t="str">
        <f t="shared" ref="G2747:G2810" si="431">IF(J9=5,S9,"")</f>
        <v/>
      </c>
    </row>
    <row r="2748" spans="2:7">
      <c r="B2748" s="46"/>
      <c r="C2748" t="str">
        <f t="shared" si="427"/>
        <v/>
      </c>
      <c r="D2748" s="63" t="str">
        <f t="shared" si="428"/>
        <v/>
      </c>
      <c r="E2748">
        <f t="shared" si="429"/>
        <v>1.83823529411765</v>
      </c>
      <c r="F2748" t="str">
        <f t="shared" si="430"/>
        <v/>
      </c>
      <c r="G2748" t="str">
        <f t="shared" si="431"/>
        <v/>
      </c>
    </row>
    <row r="2749" spans="2:7">
      <c r="B2749" s="46"/>
      <c r="C2749" t="str">
        <f t="shared" si="427"/>
        <v/>
      </c>
      <c r="D2749" s="63" t="str">
        <f t="shared" si="428"/>
        <v/>
      </c>
      <c r="E2749" t="str">
        <f t="shared" si="429"/>
        <v/>
      </c>
      <c r="F2749">
        <f t="shared" si="430"/>
        <v>4.28571428571429</v>
      </c>
      <c r="G2749" t="str">
        <f t="shared" si="431"/>
        <v/>
      </c>
    </row>
    <row r="2750" spans="2:7">
      <c r="B2750" s="46"/>
      <c r="C2750" t="str">
        <f t="shared" si="427"/>
        <v/>
      </c>
      <c r="D2750" s="63" t="str">
        <f t="shared" si="428"/>
        <v/>
      </c>
      <c r="E2750" t="str">
        <f t="shared" si="429"/>
        <v/>
      </c>
      <c r="F2750" t="str">
        <f t="shared" si="430"/>
        <v/>
      </c>
      <c r="G2750">
        <f t="shared" si="431"/>
        <v>3.43396226415094</v>
      </c>
    </row>
    <row r="2751" spans="2:7">
      <c r="B2751" s="46"/>
      <c r="C2751" t="str">
        <f t="shared" si="427"/>
        <v/>
      </c>
      <c r="D2751" s="63" t="str">
        <f t="shared" si="428"/>
        <v/>
      </c>
      <c r="E2751">
        <f t="shared" si="429"/>
        <v>14.5833333333333</v>
      </c>
      <c r="F2751" t="str">
        <f t="shared" si="430"/>
        <v/>
      </c>
      <c r="G2751" t="str">
        <f t="shared" si="431"/>
        <v/>
      </c>
    </row>
    <row r="2752" spans="2:7">
      <c r="B2752" s="46"/>
      <c r="C2752" t="str">
        <f t="shared" si="427"/>
        <v/>
      </c>
      <c r="D2752" s="63" t="str">
        <f t="shared" si="428"/>
        <v/>
      </c>
      <c r="E2752" t="str">
        <f t="shared" si="429"/>
        <v/>
      </c>
      <c r="F2752">
        <f t="shared" si="430"/>
        <v>6.42857142857143</v>
      </c>
      <c r="G2752" t="str">
        <f t="shared" si="431"/>
        <v/>
      </c>
    </row>
    <row r="2753" spans="2:7">
      <c r="B2753" s="46"/>
      <c r="C2753" t="str">
        <f t="shared" si="427"/>
        <v/>
      </c>
      <c r="D2753" s="63" t="str">
        <f t="shared" si="428"/>
        <v/>
      </c>
      <c r="E2753" t="str">
        <f t="shared" si="429"/>
        <v/>
      </c>
      <c r="F2753" t="str">
        <f t="shared" si="430"/>
        <v/>
      </c>
      <c r="G2753">
        <f t="shared" si="431"/>
        <v>3.84591194968553</v>
      </c>
    </row>
    <row r="2754" spans="2:7">
      <c r="B2754" s="46"/>
      <c r="C2754">
        <f t="shared" si="427"/>
        <v>0.844907407407407</v>
      </c>
      <c r="D2754" s="63" t="str">
        <f t="shared" si="428"/>
        <v/>
      </c>
      <c r="E2754" t="str">
        <f t="shared" si="429"/>
        <v/>
      </c>
      <c r="F2754" t="str">
        <f t="shared" si="430"/>
        <v/>
      </c>
      <c r="G2754" t="str">
        <f t="shared" si="431"/>
        <v/>
      </c>
    </row>
    <row r="2755" spans="2:7">
      <c r="B2755" s="46"/>
      <c r="C2755">
        <f t="shared" si="427"/>
        <v>6.79803240740741</v>
      </c>
      <c r="D2755" s="63" t="str">
        <f t="shared" si="428"/>
        <v/>
      </c>
      <c r="E2755" t="str">
        <f t="shared" si="429"/>
        <v/>
      </c>
      <c r="F2755" t="str">
        <f t="shared" si="430"/>
        <v/>
      </c>
      <c r="G2755" t="str">
        <f t="shared" si="431"/>
        <v/>
      </c>
    </row>
    <row r="2756" spans="2:7">
      <c r="B2756" s="46"/>
      <c r="C2756">
        <f t="shared" si="427"/>
        <v>6.79803240740741</v>
      </c>
      <c r="D2756" s="63" t="str">
        <f t="shared" si="428"/>
        <v/>
      </c>
      <c r="E2756" t="str">
        <f t="shared" si="429"/>
        <v/>
      </c>
      <c r="F2756" t="str">
        <f t="shared" si="430"/>
        <v/>
      </c>
      <c r="G2756" t="str">
        <f t="shared" si="431"/>
        <v/>
      </c>
    </row>
    <row r="2757" spans="2:7">
      <c r="B2757" s="46"/>
      <c r="C2757">
        <f t="shared" si="427"/>
        <v>7.52719907407408</v>
      </c>
      <c r="D2757" s="63" t="str">
        <f t="shared" si="428"/>
        <v/>
      </c>
      <c r="E2757" t="str">
        <f t="shared" si="429"/>
        <v/>
      </c>
      <c r="F2757" t="str">
        <f t="shared" si="430"/>
        <v/>
      </c>
      <c r="G2757" t="str">
        <f t="shared" si="431"/>
        <v/>
      </c>
    </row>
    <row r="2758" spans="2:7">
      <c r="B2758" s="46"/>
      <c r="C2758" t="str">
        <f t="shared" si="427"/>
        <v/>
      </c>
      <c r="D2758" s="63">
        <f t="shared" si="428"/>
        <v>2.7881455399061</v>
      </c>
      <c r="E2758" t="str">
        <f t="shared" si="429"/>
        <v/>
      </c>
      <c r="F2758" t="str">
        <f t="shared" si="430"/>
        <v/>
      </c>
      <c r="G2758" t="str">
        <f t="shared" si="431"/>
        <v/>
      </c>
    </row>
    <row r="2759" spans="2:7">
      <c r="B2759" s="46"/>
      <c r="C2759" t="str">
        <f t="shared" si="427"/>
        <v/>
      </c>
      <c r="D2759" s="63">
        <f t="shared" si="428"/>
        <v>4.47535211267606</v>
      </c>
      <c r="E2759" t="str">
        <f t="shared" si="429"/>
        <v/>
      </c>
      <c r="F2759" t="str">
        <f t="shared" si="430"/>
        <v/>
      </c>
      <c r="G2759" t="str">
        <f t="shared" si="431"/>
        <v/>
      </c>
    </row>
    <row r="2760" spans="2:7">
      <c r="B2760" s="46"/>
      <c r="C2760" t="str">
        <f t="shared" si="427"/>
        <v/>
      </c>
      <c r="D2760" s="63">
        <f t="shared" si="428"/>
        <v>6.10680751173709</v>
      </c>
      <c r="E2760" t="str">
        <f t="shared" si="429"/>
        <v/>
      </c>
      <c r="F2760" t="str">
        <f t="shared" si="430"/>
        <v/>
      </c>
      <c r="G2760" t="str">
        <f t="shared" si="431"/>
        <v/>
      </c>
    </row>
    <row r="2761" spans="2:7">
      <c r="B2761" s="46"/>
      <c r="C2761" t="str">
        <f t="shared" si="427"/>
        <v/>
      </c>
      <c r="D2761" s="63">
        <f t="shared" si="428"/>
        <v>8.50821596244131</v>
      </c>
      <c r="E2761" t="str">
        <f t="shared" si="429"/>
        <v/>
      </c>
      <c r="F2761" t="str">
        <f t="shared" si="430"/>
        <v/>
      </c>
      <c r="G2761" t="str">
        <f t="shared" si="431"/>
        <v/>
      </c>
    </row>
    <row r="2762" spans="2:7">
      <c r="B2762" s="46"/>
      <c r="C2762" t="str">
        <f t="shared" si="427"/>
        <v/>
      </c>
      <c r="D2762" s="63">
        <f t="shared" si="428"/>
        <v>10.268779342723</v>
      </c>
      <c r="E2762" t="str">
        <f t="shared" si="429"/>
        <v/>
      </c>
      <c r="F2762" t="str">
        <f t="shared" si="430"/>
        <v/>
      </c>
      <c r="G2762" t="str">
        <f t="shared" si="431"/>
        <v/>
      </c>
    </row>
    <row r="2763" spans="2:7">
      <c r="B2763" s="46"/>
      <c r="C2763" t="str">
        <f t="shared" si="427"/>
        <v/>
      </c>
      <c r="D2763" s="63" t="str">
        <f t="shared" si="428"/>
        <v/>
      </c>
      <c r="E2763" t="str">
        <f t="shared" si="429"/>
        <v/>
      </c>
      <c r="F2763" t="str">
        <f t="shared" si="430"/>
        <v/>
      </c>
      <c r="G2763">
        <f t="shared" si="431"/>
        <v>7.67610062893082</v>
      </c>
    </row>
    <row r="2764" spans="2:7">
      <c r="B2764" s="46"/>
      <c r="C2764" t="str">
        <f t="shared" si="427"/>
        <v/>
      </c>
      <c r="D2764" s="63" t="str">
        <f t="shared" si="428"/>
        <v/>
      </c>
      <c r="E2764" t="str">
        <f t="shared" si="429"/>
        <v/>
      </c>
      <c r="F2764" t="str">
        <f t="shared" si="430"/>
        <v/>
      </c>
      <c r="G2764">
        <f t="shared" si="431"/>
        <v>10.3836477987421</v>
      </c>
    </row>
    <row r="2765" spans="2:7">
      <c r="B2765" s="46"/>
      <c r="C2765" t="str">
        <f t="shared" si="427"/>
        <v/>
      </c>
      <c r="D2765" s="63" t="str">
        <f t="shared" si="428"/>
        <v/>
      </c>
      <c r="E2765" t="str">
        <f t="shared" si="429"/>
        <v/>
      </c>
      <c r="F2765" t="str">
        <f t="shared" si="430"/>
        <v/>
      </c>
      <c r="G2765">
        <f t="shared" si="431"/>
        <v>13.2138364779874</v>
      </c>
    </row>
    <row r="2766" spans="2:7">
      <c r="B2766" s="46"/>
      <c r="C2766" t="str">
        <f t="shared" si="427"/>
        <v/>
      </c>
      <c r="D2766" s="63" t="str">
        <f t="shared" si="428"/>
        <v/>
      </c>
      <c r="E2766" t="str">
        <f t="shared" si="429"/>
        <v/>
      </c>
      <c r="F2766" t="str">
        <f t="shared" si="430"/>
        <v/>
      </c>
      <c r="G2766">
        <f t="shared" si="431"/>
        <v>14.7243186582809</v>
      </c>
    </row>
    <row r="2767" spans="2:7">
      <c r="B2767" s="46"/>
      <c r="C2767" t="str">
        <f t="shared" si="427"/>
        <v/>
      </c>
      <c r="D2767" s="63" t="str">
        <f t="shared" si="428"/>
        <v/>
      </c>
      <c r="E2767" t="str">
        <f t="shared" si="429"/>
        <v/>
      </c>
      <c r="F2767">
        <f t="shared" si="430"/>
        <v>9.17630385487529</v>
      </c>
      <c r="G2767" t="str">
        <f t="shared" si="431"/>
        <v/>
      </c>
    </row>
    <row r="2768" spans="2:7">
      <c r="B2768" s="46"/>
      <c r="C2768" t="str">
        <f t="shared" si="427"/>
        <v/>
      </c>
      <c r="D2768" s="63" t="str">
        <f t="shared" si="428"/>
        <v/>
      </c>
      <c r="E2768" t="str">
        <f t="shared" si="429"/>
        <v/>
      </c>
      <c r="F2768">
        <f t="shared" si="430"/>
        <v>12.328231292517</v>
      </c>
      <c r="G2768" t="str">
        <f t="shared" si="431"/>
        <v/>
      </c>
    </row>
    <row r="2769" spans="2:7">
      <c r="B2769" s="46"/>
      <c r="C2769" t="str">
        <f t="shared" si="427"/>
        <v/>
      </c>
      <c r="D2769" s="63" t="str">
        <f t="shared" si="428"/>
        <v/>
      </c>
      <c r="E2769" t="str">
        <f t="shared" si="429"/>
        <v/>
      </c>
      <c r="F2769">
        <f t="shared" si="430"/>
        <v>15.0017006802721</v>
      </c>
      <c r="G2769" t="str">
        <f t="shared" si="431"/>
        <v/>
      </c>
    </row>
    <row r="2770" spans="2:7">
      <c r="B2770" s="46"/>
      <c r="C2770">
        <f t="shared" si="427"/>
        <v>10.328125</v>
      </c>
      <c r="D2770" s="63" t="str">
        <f t="shared" si="428"/>
        <v/>
      </c>
      <c r="E2770" t="str">
        <f t="shared" si="429"/>
        <v/>
      </c>
      <c r="F2770" t="str">
        <f t="shared" si="430"/>
        <v/>
      </c>
      <c r="G2770" t="str">
        <f t="shared" si="431"/>
        <v/>
      </c>
    </row>
    <row r="2771" spans="2:7">
      <c r="B2771" s="46"/>
      <c r="C2771">
        <f t="shared" si="427"/>
        <v>14.5908564814815</v>
      </c>
      <c r="D2771" s="63" t="str">
        <f t="shared" si="428"/>
        <v/>
      </c>
      <c r="E2771" t="str">
        <f t="shared" si="429"/>
        <v/>
      </c>
      <c r="F2771" t="str">
        <f t="shared" si="430"/>
        <v/>
      </c>
      <c r="G2771" t="str">
        <f t="shared" si="431"/>
        <v/>
      </c>
    </row>
    <row r="2772" spans="2:7">
      <c r="B2772" s="46"/>
      <c r="C2772">
        <f t="shared" si="427"/>
        <v>14.9409722222222</v>
      </c>
      <c r="D2772" s="63" t="str">
        <f t="shared" si="428"/>
        <v/>
      </c>
      <c r="E2772" t="str">
        <f t="shared" si="429"/>
        <v/>
      </c>
      <c r="F2772" t="str">
        <f t="shared" si="430"/>
        <v/>
      </c>
      <c r="G2772" t="str">
        <f t="shared" si="431"/>
        <v/>
      </c>
    </row>
    <row r="2773" spans="2:7">
      <c r="B2773" s="46"/>
      <c r="C2773">
        <f t="shared" si="427"/>
        <v>19.2465277777778</v>
      </c>
      <c r="D2773" s="63" t="str">
        <f t="shared" si="428"/>
        <v/>
      </c>
      <c r="E2773" t="str">
        <f t="shared" si="429"/>
        <v/>
      </c>
      <c r="F2773" t="str">
        <f t="shared" si="430"/>
        <v/>
      </c>
      <c r="G2773" t="str">
        <f t="shared" si="431"/>
        <v/>
      </c>
    </row>
    <row r="2774" spans="2:7">
      <c r="B2774" s="46"/>
      <c r="C2774" t="str">
        <f t="shared" si="427"/>
        <v/>
      </c>
      <c r="D2774" s="63">
        <f t="shared" si="428"/>
        <v>15.0340375586854</v>
      </c>
      <c r="E2774" t="str">
        <f t="shared" si="429"/>
        <v/>
      </c>
      <c r="F2774" t="str">
        <f t="shared" si="430"/>
        <v/>
      </c>
      <c r="G2774" t="str">
        <f t="shared" si="431"/>
        <v/>
      </c>
    </row>
    <row r="2775" spans="2:7">
      <c r="B2775" s="46"/>
      <c r="C2775" t="str">
        <f t="shared" si="427"/>
        <v/>
      </c>
      <c r="D2775" s="63">
        <f t="shared" si="428"/>
        <v>15.0340375586854</v>
      </c>
      <c r="E2775" t="str">
        <f t="shared" si="429"/>
        <v/>
      </c>
      <c r="F2775" t="str">
        <f t="shared" si="430"/>
        <v/>
      </c>
      <c r="G2775" t="str">
        <f t="shared" si="431"/>
        <v/>
      </c>
    </row>
    <row r="2776" spans="2:7">
      <c r="B2776" s="46"/>
      <c r="C2776" t="str">
        <f t="shared" si="427"/>
        <v/>
      </c>
      <c r="D2776" s="63">
        <f t="shared" si="428"/>
        <v>16.1343896713615</v>
      </c>
      <c r="E2776" t="str">
        <f t="shared" si="429"/>
        <v/>
      </c>
      <c r="F2776" t="str">
        <f t="shared" si="430"/>
        <v/>
      </c>
      <c r="G2776" t="str">
        <f t="shared" si="431"/>
        <v/>
      </c>
    </row>
    <row r="2777" spans="2:7">
      <c r="B2777" s="46"/>
      <c r="C2777" t="str">
        <f t="shared" si="427"/>
        <v/>
      </c>
      <c r="D2777" s="63">
        <f t="shared" si="428"/>
        <v>16.8620892018779</v>
      </c>
      <c r="E2777" t="str">
        <f t="shared" si="429"/>
        <v/>
      </c>
      <c r="F2777" t="str">
        <f t="shared" si="430"/>
        <v/>
      </c>
      <c r="G2777" t="str">
        <f t="shared" si="431"/>
        <v/>
      </c>
    </row>
    <row r="2778" spans="2:7">
      <c r="B2778" s="46"/>
      <c r="C2778" t="str">
        <f t="shared" si="427"/>
        <v/>
      </c>
      <c r="D2778" s="63" t="str">
        <f t="shared" si="428"/>
        <v/>
      </c>
      <c r="E2778">
        <f t="shared" si="429"/>
        <v>16.1245098039216</v>
      </c>
      <c r="F2778" t="str">
        <f t="shared" si="430"/>
        <v/>
      </c>
      <c r="G2778" t="str">
        <f t="shared" si="431"/>
        <v/>
      </c>
    </row>
    <row r="2779" spans="2:7">
      <c r="B2779" s="46"/>
      <c r="C2779" t="str">
        <f t="shared" si="427"/>
        <v/>
      </c>
      <c r="D2779" s="63" t="str">
        <f t="shared" si="428"/>
        <v/>
      </c>
      <c r="E2779">
        <f t="shared" si="429"/>
        <v>17.9225490196078</v>
      </c>
      <c r="F2779" t="str">
        <f t="shared" si="430"/>
        <v/>
      </c>
      <c r="G2779" t="str">
        <f t="shared" si="431"/>
        <v/>
      </c>
    </row>
    <row r="2780" spans="2:7">
      <c r="B2780" s="46"/>
      <c r="C2780" t="str">
        <f t="shared" si="427"/>
        <v/>
      </c>
      <c r="D2780" s="63" t="str">
        <f t="shared" si="428"/>
        <v/>
      </c>
      <c r="E2780">
        <f t="shared" si="429"/>
        <v>18.7166666666667</v>
      </c>
      <c r="F2780" t="str">
        <f t="shared" si="430"/>
        <v/>
      </c>
      <c r="G2780" t="str">
        <f t="shared" si="431"/>
        <v/>
      </c>
    </row>
    <row r="2781" spans="2:7">
      <c r="B2781" s="46"/>
      <c r="C2781" t="str">
        <f t="shared" si="427"/>
        <v/>
      </c>
      <c r="D2781" s="63" t="str">
        <f t="shared" si="428"/>
        <v/>
      </c>
      <c r="E2781">
        <f t="shared" si="429"/>
        <v>18.9539215686275</v>
      </c>
      <c r="F2781" t="str">
        <f t="shared" si="430"/>
        <v/>
      </c>
      <c r="G2781" t="str">
        <f t="shared" si="431"/>
        <v/>
      </c>
    </row>
    <row r="2782" spans="2:7">
      <c r="B2782" s="46"/>
      <c r="C2782" t="str">
        <f t="shared" si="427"/>
        <v/>
      </c>
      <c r="D2782" s="63" t="str">
        <f t="shared" si="428"/>
        <v/>
      </c>
      <c r="E2782" t="str">
        <f t="shared" si="429"/>
        <v/>
      </c>
      <c r="F2782" t="str">
        <f t="shared" si="430"/>
        <v/>
      </c>
      <c r="G2782">
        <f t="shared" si="431"/>
        <v>15.4449685534591</v>
      </c>
    </row>
    <row r="2783" spans="2:7">
      <c r="B2783" s="46"/>
      <c r="C2783" t="str">
        <f t="shared" si="427"/>
        <v/>
      </c>
      <c r="D2783" s="63" t="str">
        <f t="shared" si="428"/>
        <v/>
      </c>
      <c r="E2783" t="str">
        <f t="shared" si="429"/>
        <v/>
      </c>
      <c r="F2783" t="str">
        <f t="shared" si="430"/>
        <v/>
      </c>
      <c r="G2783">
        <f t="shared" si="431"/>
        <v>16.4669811320755</v>
      </c>
    </row>
    <row r="2784" spans="2:7">
      <c r="B2784" s="46"/>
      <c r="C2784" t="str">
        <f t="shared" si="427"/>
        <v/>
      </c>
      <c r="D2784" s="63" t="str">
        <f t="shared" si="428"/>
        <v/>
      </c>
      <c r="E2784" t="str">
        <f t="shared" si="429"/>
        <v/>
      </c>
      <c r="F2784" t="str">
        <f t="shared" si="430"/>
        <v/>
      </c>
      <c r="G2784">
        <f t="shared" si="431"/>
        <v>17.7877358490566</v>
      </c>
    </row>
    <row r="2785" spans="2:7">
      <c r="B2785" s="46"/>
      <c r="C2785" t="str">
        <f t="shared" si="427"/>
        <v/>
      </c>
      <c r="D2785" s="63" t="str">
        <f t="shared" si="428"/>
        <v/>
      </c>
      <c r="E2785" t="str">
        <f t="shared" si="429"/>
        <v/>
      </c>
      <c r="F2785" t="str">
        <f t="shared" si="430"/>
        <v/>
      </c>
      <c r="G2785">
        <f t="shared" si="431"/>
        <v>18.377358490566</v>
      </c>
    </row>
    <row r="2786" spans="2:7">
      <c r="B2786" s="46"/>
      <c r="C2786" t="str">
        <f t="shared" si="427"/>
        <v/>
      </c>
      <c r="D2786" s="63" t="str">
        <f t="shared" si="428"/>
        <v/>
      </c>
      <c r="E2786" t="str">
        <f t="shared" si="429"/>
        <v/>
      </c>
      <c r="F2786">
        <f t="shared" si="430"/>
        <v>15.4234693877551</v>
      </c>
      <c r="G2786" t="str">
        <f t="shared" si="431"/>
        <v/>
      </c>
    </row>
    <row r="2787" spans="2:7">
      <c r="B2787" s="46"/>
      <c r="C2787" t="str">
        <f t="shared" si="427"/>
        <v/>
      </c>
      <c r="D2787" s="63" t="str">
        <f t="shared" si="428"/>
        <v/>
      </c>
      <c r="E2787" t="str">
        <f t="shared" si="429"/>
        <v/>
      </c>
      <c r="F2787">
        <f t="shared" si="430"/>
        <v>16.7698412698413</v>
      </c>
      <c r="G2787" t="str">
        <f t="shared" si="431"/>
        <v/>
      </c>
    </row>
    <row r="2788" spans="2:7">
      <c r="B2788" s="46"/>
      <c r="C2788" t="str">
        <f t="shared" si="427"/>
        <v/>
      </c>
      <c r="D2788" s="63" t="str">
        <f t="shared" si="428"/>
        <v/>
      </c>
      <c r="E2788" t="str">
        <f t="shared" si="429"/>
        <v/>
      </c>
      <c r="F2788">
        <f t="shared" si="430"/>
        <v>18.109410430839</v>
      </c>
      <c r="G2788" t="str">
        <f t="shared" si="431"/>
        <v/>
      </c>
    </row>
    <row r="2789" spans="2:7">
      <c r="B2789" s="46"/>
      <c r="C2789" t="str">
        <f t="shared" si="427"/>
        <v/>
      </c>
      <c r="D2789" s="63" t="str">
        <f t="shared" si="428"/>
        <v/>
      </c>
      <c r="E2789" t="str">
        <f t="shared" si="429"/>
        <v/>
      </c>
      <c r="F2789">
        <f t="shared" si="430"/>
        <v>20.1581632653061</v>
      </c>
      <c r="G2789" t="str">
        <f t="shared" si="431"/>
        <v/>
      </c>
    </row>
    <row r="2790" spans="2:7">
      <c r="B2790" s="46"/>
      <c r="C2790" t="str">
        <f t="shared" si="427"/>
        <v/>
      </c>
      <c r="D2790" s="63" t="str">
        <f t="shared" si="428"/>
        <v/>
      </c>
      <c r="E2790" t="str">
        <f t="shared" si="429"/>
        <v/>
      </c>
      <c r="F2790">
        <f t="shared" si="430"/>
        <v>22.1581632653061</v>
      </c>
      <c r="G2790" t="str">
        <f t="shared" si="431"/>
        <v/>
      </c>
    </row>
    <row r="2791" spans="2:7">
      <c r="B2791" s="46"/>
      <c r="C2791" t="str">
        <f t="shared" si="427"/>
        <v/>
      </c>
      <c r="D2791" s="63" t="str">
        <f t="shared" si="428"/>
        <v/>
      </c>
      <c r="E2791" t="str">
        <f t="shared" si="429"/>
        <v/>
      </c>
      <c r="F2791">
        <f t="shared" si="430"/>
        <v>22.8781179138322</v>
      </c>
      <c r="G2791" t="str">
        <f t="shared" si="431"/>
        <v/>
      </c>
    </row>
    <row r="2792" spans="2:7">
      <c r="B2792" s="46"/>
      <c r="C2792" t="str">
        <f t="shared" si="427"/>
        <v/>
      </c>
      <c r="D2792" s="63">
        <f t="shared" si="428"/>
        <v>17.3022300469484</v>
      </c>
      <c r="E2792" t="str">
        <f t="shared" si="429"/>
        <v/>
      </c>
      <c r="F2792" t="str">
        <f t="shared" si="430"/>
        <v/>
      </c>
      <c r="G2792" t="str">
        <f t="shared" si="431"/>
        <v/>
      </c>
    </row>
    <row r="2793" spans="2:7">
      <c r="B2793" s="46"/>
      <c r="C2793" t="str">
        <f t="shared" si="427"/>
        <v/>
      </c>
      <c r="D2793" s="63">
        <f t="shared" si="428"/>
        <v>22.837441314554</v>
      </c>
      <c r="E2793" t="str">
        <f t="shared" si="429"/>
        <v/>
      </c>
      <c r="F2793" t="str">
        <f t="shared" si="430"/>
        <v/>
      </c>
      <c r="G2793" t="str">
        <f t="shared" si="431"/>
        <v/>
      </c>
    </row>
    <row r="2794" spans="2:7">
      <c r="B2794" s="46"/>
      <c r="C2794" t="str">
        <f t="shared" si="427"/>
        <v/>
      </c>
      <c r="D2794" s="63">
        <f t="shared" si="428"/>
        <v>23.7089201877934</v>
      </c>
      <c r="E2794" t="str">
        <f t="shared" si="429"/>
        <v/>
      </c>
      <c r="F2794" t="str">
        <f t="shared" si="430"/>
        <v/>
      </c>
      <c r="G2794" t="str">
        <f t="shared" si="431"/>
        <v/>
      </c>
    </row>
    <row r="2795" spans="2:7">
      <c r="B2795" s="46"/>
      <c r="C2795" t="str">
        <f t="shared" si="427"/>
        <v/>
      </c>
      <c r="D2795" s="63">
        <f t="shared" si="428"/>
        <v>24.3427230046948</v>
      </c>
      <c r="E2795" t="str">
        <f t="shared" si="429"/>
        <v/>
      </c>
      <c r="F2795" t="str">
        <f t="shared" si="430"/>
        <v/>
      </c>
      <c r="G2795" t="str">
        <f t="shared" si="431"/>
        <v/>
      </c>
    </row>
    <row r="2796" spans="2:7">
      <c r="B2796" s="46"/>
      <c r="C2796" t="str">
        <f t="shared" si="427"/>
        <v/>
      </c>
      <c r="D2796" s="63">
        <f t="shared" si="428"/>
        <v>27.5704225352113</v>
      </c>
      <c r="E2796" t="str">
        <f t="shared" si="429"/>
        <v/>
      </c>
      <c r="F2796" t="str">
        <f t="shared" si="430"/>
        <v/>
      </c>
      <c r="G2796" t="str">
        <f t="shared" si="431"/>
        <v/>
      </c>
    </row>
    <row r="2797" spans="2:7">
      <c r="B2797" s="46"/>
      <c r="C2797" t="str">
        <f t="shared" si="427"/>
        <v/>
      </c>
      <c r="D2797" s="63" t="str">
        <f t="shared" si="428"/>
        <v/>
      </c>
      <c r="E2797" t="str">
        <f t="shared" si="429"/>
        <v/>
      </c>
      <c r="F2797" t="str">
        <f t="shared" si="430"/>
        <v/>
      </c>
      <c r="G2797">
        <f t="shared" si="431"/>
        <v>19.1949685534591</v>
      </c>
    </row>
    <row r="2798" spans="2:7">
      <c r="B2798" s="46"/>
      <c r="C2798" t="str">
        <f t="shared" si="427"/>
        <v/>
      </c>
      <c r="D2798" s="63" t="str">
        <f t="shared" si="428"/>
        <v/>
      </c>
      <c r="E2798" t="str">
        <f t="shared" si="429"/>
        <v/>
      </c>
      <c r="F2798" t="str">
        <f t="shared" si="430"/>
        <v/>
      </c>
      <c r="G2798">
        <f t="shared" si="431"/>
        <v>21.9606918238994</v>
      </c>
    </row>
    <row r="2799" spans="2:7">
      <c r="B2799" s="46"/>
      <c r="C2799" t="str">
        <f t="shared" si="427"/>
        <v/>
      </c>
      <c r="D2799" s="63" t="str">
        <f t="shared" si="428"/>
        <v/>
      </c>
      <c r="E2799" t="str">
        <f t="shared" si="429"/>
        <v/>
      </c>
      <c r="F2799" t="str">
        <f t="shared" si="430"/>
        <v/>
      </c>
      <c r="G2799">
        <f t="shared" si="431"/>
        <v>21.9606918238994</v>
      </c>
    </row>
    <row r="2800" spans="2:7">
      <c r="B2800" s="46"/>
      <c r="C2800" t="str">
        <f t="shared" si="427"/>
        <v/>
      </c>
      <c r="D2800" s="63" t="str">
        <f t="shared" si="428"/>
        <v/>
      </c>
      <c r="E2800" t="str">
        <f t="shared" si="429"/>
        <v/>
      </c>
      <c r="F2800" t="str">
        <f t="shared" si="430"/>
        <v/>
      </c>
      <c r="G2800">
        <f t="shared" si="431"/>
        <v>25.2222222222222</v>
      </c>
    </row>
    <row r="2801" spans="2:7">
      <c r="B2801" s="46"/>
      <c r="C2801" t="str">
        <f t="shared" si="427"/>
        <v/>
      </c>
      <c r="D2801" s="63" t="str">
        <f t="shared" si="428"/>
        <v/>
      </c>
      <c r="E2801">
        <f t="shared" si="429"/>
        <v>22.268137254902</v>
      </c>
      <c r="F2801" t="str">
        <f t="shared" si="430"/>
        <v/>
      </c>
      <c r="G2801" t="str">
        <f t="shared" si="431"/>
        <v/>
      </c>
    </row>
    <row r="2802" spans="2:7">
      <c r="B2802" s="46"/>
      <c r="C2802" t="str">
        <f t="shared" si="427"/>
        <v/>
      </c>
      <c r="D2802" s="63" t="str">
        <f t="shared" si="428"/>
        <v/>
      </c>
      <c r="E2802">
        <f t="shared" si="429"/>
        <v>22.268137254902</v>
      </c>
      <c r="F2802" t="str">
        <f t="shared" si="430"/>
        <v/>
      </c>
      <c r="G2802" t="str">
        <f t="shared" si="431"/>
        <v/>
      </c>
    </row>
    <row r="2803" spans="2:7">
      <c r="B2803" s="46"/>
      <c r="C2803" t="str">
        <f t="shared" si="427"/>
        <v/>
      </c>
      <c r="D2803" s="63" t="str">
        <f t="shared" si="428"/>
        <v/>
      </c>
      <c r="E2803">
        <f t="shared" si="429"/>
        <v>24.6995098039216</v>
      </c>
      <c r="F2803" t="str">
        <f t="shared" si="430"/>
        <v/>
      </c>
      <c r="G2803" t="str">
        <f t="shared" si="431"/>
        <v/>
      </c>
    </row>
    <row r="2804" spans="2:7">
      <c r="B2804" s="46"/>
      <c r="C2804" t="str">
        <f t="shared" si="427"/>
        <v/>
      </c>
      <c r="D2804" s="63" t="str">
        <f t="shared" si="428"/>
        <v/>
      </c>
      <c r="E2804">
        <f t="shared" si="429"/>
        <v>25.3416666666667</v>
      </c>
      <c r="F2804" t="str">
        <f t="shared" si="430"/>
        <v/>
      </c>
      <c r="G2804" t="str">
        <f t="shared" si="431"/>
        <v/>
      </c>
    </row>
    <row r="2805" spans="2:7">
      <c r="B2805" s="46"/>
      <c r="C2805">
        <f t="shared" si="427"/>
        <v>19.5358796296296</v>
      </c>
      <c r="D2805" s="63" t="str">
        <f t="shared" si="428"/>
        <v/>
      </c>
      <c r="E2805" t="str">
        <f t="shared" si="429"/>
        <v/>
      </c>
      <c r="F2805" t="str">
        <f t="shared" si="430"/>
        <v/>
      </c>
      <c r="G2805" t="str">
        <f t="shared" si="431"/>
        <v/>
      </c>
    </row>
    <row r="2806" spans="2:7">
      <c r="B2806" s="46"/>
      <c r="C2806">
        <f t="shared" si="427"/>
        <v>20.1608796296296</v>
      </c>
      <c r="D2806" s="63" t="str">
        <f t="shared" si="428"/>
        <v/>
      </c>
      <c r="E2806" t="str">
        <f t="shared" si="429"/>
        <v/>
      </c>
      <c r="F2806" t="str">
        <f t="shared" si="430"/>
        <v/>
      </c>
      <c r="G2806" t="str">
        <f t="shared" si="431"/>
        <v/>
      </c>
    </row>
    <row r="2807" spans="2:7">
      <c r="B2807" s="46"/>
      <c r="C2807">
        <f t="shared" si="427"/>
        <v>21.7233796296296</v>
      </c>
      <c r="D2807" s="63" t="str">
        <f t="shared" si="428"/>
        <v/>
      </c>
      <c r="E2807" t="str">
        <f t="shared" si="429"/>
        <v/>
      </c>
      <c r="F2807" t="str">
        <f t="shared" si="430"/>
        <v/>
      </c>
      <c r="G2807" t="str">
        <f t="shared" si="431"/>
        <v/>
      </c>
    </row>
    <row r="2808" spans="2:7">
      <c r="B2808" s="46"/>
      <c r="C2808">
        <f t="shared" si="427"/>
        <v>22.7054398148148</v>
      </c>
      <c r="D2808" s="63" t="str">
        <f t="shared" si="428"/>
        <v/>
      </c>
      <c r="E2808" t="str">
        <f t="shared" si="429"/>
        <v/>
      </c>
      <c r="F2808" t="str">
        <f t="shared" si="430"/>
        <v/>
      </c>
      <c r="G2808" t="str">
        <f t="shared" si="431"/>
        <v/>
      </c>
    </row>
    <row r="2809" spans="2:7">
      <c r="B2809" s="46"/>
      <c r="C2809">
        <f t="shared" si="427"/>
        <v>22.7054398148148</v>
      </c>
      <c r="D2809" s="63" t="str">
        <f t="shared" si="428"/>
        <v/>
      </c>
      <c r="E2809" t="str">
        <f t="shared" si="429"/>
        <v/>
      </c>
      <c r="F2809" t="str">
        <f t="shared" si="430"/>
        <v/>
      </c>
      <c r="G2809" t="str">
        <f t="shared" si="431"/>
        <v/>
      </c>
    </row>
    <row r="2810" spans="2:7">
      <c r="B2810" s="46"/>
      <c r="C2810">
        <f t="shared" si="427"/>
        <v>22.8512731481482</v>
      </c>
      <c r="D2810" s="63" t="str">
        <f t="shared" si="428"/>
        <v/>
      </c>
      <c r="E2810" t="str">
        <f t="shared" si="429"/>
        <v/>
      </c>
      <c r="F2810" t="str">
        <f t="shared" si="430"/>
        <v/>
      </c>
      <c r="G2810" t="str">
        <f t="shared" si="431"/>
        <v/>
      </c>
    </row>
    <row r="2811" spans="2:7">
      <c r="B2811" s="46"/>
      <c r="C2811">
        <f t="shared" ref="C2811:C2813" si="432">IF(J73=1,S73,"")</f>
        <v>34.4068287037037</v>
      </c>
      <c r="D2811" s="63" t="str">
        <f t="shared" ref="D2811:D2813" si="433">IF(J73=2,S73,"")</f>
        <v/>
      </c>
      <c r="E2811" t="str">
        <f t="shared" ref="E2811:E2813" si="434">IF(J73=3,S73,"")</f>
        <v/>
      </c>
      <c r="F2811" t="str">
        <f t="shared" ref="F2811:F2813" si="435">IF(J73=4,S73,"")</f>
        <v/>
      </c>
      <c r="G2811" t="str">
        <f t="shared" ref="G2811:G2813" si="436">IF(J73=5,S73,"")</f>
        <v/>
      </c>
    </row>
    <row r="2812" spans="2:7">
      <c r="B2812" s="46"/>
      <c r="C2812">
        <f t="shared" si="432"/>
        <v>34.4068287037037</v>
      </c>
      <c r="D2812" s="63" t="str">
        <f t="shared" si="433"/>
        <v/>
      </c>
      <c r="E2812" t="str">
        <f t="shared" si="434"/>
        <v/>
      </c>
      <c r="F2812" t="str">
        <f t="shared" si="435"/>
        <v/>
      </c>
      <c r="G2812" t="str">
        <f t="shared" si="436"/>
        <v/>
      </c>
    </row>
    <row r="2813" ht="15.75" spans="2:7">
      <c r="B2813" s="46"/>
      <c r="C2813">
        <f t="shared" si="432"/>
        <v>35.5827546296296</v>
      </c>
      <c r="D2813" s="63" t="str">
        <f t="shared" si="433"/>
        <v/>
      </c>
      <c r="E2813" t="str">
        <f t="shared" si="434"/>
        <v/>
      </c>
      <c r="F2813" t="str">
        <f t="shared" si="435"/>
        <v/>
      </c>
      <c r="G2813" t="str">
        <f t="shared" si="436"/>
        <v/>
      </c>
    </row>
    <row r="2814" spans="2:7">
      <c r="B2814" s="74" t="s">
        <v>269</v>
      </c>
      <c r="C2814" s="75">
        <f>MAX(C2746:C2813)</f>
        <v>35.5827546296296</v>
      </c>
      <c r="D2814" s="75">
        <f t="shared" ref="D2814:G2814" si="437">MAX(D2746:D2813)</f>
        <v>27.5704225352113</v>
      </c>
      <c r="E2814" s="75">
        <f t="shared" si="437"/>
        <v>25.3416666666667</v>
      </c>
      <c r="F2814" s="75">
        <f t="shared" si="437"/>
        <v>22.8781179138322</v>
      </c>
      <c r="G2814" s="75">
        <f t="shared" si="437"/>
        <v>25.2222222222222</v>
      </c>
    </row>
    <row r="2815" spans="2:7">
      <c r="B2815" s="76" t="s">
        <v>270</v>
      </c>
      <c r="C2815" s="77">
        <v>1</v>
      </c>
      <c r="D2815" s="78">
        <v>2</v>
      </c>
      <c r="E2815">
        <v>3</v>
      </c>
      <c r="F2815">
        <v>4</v>
      </c>
      <c r="G2815">
        <v>5</v>
      </c>
    </row>
    <row r="2816" spans="2:7">
      <c r="B2816" s="79" t="s">
        <v>271</v>
      </c>
      <c r="C2816" s="72">
        <f>HLOOKUP(MIN(C2814:G2814),C2814:G2815,2,FALSE)</f>
        <v>4</v>
      </c>
      <c r="D2816" s="80"/>
    </row>
    <row r="2818" ht="15.75" spans="2:7">
      <c r="B2818" s="43" t="s">
        <v>339</v>
      </c>
      <c r="C2818" s="44"/>
      <c r="D2818" s="45"/>
    </row>
    <row r="2819" spans="2:7">
      <c r="B2819" s="46"/>
      <c r="C2819" s="61" t="s">
        <v>264</v>
      </c>
      <c r="D2819" s="61" t="s">
        <v>265</v>
      </c>
      <c r="E2819" s="62" t="s">
        <v>286</v>
      </c>
      <c r="F2819" s="62" t="s">
        <v>287</v>
      </c>
      <c r="G2819" s="62" t="s">
        <v>288</v>
      </c>
    </row>
    <row r="2820" spans="2:7">
      <c r="B2820" s="46"/>
      <c r="C2820">
        <f t="shared" ref="C2820:C2883" si="438">IF(J8=1,S8,"")</f>
        <v>0.700231481481482</v>
      </c>
      <c r="D2820" s="63" t="str">
        <f t="shared" ref="D2820:D2883" si="439">IF(J8=2,S8,"")</f>
        <v/>
      </c>
      <c r="E2820" t="str">
        <f t="shared" ref="E2820:E2883" si="440">IF(J8=3,S8,"")</f>
        <v/>
      </c>
      <c r="F2820" t="str">
        <f t="shared" ref="F2820:F2883" si="441">IF(J8=4,S8,"")</f>
        <v/>
      </c>
      <c r="G2820" t="str">
        <f t="shared" ref="G2820:G2883" si="442">IF(J8=5,S8,"")</f>
        <v/>
      </c>
    </row>
    <row r="2821" spans="2:7">
      <c r="B2821" s="46"/>
      <c r="C2821" t="str">
        <f t="shared" si="438"/>
        <v/>
      </c>
      <c r="D2821" s="63">
        <f t="shared" si="439"/>
        <v>0.734154929577465</v>
      </c>
      <c r="E2821" t="str">
        <f t="shared" si="440"/>
        <v/>
      </c>
      <c r="F2821" t="str">
        <f t="shared" si="441"/>
        <v/>
      </c>
      <c r="G2821" t="str">
        <f t="shared" si="442"/>
        <v/>
      </c>
    </row>
    <row r="2822" spans="2:7">
      <c r="B2822" s="46"/>
      <c r="C2822" t="str">
        <f t="shared" si="438"/>
        <v/>
      </c>
      <c r="D2822" s="63" t="str">
        <f t="shared" si="439"/>
        <v/>
      </c>
      <c r="E2822">
        <f t="shared" si="440"/>
        <v>1.83823529411765</v>
      </c>
      <c r="F2822" t="str">
        <f t="shared" si="441"/>
        <v/>
      </c>
      <c r="G2822" t="str">
        <f t="shared" si="442"/>
        <v/>
      </c>
    </row>
    <row r="2823" spans="2:7">
      <c r="B2823" s="46"/>
      <c r="C2823" t="str">
        <f t="shared" si="438"/>
        <v/>
      </c>
      <c r="D2823" s="63" t="str">
        <f t="shared" si="439"/>
        <v/>
      </c>
      <c r="E2823" t="str">
        <f t="shared" si="440"/>
        <v/>
      </c>
      <c r="F2823">
        <f t="shared" si="441"/>
        <v>4.28571428571429</v>
      </c>
      <c r="G2823" t="str">
        <f t="shared" si="442"/>
        <v/>
      </c>
    </row>
    <row r="2824" spans="2:7">
      <c r="B2824" s="46"/>
      <c r="C2824" t="str">
        <f t="shared" si="438"/>
        <v/>
      </c>
      <c r="D2824" s="63" t="str">
        <f t="shared" si="439"/>
        <v/>
      </c>
      <c r="E2824" t="str">
        <f t="shared" si="440"/>
        <v/>
      </c>
      <c r="F2824" t="str">
        <f t="shared" si="441"/>
        <v/>
      </c>
      <c r="G2824">
        <f t="shared" si="442"/>
        <v>3.43396226415094</v>
      </c>
    </row>
    <row r="2825" spans="2:7">
      <c r="B2825" s="46"/>
      <c r="C2825" t="str">
        <f t="shared" si="438"/>
        <v/>
      </c>
      <c r="D2825" s="63" t="str">
        <f t="shared" si="439"/>
        <v/>
      </c>
      <c r="E2825">
        <f t="shared" si="440"/>
        <v>14.5833333333333</v>
      </c>
      <c r="F2825" t="str">
        <f t="shared" si="441"/>
        <v/>
      </c>
      <c r="G2825" t="str">
        <f t="shared" si="442"/>
        <v/>
      </c>
    </row>
    <row r="2826" spans="2:7">
      <c r="B2826" s="46"/>
      <c r="C2826" t="str">
        <f t="shared" si="438"/>
        <v/>
      </c>
      <c r="D2826" s="63" t="str">
        <f t="shared" si="439"/>
        <v/>
      </c>
      <c r="E2826" t="str">
        <f t="shared" si="440"/>
        <v/>
      </c>
      <c r="F2826">
        <f t="shared" si="441"/>
        <v>6.42857142857143</v>
      </c>
      <c r="G2826" t="str">
        <f t="shared" si="442"/>
        <v/>
      </c>
    </row>
    <row r="2827" spans="2:7">
      <c r="B2827" s="46"/>
      <c r="C2827" t="str">
        <f t="shared" si="438"/>
        <v/>
      </c>
      <c r="D2827" s="63" t="str">
        <f t="shared" si="439"/>
        <v/>
      </c>
      <c r="E2827" t="str">
        <f t="shared" si="440"/>
        <v/>
      </c>
      <c r="F2827" t="str">
        <f t="shared" si="441"/>
        <v/>
      </c>
      <c r="G2827">
        <f t="shared" si="442"/>
        <v>3.84591194968553</v>
      </c>
    </row>
    <row r="2828" spans="2:7">
      <c r="B2828" s="46"/>
      <c r="C2828">
        <f t="shared" si="438"/>
        <v>0.844907407407407</v>
      </c>
      <c r="D2828" s="63" t="str">
        <f t="shared" si="439"/>
        <v/>
      </c>
      <c r="E2828" t="str">
        <f t="shared" si="440"/>
        <v/>
      </c>
      <c r="F2828" t="str">
        <f t="shared" si="441"/>
        <v/>
      </c>
      <c r="G2828" t="str">
        <f t="shared" si="442"/>
        <v/>
      </c>
    </row>
    <row r="2829" spans="2:7">
      <c r="B2829" s="46"/>
      <c r="C2829">
        <f t="shared" si="438"/>
        <v>6.79803240740741</v>
      </c>
      <c r="D2829" s="63" t="str">
        <f t="shared" si="439"/>
        <v/>
      </c>
      <c r="E2829" t="str">
        <f t="shared" si="440"/>
        <v/>
      </c>
      <c r="F2829" t="str">
        <f t="shared" si="441"/>
        <v/>
      </c>
      <c r="G2829" t="str">
        <f t="shared" si="442"/>
        <v/>
      </c>
    </row>
    <row r="2830" spans="2:7">
      <c r="B2830" s="46"/>
      <c r="C2830">
        <f t="shared" si="438"/>
        <v>6.79803240740741</v>
      </c>
      <c r="D2830" s="63" t="str">
        <f t="shared" si="439"/>
        <v/>
      </c>
      <c r="E2830" t="str">
        <f t="shared" si="440"/>
        <v/>
      </c>
      <c r="F2830" t="str">
        <f t="shared" si="441"/>
        <v/>
      </c>
      <c r="G2830" t="str">
        <f t="shared" si="442"/>
        <v/>
      </c>
    </row>
    <row r="2831" spans="2:7">
      <c r="B2831" s="46"/>
      <c r="C2831">
        <f t="shared" si="438"/>
        <v>7.52719907407408</v>
      </c>
      <c r="D2831" s="63" t="str">
        <f t="shared" si="439"/>
        <v/>
      </c>
      <c r="E2831" t="str">
        <f t="shared" si="440"/>
        <v/>
      </c>
      <c r="F2831" t="str">
        <f t="shared" si="441"/>
        <v/>
      </c>
      <c r="G2831" t="str">
        <f t="shared" si="442"/>
        <v/>
      </c>
    </row>
    <row r="2832" spans="2:7">
      <c r="B2832" s="46"/>
      <c r="C2832" t="str">
        <f t="shared" si="438"/>
        <v/>
      </c>
      <c r="D2832" s="63">
        <f t="shared" si="439"/>
        <v>2.7881455399061</v>
      </c>
      <c r="E2832" t="str">
        <f t="shared" si="440"/>
        <v/>
      </c>
      <c r="F2832" t="str">
        <f t="shared" si="441"/>
        <v/>
      </c>
      <c r="G2832" t="str">
        <f t="shared" si="442"/>
        <v/>
      </c>
    </row>
    <row r="2833" spans="2:7">
      <c r="B2833" s="46"/>
      <c r="C2833" t="str">
        <f t="shared" si="438"/>
        <v/>
      </c>
      <c r="D2833" s="63">
        <f t="shared" si="439"/>
        <v>4.47535211267606</v>
      </c>
      <c r="E2833" t="str">
        <f t="shared" si="440"/>
        <v/>
      </c>
      <c r="F2833" t="str">
        <f t="shared" si="441"/>
        <v/>
      </c>
      <c r="G2833" t="str">
        <f t="shared" si="442"/>
        <v/>
      </c>
    </row>
    <row r="2834" spans="2:7">
      <c r="B2834" s="46"/>
      <c r="C2834" t="str">
        <f t="shared" si="438"/>
        <v/>
      </c>
      <c r="D2834" s="63">
        <f t="shared" si="439"/>
        <v>6.10680751173709</v>
      </c>
      <c r="E2834" t="str">
        <f t="shared" si="440"/>
        <v/>
      </c>
      <c r="F2834" t="str">
        <f t="shared" si="441"/>
        <v/>
      </c>
      <c r="G2834" t="str">
        <f t="shared" si="442"/>
        <v/>
      </c>
    </row>
    <row r="2835" spans="2:7">
      <c r="B2835" s="46"/>
      <c r="C2835" t="str">
        <f t="shared" si="438"/>
        <v/>
      </c>
      <c r="D2835" s="63">
        <f t="shared" si="439"/>
        <v>8.50821596244131</v>
      </c>
      <c r="E2835" t="str">
        <f t="shared" si="440"/>
        <v/>
      </c>
      <c r="F2835" t="str">
        <f t="shared" si="441"/>
        <v/>
      </c>
      <c r="G2835" t="str">
        <f t="shared" si="442"/>
        <v/>
      </c>
    </row>
    <row r="2836" spans="2:7">
      <c r="B2836" s="46"/>
      <c r="C2836" t="str">
        <f t="shared" si="438"/>
        <v/>
      </c>
      <c r="D2836" s="63">
        <f t="shared" si="439"/>
        <v>10.268779342723</v>
      </c>
      <c r="E2836" t="str">
        <f t="shared" si="440"/>
        <v/>
      </c>
      <c r="F2836" t="str">
        <f t="shared" si="441"/>
        <v/>
      </c>
      <c r="G2836" t="str">
        <f t="shared" si="442"/>
        <v/>
      </c>
    </row>
    <row r="2837" spans="2:7">
      <c r="B2837" s="46"/>
      <c r="C2837" t="str">
        <f t="shared" si="438"/>
        <v/>
      </c>
      <c r="D2837" s="63" t="str">
        <f t="shared" si="439"/>
        <v/>
      </c>
      <c r="E2837" t="str">
        <f t="shared" si="440"/>
        <v/>
      </c>
      <c r="F2837" t="str">
        <f t="shared" si="441"/>
        <v/>
      </c>
      <c r="G2837">
        <f t="shared" si="442"/>
        <v>7.67610062893082</v>
      </c>
    </row>
    <row r="2838" spans="2:7">
      <c r="B2838" s="46"/>
      <c r="C2838" t="str">
        <f t="shared" si="438"/>
        <v/>
      </c>
      <c r="D2838" s="63" t="str">
        <f t="shared" si="439"/>
        <v/>
      </c>
      <c r="E2838" t="str">
        <f t="shared" si="440"/>
        <v/>
      </c>
      <c r="F2838" t="str">
        <f t="shared" si="441"/>
        <v/>
      </c>
      <c r="G2838">
        <f t="shared" si="442"/>
        <v>10.3836477987421</v>
      </c>
    </row>
    <row r="2839" spans="2:7">
      <c r="B2839" s="46"/>
      <c r="C2839" t="str">
        <f t="shared" si="438"/>
        <v/>
      </c>
      <c r="D2839" s="63" t="str">
        <f t="shared" si="439"/>
        <v/>
      </c>
      <c r="E2839" t="str">
        <f t="shared" si="440"/>
        <v/>
      </c>
      <c r="F2839" t="str">
        <f t="shared" si="441"/>
        <v/>
      </c>
      <c r="G2839">
        <f t="shared" si="442"/>
        <v>13.2138364779874</v>
      </c>
    </row>
    <row r="2840" spans="2:7">
      <c r="B2840" s="46"/>
      <c r="C2840" t="str">
        <f t="shared" si="438"/>
        <v/>
      </c>
      <c r="D2840" s="63" t="str">
        <f t="shared" si="439"/>
        <v/>
      </c>
      <c r="E2840" t="str">
        <f t="shared" si="440"/>
        <v/>
      </c>
      <c r="F2840" t="str">
        <f t="shared" si="441"/>
        <v/>
      </c>
      <c r="G2840">
        <f t="shared" si="442"/>
        <v>14.7243186582809</v>
      </c>
    </row>
    <row r="2841" spans="2:7">
      <c r="B2841" s="46"/>
      <c r="C2841" t="str">
        <f t="shared" si="438"/>
        <v/>
      </c>
      <c r="D2841" s="63" t="str">
        <f t="shared" si="439"/>
        <v/>
      </c>
      <c r="E2841" t="str">
        <f t="shared" si="440"/>
        <v/>
      </c>
      <c r="F2841">
        <f t="shared" si="441"/>
        <v>9.17630385487529</v>
      </c>
      <c r="G2841" t="str">
        <f t="shared" si="442"/>
        <v/>
      </c>
    </row>
    <row r="2842" spans="2:7">
      <c r="B2842" s="46"/>
      <c r="C2842" t="str">
        <f t="shared" si="438"/>
        <v/>
      </c>
      <c r="D2842" s="63" t="str">
        <f t="shared" si="439"/>
        <v/>
      </c>
      <c r="E2842" t="str">
        <f t="shared" si="440"/>
        <v/>
      </c>
      <c r="F2842">
        <f t="shared" si="441"/>
        <v>12.328231292517</v>
      </c>
      <c r="G2842" t="str">
        <f t="shared" si="442"/>
        <v/>
      </c>
    </row>
    <row r="2843" spans="2:7">
      <c r="B2843" s="46"/>
      <c r="C2843" t="str">
        <f t="shared" si="438"/>
        <v/>
      </c>
      <c r="D2843" s="63" t="str">
        <f t="shared" si="439"/>
        <v/>
      </c>
      <c r="E2843" t="str">
        <f t="shared" si="440"/>
        <v/>
      </c>
      <c r="F2843">
        <f t="shared" si="441"/>
        <v>15.0017006802721</v>
      </c>
      <c r="G2843" t="str">
        <f t="shared" si="442"/>
        <v/>
      </c>
    </row>
    <row r="2844" spans="2:7">
      <c r="B2844" s="46"/>
      <c r="C2844">
        <f t="shared" si="438"/>
        <v>10.328125</v>
      </c>
      <c r="D2844" s="63" t="str">
        <f t="shared" si="439"/>
        <v/>
      </c>
      <c r="E2844" t="str">
        <f t="shared" si="440"/>
        <v/>
      </c>
      <c r="F2844" t="str">
        <f t="shared" si="441"/>
        <v/>
      </c>
      <c r="G2844" t="str">
        <f t="shared" si="442"/>
        <v/>
      </c>
    </row>
    <row r="2845" spans="2:7">
      <c r="B2845" s="46"/>
      <c r="C2845">
        <f t="shared" si="438"/>
        <v>14.5908564814815</v>
      </c>
      <c r="D2845" s="63" t="str">
        <f t="shared" si="439"/>
        <v/>
      </c>
      <c r="E2845" t="str">
        <f t="shared" si="440"/>
        <v/>
      </c>
      <c r="F2845" t="str">
        <f t="shared" si="441"/>
        <v/>
      </c>
      <c r="G2845" t="str">
        <f t="shared" si="442"/>
        <v/>
      </c>
    </row>
    <row r="2846" spans="2:7">
      <c r="B2846" s="46"/>
      <c r="C2846">
        <f t="shared" si="438"/>
        <v>14.9409722222222</v>
      </c>
      <c r="D2846" s="63" t="str">
        <f t="shared" si="439"/>
        <v/>
      </c>
      <c r="E2846" t="str">
        <f t="shared" si="440"/>
        <v/>
      </c>
      <c r="F2846" t="str">
        <f t="shared" si="441"/>
        <v/>
      </c>
      <c r="G2846" t="str">
        <f t="shared" si="442"/>
        <v/>
      </c>
    </row>
    <row r="2847" spans="2:7">
      <c r="B2847" s="46"/>
      <c r="C2847">
        <f t="shared" si="438"/>
        <v>19.2465277777778</v>
      </c>
      <c r="D2847" s="63" t="str">
        <f t="shared" si="439"/>
        <v/>
      </c>
      <c r="E2847" t="str">
        <f t="shared" si="440"/>
        <v/>
      </c>
      <c r="F2847" t="str">
        <f t="shared" si="441"/>
        <v/>
      </c>
      <c r="G2847" t="str">
        <f t="shared" si="442"/>
        <v/>
      </c>
    </row>
    <row r="2848" spans="2:7">
      <c r="B2848" s="46"/>
      <c r="C2848" t="str">
        <f t="shared" si="438"/>
        <v/>
      </c>
      <c r="D2848" s="63">
        <f t="shared" si="439"/>
        <v>15.0340375586854</v>
      </c>
      <c r="E2848" t="str">
        <f t="shared" si="440"/>
        <v/>
      </c>
      <c r="F2848" t="str">
        <f t="shared" si="441"/>
        <v/>
      </c>
      <c r="G2848" t="str">
        <f t="shared" si="442"/>
        <v/>
      </c>
    </row>
    <row r="2849" spans="2:7">
      <c r="B2849" s="46"/>
      <c r="C2849" t="str">
        <f t="shared" si="438"/>
        <v/>
      </c>
      <c r="D2849" s="63">
        <f t="shared" si="439"/>
        <v>15.0340375586854</v>
      </c>
      <c r="E2849" t="str">
        <f t="shared" si="440"/>
        <v/>
      </c>
      <c r="F2849" t="str">
        <f t="shared" si="441"/>
        <v/>
      </c>
      <c r="G2849" t="str">
        <f t="shared" si="442"/>
        <v/>
      </c>
    </row>
    <row r="2850" spans="2:7">
      <c r="B2850" s="46"/>
      <c r="C2850" t="str">
        <f t="shared" si="438"/>
        <v/>
      </c>
      <c r="D2850" s="63">
        <f t="shared" si="439"/>
        <v>16.1343896713615</v>
      </c>
      <c r="E2850" t="str">
        <f t="shared" si="440"/>
        <v/>
      </c>
      <c r="F2850" t="str">
        <f t="shared" si="441"/>
        <v/>
      </c>
      <c r="G2850" t="str">
        <f t="shared" si="442"/>
        <v/>
      </c>
    </row>
    <row r="2851" spans="2:7">
      <c r="B2851" s="46"/>
      <c r="C2851" t="str">
        <f t="shared" si="438"/>
        <v/>
      </c>
      <c r="D2851" s="63">
        <f t="shared" si="439"/>
        <v>16.8620892018779</v>
      </c>
      <c r="E2851" t="str">
        <f t="shared" si="440"/>
        <v/>
      </c>
      <c r="F2851" t="str">
        <f t="shared" si="441"/>
        <v/>
      </c>
      <c r="G2851" t="str">
        <f t="shared" si="442"/>
        <v/>
      </c>
    </row>
    <row r="2852" spans="2:7">
      <c r="B2852" s="46"/>
      <c r="C2852" t="str">
        <f t="shared" si="438"/>
        <v/>
      </c>
      <c r="D2852" s="63" t="str">
        <f t="shared" si="439"/>
        <v/>
      </c>
      <c r="E2852">
        <f t="shared" si="440"/>
        <v>16.1245098039216</v>
      </c>
      <c r="F2852" t="str">
        <f t="shared" si="441"/>
        <v/>
      </c>
      <c r="G2852" t="str">
        <f t="shared" si="442"/>
        <v/>
      </c>
    </row>
    <row r="2853" spans="2:7">
      <c r="B2853" s="46"/>
      <c r="C2853" t="str">
        <f t="shared" si="438"/>
        <v/>
      </c>
      <c r="D2853" s="63" t="str">
        <f t="shared" si="439"/>
        <v/>
      </c>
      <c r="E2853">
        <f t="shared" si="440"/>
        <v>17.9225490196078</v>
      </c>
      <c r="F2853" t="str">
        <f t="shared" si="441"/>
        <v/>
      </c>
      <c r="G2853" t="str">
        <f t="shared" si="442"/>
        <v/>
      </c>
    </row>
    <row r="2854" spans="2:7">
      <c r="B2854" s="46"/>
      <c r="C2854" t="str">
        <f t="shared" si="438"/>
        <v/>
      </c>
      <c r="D2854" s="63" t="str">
        <f t="shared" si="439"/>
        <v/>
      </c>
      <c r="E2854">
        <f t="shared" si="440"/>
        <v>18.7166666666667</v>
      </c>
      <c r="F2854" t="str">
        <f t="shared" si="441"/>
        <v/>
      </c>
      <c r="G2854" t="str">
        <f t="shared" si="442"/>
        <v/>
      </c>
    </row>
    <row r="2855" spans="2:7">
      <c r="B2855" s="46"/>
      <c r="C2855" t="str">
        <f t="shared" si="438"/>
        <v/>
      </c>
      <c r="D2855" s="63" t="str">
        <f t="shared" si="439"/>
        <v/>
      </c>
      <c r="E2855">
        <f t="shared" si="440"/>
        <v>18.9539215686275</v>
      </c>
      <c r="F2855" t="str">
        <f t="shared" si="441"/>
        <v/>
      </c>
      <c r="G2855" t="str">
        <f t="shared" si="442"/>
        <v/>
      </c>
    </row>
    <row r="2856" spans="2:7">
      <c r="B2856" s="46"/>
      <c r="C2856" t="str">
        <f t="shared" si="438"/>
        <v/>
      </c>
      <c r="D2856" s="63" t="str">
        <f t="shared" si="439"/>
        <v/>
      </c>
      <c r="E2856" t="str">
        <f t="shared" si="440"/>
        <v/>
      </c>
      <c r="F2856" t="str">
        <f t="shared" si="441"/>
        <v/>
      </c>
      <c r="G2856">
        <f t="shared" si="442"/>
        <v>15.4449685534591</v>
      </c>
    </row>
    <row r="2857" spans="2:7">
      <c r="B2857" s="46"/>
      <c r="C2857" t="str">
        <f t="shared" si="438"/>
        <v/>
      </c>
      <c r="D2857" s="63" t="str">
        <f t="shared" si="439"/>
        <v/>
      </c>
      <c r="E2857" t="str">
        <f t="shared" si="440"/>
        <v/>
      </c>
      <c r="F2857" t="str">
        <f t="shared" si="441"/>
        <v/>
      </c>
      <c r="G2857">
        <f t="shared" si="442"/>
        <v>16.4669811320755</v>
      </c>
    </row>
    <row r="2858" spans="2:7">
      <c r="B2858" s="46"/>
      <c r="C2858" t="str">
        <f t="shared" si="438"/>
        <v/>
      </c>
      <c r="D2858" s="63" t="str">
        <f t="shared" si="439"/>
        <v/>
      </c>
      <c r="E2858" t="str">
        <f t="shared" si="440"/>
        <v/>
      </c>
      <c r="F2858" t="str">
        <f t="shared" si="441"/>
        <v/>
      </c>
      <c r="G2858">
        <f t="shared" si="442"/>
        <v>17.7877358490566</v>
      </c>
    </row>
    <row r="2859" spans="2:7">
      <c r="B2859" s="46"/>
      <c r="C2859" t="str">
        <f t="shared" si="438"/>
        <v/>
      </c>
      <c r="D2859" s="63" t="str">
        <f t="shared" si="439"/>
        <v/>
      </c>
      <c r="E2859" t="str">
        <f t="shared" si="440"/>
        <v/>
      </c>
      <c r="F2859" t="str">
        <f t="shared" si="441"/>
        <v/>
      </c>
      <c r="G2859">
        <f t="shared" si="442"/>
        <v>18.377358490566</v>
      </c>
    </row>
    <row r="2860" spans="2:7">
      <c r="B2860" s="46"/>
      <c r="C2860" t="str">
        <f t="shared" si="438"/>
        <v/>
      </c>
      <c r="D2860" s="63" t="str">
        <f t="shared" si="439"/>
        <v/>
      </c>
      <c r="E2860" t="str">
        <f t="shared" si="440"/>
        <v/>
      </c>
      <c r="F2860">
        <f t="shared" si="441"/>
        <v>15.4234693877551</v>
      </c>
      <c r="G2860" t="str">
        <f t="shared" si="442"/>
        <v/>
      </c>
    </row>
    <row r="2861" spans="2:7">
      <c r="B2861" s="46"/>
      <c r="C2861" t="str">
        <f t="shared" si="438"/>
        <v/>
      </c>
      <c r="D2861" s="63" t="str">
        <f t="shared" si="439"/>
        <v/>
      </c>
      <c r="E2861" t="str">
        <f t="shared" si="440"/>
        <v/>
      </c>
      <c r="F2861">
        <f t="shared" si="441"/>
        <v>16.7698412698413</v>
      </c>
      <c r="G2861" t="str">
        <f t="shared" si="442"/>
        <v/>
      </c>
    </row>
    <row r="2862" spans="2:7">
      <c r="B2862" s="46"/>
      <c r="C2862" t="str">
        <f t="shared" si="438"/>
        <v/>
      </c>
      <c r="D2862" s="63" t="str">
        <f t="shared" si="439"/>
        <v/>
      </c>
      <c r="E2862" t="str">
        <f t="shared" si="440"/>
        <v/>
      </c>
      <c r="F2862">
        <f t="shared" si="441"/>
        <v>18.109410430839</v>
      </c>
      <c r="G2862" t="str">
        <f t="shared" si="442"/>
        <v/>
      </c>
    </row>
    <row r="2863" spans="2:7">
      <c r="B2863" s="46"/>
      <c r="C2863" t="str">
        <f t="shared" si="438"/>
        <v/>
      </c>
      <c r="D2863" s="63" t="str">
        <f t="shared" si="439"/>
        <v/>
      </c>
      <c r="E2863" t="str">
        <f t="shared" si="440"/>
        <v/>
      </c>
      <c r="F2863">
        <f t="shared" si="441"/>
        <v>20.1581632653061</v>
      </c>
      <c r="G2863" t="str">
        <f t="shared" si="442"/>
        <v/>
      </c>
    </row>
    <row r="2864" spans="2:7">
      <c r="B2864" s="46"/>
      <c r="C2864" t="str">
        <f t="shared" si="438"/>
        <v/>
      </c>
      <c r="D2864" s="63" t="str">
        <f t="shared" si="439"/>
        <v/>
      </c>
      <c r="E2864" t="str">
        <f t="shared" si="440"/>
        <v/>
      </c>
      <c r="F2864">
        <f t="shared" si="441"/>
        <v>22.1581632653061</v>
      </c>
      <c r="G2864" t="str">
        <f t="shared" si="442"/>
        <v/>
      </c>
    </row>
    <row r="2865" spans="2:7">
      <c r="B2865" s="46"/>
      <c r="C2865" t="str">
        <f t="shared" si="438"/>
        <v/>
      </c>
      <c r="D2865" s="63" t="str">
        <f t="shared" si="439"/>
        <v/>
      </c>
      <c r="E2865" t="str">
        <f t="shared" si="440"/>
        <v/>
      </c>
      <c r="F2865">
        <f t="shared" si="441"/>
        <v>22.8781179138322</v>
      </c>
      <c r="G2865" t="str">
        <f t="shared" si="442"/>
        <v/>
      </c>
    </row>
    <row r="2866" spans="2:7">
      <c r="B2866" s="46"/>
      <c r="C2866" t="str">
        <f t="shared" si="438"/>
        <v/>
      </c>
      <c r="D2866" s="63">
        <f t="shared" si="439"/>
        <v>17.3022300469484</v>
      </c>
      <c r="E2866" t="str">
        <f t="shared" si="440"/>
        <v/>
      </c>
      <c r="F2866" t="str">
        <f t="shared" si="441"/>
        <v/>
      </c>
      <c r="G2866" t="str">
        <f t="shared" si="442"/>
        <v/>
      </c>
    </row>
    <row r="2867" spans="2:7">
      <c r="B2867" s="46"/>
      <c r="C2867" t="str">
        <f t="shared" si="438"/>
        <v/>
      </c>
      <c r="D2867" s="63">
        <f t="shared" si="439"/>
        <v>22.837441314554</v>
      </c>
      <c r="E2867" t="str">
        <f t="shared" si="440"/>
        <v/>
      </c>
      <c r="F2867" t="str">
        <f t="shared" si="441"/>
        <v/>
      </c>
      <c r="G2867" t="str">
        <f t="shared" si="442"/>
        <v/>
      </c>
    </row>
    <row r="2868" spans="2:7">
      <c r="B2868" s="46"/>
      <c r="C2868" t="str">
        <f t="shared" si="438"/>
        <v/>
      </c>
      <c r="D2868" s="63">
        <f t="shared" si="439"/>
        <v>23.7089201877934</v>
      </c>
      <c r="E2868" t="str">
        <f t="shared" si="440"/>
        <v/>
      </c>
      <c r="F2868" t="str">
        <f t="shared" si="441"/>
        <v/>
      </c>
      <c r="G2868" t="str">
        <f t="shared" si="442"/>
        <v/>
      </c>
    </row>
    <row r="2869" spans="2:7">
      <c r="B2869" s="46"/>
      <c r="C2869" t="str">
        <f t="shared" si="438"/>
        <v/>
      </c>
      <c r="D2869" s="63">
        <f t="shared" si="439"/>
        <v>24.3427230046948</v>
      </c>
      <c r="E2869" t="str">
        <f t="shared" si="440"/>
        <v/>
      </c>
      <c r="F2869" t="str">
        <f t="shared" si="441"/>
        <v/>
      </c>
      <c r="G2869" t="str">
        <f t="shared" si="442"/>
        <v/>
      </c>
    </row>
    <row r="2870" spans="2:7">
      <c r="B2870" s="46"/>
      <c r="C2870" t="str">
        <f t="shared" si="438"/>
        <v/>
      </c>
      <c r="D2870" s="63">
        <f t="shared" si="439"/>
        <v>27.5704225352113</v>
      </c>
      <c r="E2870" t="str">
        <f t="shared" si="440"/>
        <v/>
      </c>
      <c r="F2870" t="str">
        <f t="shared" si="441"/>
        <v/>
      </c>
      <c r="G2870" t="str">
        <f t="shared" si="442"/>
        <v/>
      </c>
    </row>
    <row r="2871" spans="2:7">
      <c r="B2871" s="46"/>
      <c r="C2871" t="str">
        <f t="shared" si="438"/>
        <v/>
      </c>
      <c r="D2871" s="63" t="str">
        <f t="shared" si="439"/>
        <v/>
      </c>
      <c r="E2871" t="str">
        <f t="shared" si="440"/>
        <v/>
      </c>
      <c r="F2871" t="str">
        <f t="shared" si="441"/>
        <v/>
      </c>
      <c r="G2871">
        <f t="shared" si="442"/>
        <v>19.1949685534591</v>
      </c>
    </row>
    <row r="2872" spans="2:7">
      <c r="B2872" s="46"/>
      <c r="C2872" t="str">
        <f t="shared" si="438"/>
        <v/>
      </c>
      <c r="D2872" s="63" t="str">
        <f t="shared" si="439"/>
        <v/>
      </c>
      <c r="E2872" t="str">
        <f t="shared" si="440"/>
        <v/>
      </c>
      <c r="F2872" t="str">
        <f t="shared" si="441"/>
        <v/>
      </c>
      <c r="G2872">
        <f t="shared" si="442"/>
        <v>21.9606918238994</v>
      </c>
    </row>
    <row r="2873" spans="2:7">
      <c r="B2873" s="46"/>
      <c r="C2873" t="str">
        <f t="shared" si="438"/>
        <v/>
      </c>
      <c r="D2873" s="63" t="str">
        <f t="shared" si="439"/>
        <v/>
      </c>
      <c r="E2873" t="str">
        <f t="shared" si="440"/>
        <v/>
      </c>
      <c r="F2873" t="str">
        <f t="shared" si="441"/>
        <v/>
      </c>
      <c r="G2873">
        <f t="shared" si="442"/>
        <v>21.9606918238994</v>
      </c>
    </row>
    <row r="2874" spans="2:7">
      <c r="B2874" s="46"/>
      <c r="C2874" t="str">
        <f t="shared" si="438"/>
        <v/>
      </c>
      <c r="D2874" s="63" t="str">
        <f t="shared" si="439"/>
        <v/>
      </c>
      <c r="E2874" t="str">
        <f t="shared" si="440"/>
        <v/>
      </c>
      <c r="F2874" t="str">
        <f t="shared" si="441"/>
        <v/>
      </c>
      <c r="G2874">
        <f t="shared" si="442"/>
        <v>25.2222222222222</v>
      </c>
    </row>
    <row r="2875" spans="2:7">
      <c r="B2875" s="46"/>
      <c r="C2875" t="str">
        <f t="shared" si="438"/>
        <v/>
      </c>
      <c r="D2875" s="63" t="str">
        <f t="shared" si="439"/>
        <v/>
      </c>
      <c r="E2875">
        <f t="shared" si="440"/>
        <v>22.268137254902</v>
      </c>
      <c r="F2875" t="str">
        <f t="shared" si="441"/>
        <v/>
      </c>
      <c r="G2875" t="str">
        <f t="shared" si="442"/>
        <v/>
      </c>
    </row>
    <row r="2876" spans="2:7">
      <c r="B2876" s="46"/>
      <c r="C2876" t="str">
        <f t="shared" si="438"/>
        <v/>
      </c>
      <c r="D2876" s="63" t="str">
        <f t="shared" si="439"/>
        <v/>
      </c>
      <c r="E2876">
        <f t="shared" si="440"/>
        <v>22.268137254902</v>
      </c>
      <c r="F2876" t="str">
        <f t="shared" si="441"/>
        <v/>
      </c>
      <c r="G2876" t="str">
        <f t="shared" si="442"/>
        <v/>
      </c>
    </row>
    <row r="2877" spans="2:7">
      <c r="B2877" s="46"/>
      <c r="C2877" t="str">
        <f t="shared" si="438"/>
        <v/>
      </c>
      <c r="D2877" s="63" t="str">
        <f t="shared" si="439"/>
        <v/>
      </c>
      <c r="E2877">
        <f t="shared" si="440"/>
        <v>24.6995098039216</v>
      </c>
      <c r="F2877" t="str">
        <f t="shared" si="441"/>
        <v/>
      </c>
      <c r="G2877" t="str">
        <f t="shared" si="442"/>
        <v/>
      </c>
    </row>
    <row r="2878" spans="2:7">
      <c r="B2878" s="46"/>
      <c r="C2878" t="str">
        <f t="shared" si="438"/>
        <v/>
      </c>
      <c r="D2878" s="63" t="str">
        <f t="shared" si="439"/>
        <v/>
      </c>
      <c r="E2878">
        <f t="shared" si="440"/>
        <v>25.3416666666667</v>
      </c>
      <c r="F2878" t="str">
        <f t="shared" si="441"/>
        <v/>
      </c>
      <c r="G2878" t="str">
        <f t="shared" si="442"/>
        <v/>
      </c>
    </row>
    <row r="2879" spans="2:7">
      <c r="B2879" s="46"/>
      <c r="C2879">
        <f t="shared" si="438"/>
        <v>19.5358796296296</v>
      </c>
      <c r="D2879" s="63" t="str">
        <f t="shared" si="439"/>
        <v/>
      </c>
      <c r="E2879" t="str">
        <f t="shared" si="440"/>
        <v/>
      </c>
      <c r="F2879" t="str">
        <f t="shared" si="441"/>
        <v/>
      </c>
      <c r="G2879" t="str">
        <f t="shared" si="442"/>
        <v/>
      </c>
    </row>
    <row r="2880" spans="2:7">
      <c r="B2880" s="46"/>
      <c r="C2880">
        <f t="shared" si="438"/>
        <v>20.1608796296296</v>
      </c>
      <c r="D2880" s="63" t="str">
        <f t="shared" si="439"/>
        <v/>
      </c>
      <c r="E2880" t="str">
        <f t="shared" si="440"/>
        <v/>
      </c>
      <c r="F2880" t="str">
        <f t="shared" si="441"/>
        <v/>
      </c>
      <c r="G2880" t="str">
        <f t="shared" si="442"/>
        <v/>
      </c>
    </row>
    <row r="2881" spans="2:7">
      <c r="B2881" s="46"/>
      <c r="C2881">
        <f t="shared" si="438"/>
        <v>21.7233796296296</v>
      </c>
      <c r="D2881" s="63" t="str">
        <f t="shared" si="439"/>
        <v/>
      </c>
      <c r="E2881" t="str">
        <f t="shared" si="440"/>
        <v/>
      </c>
      <c r="F2881" t="str">
        <f t="shared" si="441"/>
        <v/>
      </c>
      <c r="G2881" t="str">
        <f t="shared" si="442"/>
        <v/>
      </c>
    </row>
    <row r="2882" spans="2:7">
      <c r="B2882" s="46"/>
      <c r="C2882">
        <f t="shared" si="438"/>
        <v>22.7054398148148</v>
      </c>
      <c r="D2882" s="63" t="str">
        <f t="shared" si="439"/>
        <v/>
      </c>
      <c r="E2882" t="str">
        <f t="shared" si="440"/>
        <v/>
      </c>
      <c r="F2882" t="str">
        <f t="shared" si="441"/>
        <v/>
      </c>
      <c r="G2882" t="str">
        <f t="shared" si="442"/>
        <v/>
      </c>
    </row>
    <row r="2883" spans="2:7">
      <c r="B2883" s="46"/>
      <c r="C2883">
        <f t="shared" si="438"/>
        <v>22.7054398148148</v>
      </c>
      <c r="D2883" s="63" t="str">
        <f t="shared" si="439"/>
        <v/>
      </c>
      <c r="E2883" t="str">
        <f t="shared" si="440"/>
        <v/>
      </c>
      <c r="F2883" t="str">
        <f t="shared" si="441"/>
        <v/>
      </c>
      <c r="G2883" t="str">
        <f t="shared" si="442"/>
        <v/>
      </c>
    </row>
    <row r="2884" spans="2:7">
      <c r="B2884" s="46"/>
      <c r="C2884">
        <f>IF(J72=1,S72,"")</f>
        <v>22.8512731481482</v>
      </c>
      <c r="D2884" s="63" t="str">
        <f>IF(J72=2,S72,"")</f>
        <v/>
      </c>
      <c r="E2884" t="str">
        <f>IF(J72=3,S72,"")</f>
        <v/>
      </c>
      <c r="F2884" t="str">
        <f>IF(J72=4,S72,"")</f>
        <v/>
      </c>
      <c r="G2884" t="str">
        <f>IF(J72=5,S72,"")</f>
        <v/>
      </c>
    </row>
    <row r="2885" spans="2:7">
      <c r="B2885" s="46"/>
      <c r="C2885">
        <f>IF(J73=1,S73,"")</f>
        <v>34.4068287037037</v>
      </c>
      <c r="D2885" s="63" t="str">
        <f>IF(J73=2,S73,"")</f>
        <v/>
      </c>
      <c r="E2885" t="str">
        <f>IF(J73=3,S73,"")</f>
        <v/>
      </c>
      <c r="F2885" t="str">
        <f>IF(J73=4,S73,"")</f>
        <v/>
      </c>
      <c r="G2885" t="str">
        <f>IF(J73=5,S73,"")</f>
        <v/>
      </c>
    </row>
    <row r="2886" spans="2:7">
      <c r="B2886" s="46"/>
      <c r="C2886">
        <f>IF(J74=1,S74,"")</f>
        <v>34.4068287037037</v>
      </c>
      <c r="D2886" s="63" t="str">
        <f>IF(J74=2,S74,"")</f>
        <v/>
      </c>
      <c r="E2886" t="str">
        <f>IF(J74=3,S74,"")</f>
        <v/>
      </c>
      <c r="F2886" t="str">
        <f>IF(J74=4,S74,"")</f>
        <v/>
      </c>
      <c r="G2886" t="str">
        <f>IF(J74=5,S74,"")</f>
        <v/>
      </c>
    </row>
    <row r="2887" spans="2:7">
      <c r="B2887" s="46"/>
      <c r="C2887">
        <f>IF(J75=1,S75,"")</f>
        <v>35.5827546296296</v>
      </c>
      <c r="D2887" s="63" t="str">
        <f>IF(J75=2,S75,"")</f>
        <v/>
      </c>
      <c r="E2887" t="str">
        <f>IF(J75=3,S75,"")</f>
        <v/>
      </c>
      <c r="F2887" t="str">
        <f>IF(J75=4,S75,"")</f>
        <v/>
      </c>
      <c r="G2887" t="str">
        <f>IF(J75=5,S75,"")</f>
        <v/>
      </c>
    </row>
    <row r="2888" ht="15.75" spans="2:7">
      <c r="B2888" s="46"/>
      <c r="C2888">
        <f>IF(J76=1,S76,"")</f>
        <v>36.7893518518519</v>
      </c>
      <c r="D2888" s="63" t="str">
        <f>IF(J76=2,S76,"")</f>
        <v/>
      </c>
      <c r="E2888" t="str">
        <f>IF(J76=3,S76,"")</f>
        <v/>
      </c>
      <c r="F2888" t="str">
        <f>IF(J76=4,S76,"")</f>
        <v/>
      </c>
      <c r="G2888" t="str">
        <f>IF(J76=5,S76,"")</f>
        <v/>
      </c>
    </row>
    <row r="2889" spans="2:7">
      <c r="B2889" s="74" t="s">
        <v>269</v>
      </c>
      <c r="C2889" s="75">
        <f>MAX(C2820:C2888)</f>
        <v>36.7893518518519</v>
      </c>
      <c r="D2889" s="75">
        <f t="shared" ref="D2889:G2889" si="443">MAX(D2820:D2888)</f>
        <v>27.5704225352113</v>
      </c>
      <c r="E2889" s="75">
        <f t="shared" si="443"/>
        <v>25.3416666666667</v>
      </c>
      <c r="F2889" s="75">
        <f t="shared" si="443"/>
        <v>22.8781179138322</v>
      </c>
      <c r="G2889" s="75">
        <f t="shared" si="443"/>
        <v>25.2222222222222</v>
      </c>
    </row>
    <row r="2890" spans="2:7">
      <c r="B2890" s="76" t="s">
        <v>270</v>
      </c>
      <c r="C2890" s="77">
        <v>1</v>
      </c>
      <c r="D2890" s="78">
        <v>2</v>
      </c>
      <c r="E2890">
        <v>3</v>
      </c>
      <c r="F2890">
        <v>4</v>
      </c>
      <c r="G2890">
        <v>5</v>
      </c>
    </row>
    <row r="2891" spans="2:7">
      <c r="B2891" s="79" t="s">
        <v>271</v>
      </c>
      <c r="C2891" s="72">
        <f>HLOOKUP(MIN(C2889:G2889),C2889:G2890,2,FALSE)</f>
        <v>4</v>
      </c>
      <c r="D2891" s="80"/>
    </row>
    <row r="2894" ht="15.75" spans="2:7">
      <c r="B2894" s="43" t="s">
        <v>340</v>
      </c>
      <c r="C2894" s="44"/>
      <c r="D2894" s="45"/>
    </row>
    <row r="2895" spans="2:7">
      <c r="B2895" s="46"/>
      <c r="C2895" s="61" t="s">
        <v>264</v>
      </c>
      <c r="D2895" s="61" t="s">
        <v>265</v>
      </c>
      <c r="E2895" s="62" t="s">
        <v>286</v>
      </c>
      <c r="F2895" s="62" t="s">
        <v>287</v>
      </c>
      <c r="G2895" s="62" t="s">
        <v>288</v>
      </c>
    </row>
    <row r="2896" spans="2:7">
      <c r="B2896" s="46"/>
      <c r="C2896">
        <f t="shared" ref="C2896:C2959" si="444">IF(J8=1,S8,"")</f>
        <v>0.700231481481482</v>
      </c>
      <c r="D2896" s="63" t="str">
        <f t="shared" ref="D2896:D2959" si="445">IF(J8=2,S8,"")</f>
        <v/>
      </c>
      <c r="E2896" t="str">
        <f t="shared" ref="E2896:E2959" si="446">IF(J8=3,S8,"")</f>
        <v/>
      </c>
      <c r="F2896" t="str">
        <f t="shared" ref="F2896:F2959" si="447">IF(J8=4,S8,"")</f>
        <v/>
      </c>
      <c r="G2896" t="str">
        <f t="shared" ref="G2896:G2959" si="448">IF(J8=5,S8,"")</f>
        <v/>
      </c>
    </row>
    <row r="2897" spans="2:7">
      <c r="B2897" s="46"/>
      <c r="C2897" t="str">
        <f t="shared" si="444"/>
        <v/>
      </c>
      <c r="D2897" s="63">
        <f t="shared" si="445"/>
        <v>0.734154929577465</v>
      </c>
      <c r="E2897" t="str">
        <f t="shared" si="446"/>
        <v/>
      </c>
      <c r="F2897" t="str">
        <f t="shared" si="447"/>
        <v/>
      </c>
      <c r="G2897" t="str">
        <f t="shared" si="448"/>
        <v/>
      </c>
    </row>
    <row r="2898" spans="2:7">
      <c r="B2898" s="46"/>
      <c r="C2898" t="str">
        <f t="shared" si="444"/>
        <v/>
      </c>
      <c r="D2898" s="63" t="str">
        <f t="shared" si="445"/>
        <v/>
      </c>
      <c r="E2898">
        <f t="shared" si="446"/>
        <v>1.83823529411765</v>
      </c>
      <c r="F2898" t="str">
        <f t="shared" si="447"/>
        <v/>
      </c>
      <c r="G2898" t="str">
        <f t="shared" si="448"/>
        <v/>
      </c>
    </row>
    <row r="2899" spans="2:7">
      <c r="B2899" s="46"/>
      <c r="C2899" t="str">
        <f t="shared" si="444"/>
        <v/>
      </c>
      <c r="D2899" s="63" t="str">
        <f t="shared" si="445"/>
        <v/>
      </c>
      <c r="E2899" t="str">
        <f t="shared" si="446"/>
        <v/>
      </c>
      <c r="F2899">
        <f t="shared" si="447"/>
        <v>4.28571428571429</v>
      </c>
      <c r="G2899" t="str">
        <f t="shared" si="448"/>
        <v/>
      </c>
    </row>
    <row r="2900" spans="2:7">
      <c r="B2900" s="46"/>
      <c r="C2900" t="str">
        <f t="shared" si="444"/>
        <v/>
      </c>
      <c r="D2900" s="63" t="str">
        <f t="shared" si="445"/>
        <v/>
      </c>
      <c r="E2900" t="str">
        <f t="shared" si="446"/>
        <v/>
      </c>
      <c r="F2900" t="str">
        <f t="shared" si="447"/>
        <v/>
      </c>
      <c r="G2900">
        <f t="shared" si="448"/>
        <v>3.43396226415094</v>
      </c>
    </row>
    <row r="2901" spans="2:7">
      <c r="B2901" s="46"/>
      <c r="C2901" t="str">
        <f t="shared" si="444"/>
        <v/>
      </c>
      <c r="D2901" s="63" t="str">
        <f t="shared" si="445"/>
        <v/>
      </c>
      <c r="E2901">
        <f t="shared" si="446"/>
        <v>14.5833333333333</v>
      </c>
      <c r="F2901" t="str">
        <f t="shared" si="447"/>
        <v/>
      </c>
      <c r="G2901" t="str">
        <f t="shared" si="448"/>
        <v/>
      </c>
    </row>
    <row r="2902" spans="2:7">
      <c r="B2902" s="46"/>
      <c r="C2902" t="str">
        <f t="shared" si="444"/>
        <v/>
      </c>
      <c r="D2902" s="63" t="str">
        <f t="shared" si="445"/>
        <v/>
      </c>
      <c r="E2902" t="str">
        <f t="shared" si="446"/>
        <v/>
      </c>
      <c r="F2902">
        <f t="shared" si="447"/>
        <v>6.42857142857143</v>
      </c>
      <c r="G2902" t="str">
        <f t="shared" si="448"/>
        <v/>
      </c>
    </row>
    <row r="2903" spans="2:7">
      <c r="B2903" s="46"/>
      <c r="C2903" t="str">
        <f t="shared" si="444"/>
        <v/>
      </c>
      <c r="D2903" s="63" t="str">
        <f t="shared" si="445"/>
        <v/>
      </c>
      <c r="E2903" t="str">
        <f t="shared" si="446"/>
        <v/>
      </c>
      <c r="F2903" t="str">
        <f t="shared" si="447"/>
        <v/>
      </c>
      <c r="G2903">
        <f t="shared" si="448"/>
        <v>3.84591194968553</v>
      </c>
    </row>
    <row r="2904" spans="2:7">
      <c r="B2904" s="46"/>
      <c r="C2904">
        <f t="shared" si="444"/>
        <v>0.844907407407407</v>
      </c>
      <c r="D2904" s="63" t="str">
        <f t="shared" si="445"/>
        <v/>
      </c>
      <c r="E2904" t="str">
        <f t="shared" si="446"/>
        <v/>
      </c>
      <c r="F2904" t="str">
        <f t="shared" si="447"/>
        <v/>
      </c>
      <c r="G2904" t="str">
        <f t="shared" si="448"/>
        <v/>
      </c>
    </row>
    <row r="2905" spans="2:7">
      <c r="B2905" s="46"/>
      <c r="C2905">
        <f t="shared" si="444"/>
        <v>6.79803240740741</v>
      </c>
      <c r="D2905" s="63" t="str">
        <f t="shared" si="445"/>
        <v/>
      </c>
      <c r="E2905" t="str">
        <f t="shared" si="446"/>
        <v/>
      </c>
      <c r="F2905" t="str">
        <f t="shared" si="447"/>
        <v/>
      </c>
      <c r="G2905" t="str">
        <f t="shared" si="448"/>
        <v/>
      </c>
    </row>
    <row r="2906" spans="2:7">
      <c r="B2906" s="46"/>
      <c r="C2906">
        <f t="shared" si="444"/>
        <v>6.79803240740741</v>
      </c>
      <c r="D2906" s="63" t="str">
        <f t="shared" si="445"/>
        <v/>
      </c>
      <c r="E2906" t="str">
        <f t="shared" si="446"/>
        <v/>
      </c>
      <c r="F2906" t="str">
        <f t="shared" si="447"/>
        <v/>
      </c>
      <c r="G2906" t="str">
        <f t="shared" si="448"/>
        <v/>
      </c>
    </row>
    <row r="2907" spans="2:7">
      <c r="B2907" s="46"/>
      <c r="C2907">
        <f t="shared" si="444"/>
        <v>7.52719907407408</v>
      </c>
      <c r="D2907" s="63" t="str">
        <f t="shared" si="445"/>
        <v/>
      </c>
      <c r="E2907" t="str">
        <f t="shared" si="446"/>
        <v/>
      </c>
      <c r="F2907" t="str">
        <f t="shared" si="447"/>
        <v/>
      </c>
      <c r="G2907" t="str">
        <f t="shared" si="448"/>
        <v/>
      </c>
    </row>
    <row r="2908" spans="2:7">
      <c r="B2908" s="46"/>
      <c r="C2908" t="str">
        <f t="shared" si="444"/>
        <v/>
      </c>
      <c r="D2908" s="63">
        <f t="shared" si="445"/>
        <v>2.7881455399061</v>
      </c>
      <c r="E2908" t="str">
        <f t="shared" si="446"/>
        <v/>
      </c>
      <c r="F2908" t="str">
        <f t="shared" si="447"/>
        <v/>
      </c>
      <c r="G2908" t="str">
        <f t="shared" si="448"/>
        <v/>
      </c>
    </row>
    <row r="2909" spans="2:7">
      <c r="B2909" s="46"/>
      <c r="C2909" t="str">
        <f t="shared" si="444"/>
        <v/>
      </c>
      <c r="D2909" s="63">
        <f t="shared" si="445"/>
        <v>4.47535211267606</v>
      </c>
      <c r="E2909" t="str">
        <f t="shared" si="446"/>
        <v/>
      </c>
      <c r="F2909" t="str">
        <f t="shared" si="447"/>
        <v/>
      </c>
      <c r="G2909" t="str">
        <f t="shared" si="448"/>
        <v/>
      </c>
    </row>
    <row r="2910" spans="2:7">
      <c r="B2910" s="46"/>
      <c r="C2910" t="str">
        <f t="shared" si="444"/>
        <v/>
      </c>
      <c r="D2910" s="63">
        <f t="shared" si="445"/>
        <v>6.10680751173709</v>
      </c>
      <c r="E2910" t="str">
        <f t="shared" si="446"/>
        <v/>
      </c>
      <c r="F2910" t="str">
        <f t="shared" si="447"/>
        <v/>
      </c>
      <c r="G2910" t="str">
        <f t="shared" si="448"/>
        <v/>
      </c>
    </row>
    <row r="2911" spans="2:7">
      <c r="B2911" s="46"/>
      <c r="C2911" t="str">
        <f t="shared" si="444"/>
        <v/>
      </c>
      <c r="D2911" s="63">
        <f t="shared" si="445"/>
        <v>8.50821596244131</v>
      </c>
      <c r="E2911" t="str">
        <f t="shared" si="446"/>
        <v/>
      </c>
      <c r="F2911" t="str">
        <f t="shared" si="447"/>
        <v/>
      </c>
      <c r="G2911" t="str">
        <f t="shared" si="448"/>
        <v/>
      </c>
    </row>
    <row r="2912" spans="2:7">
      <c r="B2912" s="46"/>
      <c r="C2912" t="str">
        <f t="shared" si="444"/>
        <v/>
      </c>
      <c r="D2912" s="63">
        <f t="shared" si="445"/>
        <v>10.268779342723</v>
      </c>
      <c r="E2912" t="str">
        <f t="shared" si="446"/>
        <v/>
      </c>
      <c r="F2912" t="str">
        <f t="shared" si="447"/>
        <v/>
      </c>
      <c r="G2912" t="str">
        <f t="shared" si="448"/>
        <v/>
      </c>
    </row>
    <row r="2913" spans="2:7">
      <c r="B2913" s="46"/>
      <c r="C2913" t="str">
        <f t="shared" si="444"/>
        <v/>
      </c>
      <c r="D2913" s="63" t="str">
        <f t="shared" si="445"/>
        <v/>
      </c>
      <c r="E2913" t="str">
        <f t="shared" si="446"/>
        <v/>
      </c>
      <c r="F2913" t="str">
        <f t="shared" si="447"/>
        <v/>
      </c>
      <c r="G2913">
        <f t="shared" si="448"/>
        <v>7.67610062893082</v>
      </c>
    </row>
    <row r="2914" spans="2:7">
      <c r="B2914" s="46"/>
      <c r="C2914" t="str">
        <f t="shared" si="444"/>
        <v/>
      </c>
      <c r="D2914" s="63" t="str">
        <f t="shared" si="445"/>
        <v/>
      </c>
      <c r="E2914" t="str">
        <f t="shared" si="446"/>
        <v/>
      </c>
      <c r="F2914" t="str">
        <f t="shared" si="447"/>
        <v/>
      </c>
      <c r="G2914">
        <f t="shared" si="448"/>
        <v>10.3836477987421</v>
      </c>
    </row>
    <row r="2915" spans="2:7">
      <c r="B2915" s="46"/>
      <c r="C2915" t="str">
        <f t="shared" si="444"/>
        <v/>
      </c>
      <c r="D2915" s="63" t="str">
        <f t="shared" si="445"/>
        <v/>
      </c>
      <c r="E2915" t="str">
        <f t="shared" si="446"/>
        <v/>
      </c>
      <c r="F2915" t="str">
        <f t="shared" si="447"/>
        <v/>
      </c>
      <c r="G2915">
        <f t="shared" si="448"/>
        <v>13.2138364779874</v>
      </c>
    </row>
    <row r="2916" spans="2:7">
      <c r="B2916" s="46"/>
      <c r="C2916" t="str">
        <f t="shared" si="444"/>
        <v/>
      </c>
      <c r="D2916" s="63" t="str">
        <f t="shared" si="445"/>
        <v/>
      </c>
      <c r="E2916" t="str">
        <f t="shared" si="446"/>
        <v/>
      </c>
      <c r="F2916" t="str">
        <f t="shared" si="447"/>
        <v/>
      </c>
      <c r="G2916">
        <f t="shared" si="448"/>
        <v>14.7243186582809</v>
      </c>
    </row>
    <row r="2917" spans="2:7">
      <c r="B2917" s="46"/>
      <c r="C2917" t="str">
        <f t="shared" si="444"/>
        <v/>
      </c>
      <c r="D2917" s="63" t="str">
        <f t="shared" si="445"/>
        <v/>
      </c>
      <c r="E2917" t="str">
        <f t="shared" si="446"/>
        <v/>
      </c>
      <c r="F2917">
        <f t="shared" si="447"/>
        <v>9.17630385487529</v>
      </c>
      <c r="G2917" t="str">
        <f t="shared" si="448"/>
        <v/>
      </c>
    </row>
    <row r="2918" spans="2:7">
      <c r="B2918" s="46"/>
      <c r="C2918" t="str">
        <f t="shared" si="444"/>
        <v/>
      </c>
      <c r="D2918" s="63" t="str">
        <f t="shared" si="445"/>
        <v/>
      </c>
      <c r="E2918" t="str">
        <f t="shared" si="446"/>
        <v/>
      </c>
      <c r="F2918">
        <f t="shared" si="447"/>
        <v>12.328231292517</v>
      </c>
      <c r="G2918" t="str">
        <f t="shared" si="448"/>
        <v/>
      </c>
    </row>
    <row r="2919" spans="2:7">
      <c r="B2919" s="46"/>
      <c r="C2919" t="str">
        <f t="shared" si="444"/>
        <v/>
      </c>
      <c r="D2919" s="63" t="str">
        <f t="shared" si="445"/>
        <v/>
      </c>
      <c r="E2919" t="str">
        <f t="shared" si="446"/>
        <v/>
      </c>
      <c r="F2919">
        <f t="shared" si="447"/>
        <v>15.0017006802721</v>
      </c>
      <c r="G2919" t="str">
        <f t="shared" si="448"/>
        <v/>
      </c>
    </row>
    <row r="2920" spans="2:7">
      <c r="B2920" s="46"/>
      <c r="C2920">
        <f t="shared" si="444"/>
        <v>10.328125</v>
      </c>
      <c r="D2920" s="63" t="str">
        <f t="shared" si="445"/>
        <v/>
      </c>
      <c r="E2920" t="str">
        <f t="shared" si="446"/>
        <v/>
      </c>
      <c r="F2920" t="str">
        <f t="shared" si="447"/>
        <v/>
      </c>
      <c r="G2920" t="str">
        <f t="shared" si="448"/>
        <v/>
      </c>
    </row>
    <row r="2921" spans="2:7">
      <c r="B2921" s="46"/>
      <c r="C2921">
        <f t="shared" si="444"/>
        <v>14.5908564814815</v>
      </c>
      <c r="D2921" s="63" t="str">
        <f t="shared" si="445"/>
        <v/>
      </c>
      <c r="E2921" t="str">
        <f t="shared" si="446"/>
        <v/>
      </c>
      <c r="F2921" t="str">
        <f t="shared" si="447"/>
        <v/>
      </c>
      <c r="G2921" t="str">
        <f t="shared" si="448"/>
        <v/>
      </c>
    </row>
    <row r="2922" spans="2:7">
      <c r="B2922" s="46"/>
      <c r="C2922">
        <f t="shared" si="444"/>
        <v>14.9409722222222</v>
      </c>
      <c r="D2922" s="63" t="str">
        <f t="shared" si="445"/>
        <v/>
      </c>
      <c r="E2922" t="str">
        <f t="shared" si="446"/>
        <v/>
      </c>
      <c r="F2922" t="str">
        <f t="shared" si="447"/>
        <v/>
      </c>
      <c r="G2922" t="str">
        <f t="shared" si="448"/>
        <v/>
      </c>
    </row>
    <row r="2923" spans="2:7">
      <c r="B2923" s="46"/>
      <c r="C2923">
        <f t="shared" si="444"/>
        <v>19.2465277777778</v>
      </c>
      <c r="D2923" s="63" t="str">
        <f t="shared" si="445"/>
        <v/>
      </c>
      <c r="E2923" t="str">
        <f t="shared" si="446"/>
        <v/>
      </c>
      <c r="F2923" t="str">
        <f t="shared" si="447"/>
        <v/>
      </c>
      <c r="G2923" t="str">
        <f t="shared" si="448"/>
        <v/>
      </c>
    </row>
    <row r="2924" spans="2:7">
      <c r="B2924" s="46"/>
      <c r="C2924" t="str">
        <f t="shared" si="444"/>
        <v/>
      </c>
      <c r="D2924" s="63">
        <f t="shared" si="445"/>
        <v>15.0340375586854</v>
      </c>
      <c r="E2924" t="str">
        <f t="shared" si="446"/>
        <v/>
      </c>
      <c r="F2924" t="str">
        <f t="shared" si="447"/>
        <v/>
      </c>
      <c r="G2924" t="str">
        <f t="shared" si="448"/>
        <v/>
      </c>
    </row>
    <row r="2925" spans="2:7">
      <c r="B2925" s="46"/>
      <c r="C2925" t="str">
        <f t="shared" si="444"/>
        <v/>
      </c>
      <c r="D2925" s="63">
        <f t="shared" si="445"/>
        <v>15.0340375586854</v>
      </c>
      <c r="E2925" t="str">
        <f t="shared" si="446"/>
        <v/>
      </c>
      <c r="F2925" t="str">
        <f t="shared" si="447"/>
        <v/>
      </c>
      <c r="G2925" t="str">
        <f t="shared" si="448"/>
        <v/>
      </c>
    </row>
    <row r="2926" spans="2:7">
      <c r="B2926" s="46"/>
      <c r="C2926" t="str">
        <f t="shared" si="444"/>
        <v/>
      </c>
      <c r="D2926" s="63">
        <f t="shared" si="445"/>
        <v>16.1343896713615</v>
      </c>
      <c r="E2926" t="str">
        <f t="shared" si="446"/>
        <v/>
      </c>
      <c r="F2926" t="str">
        <f t="shared" si="447"/>
        <v/>
      </c>
      <c r="G2926" t="str">
        <f t="shared" si="448"/>
        <v/>
      </c>
    </row>
    <row r="2927" spans="2:7">
      <c r="B2927" s="46"/>
      <c r="C2927" t="str">
        <f t="shared" si="444"/>
        <v/>
      </c>
      <c r="D2927" s="63">
        <f t="shared" si="445"/>
        <v>16.8620892018779</v>
      </c>
      <c r="E2927" t="str">
        <f t="shared" si="446"/>
        <v/>
      </c>
      <c r="F2927" t="str">
        <f t="shared" si="447"/>
        <v/>
      </c>
      <c r="G2927" t="str">
        <f t="shared" si="448"/>
        <v/>
      </c>
    </row>
    <row r="2928" spans="2:7">
      <c r="B2928" s="46"/>
      <c r="C2928" t="str">
        <f t="shared" si="444"/>
        <v/>
      </c>
      <c r="D2928" s="63" t="str">
        <f t="shared" si="445"/>
        <v/>
      </c>
      <c r="E2928">
        <f t="shared" si="446"/>
        <v>16.1245098039216</v>
      </c>
      <c r="F2928" t="str">
        <f t="shared" si="447"/>
        <v/>
      </c>
      <c r="G2928" t="str">
        <f t="shared" si="448"/>
        <v/>
      </c>
    </row>
    <row r="2929" spans="2:7">
      <c r="B2929" s="46"/>
      <c r="C2929" t="str">
        <f t="shared" si="444"/>
        <v/>
      </c>
      <c r="D2929" s="63" t="str">
        <f t="shared" si="445"/>
        <v/>
      </c>
      <c r="E2929">
        <f t="shared" si="446"/>
        <v>17.9225490196078</v>
      </c>
      <c r="F2929" t="str">
        <f t="shared" si="447"/>
        <v/>
      </c>
      <c r="G2929" t="str">
        <f t="shared" si="448"/>
        <v/>
      </c>
    </row>
    <row r="2930" spans="2:7">
      <c r="B2930" s="46"/>
      <c r="C2930" t="str">
        <f t="shared" si="444"/>
        <v/>
      </c>
      <c r="D2930" s="63" t="str">
        <f t="shared" si="445"/>
        <v/>
      </c>
      <c r="E2930">
        <f t="shared" si="446"/>
        <v>18.7166666666667</v>
      </c>
      <c r="F2930" t="str">
        <f t="shared" si="447"/>
        <v/>
      </c>
      <c r="G2930" t="str">
        <f t="shared" si="448"/>
        <v/>
      </c>
    </row>
    <row r="2931" spans="2:7">
      <c r="B2931" s="46"/>
      <c r="C2931" t="str">
        <f t="shared" si="444"/>
        <v/>
      </c>
      <c r="D2931" s="63" t="str">
        <f t="shared" si="445"/>
        <v/>
      </c>
      <c r="E2931">
        <f t="shared" si="446"/>
        <v>18.9539215686275</v>
      </c>
      <c r="F2931" t="str">
        <f t="shared" si="447"/>
        <v/>
      </c>
      <c r="G2931" t="str">
        <f t="shared" si="448"/>
        <v/>
      </c>
    </row>
    <row r="2932" spans="2:7">
      <c r="B2932" s="46"/>
      <c r="C2932" t="str">
        <f t="shared" si="444"/>
        <v/>
      </c>
      <c r="D2932" s="63" t="str">
        <f t="shared" si="445"/>
        <v/>
      </c>
      <c r="E2932" t="str">
        <f t="shared" si="446"/>
        <v/>
      </c>
      <c r="F2932" t="str">
        <f t="shared" si="447"/>
        <v/>
      </c>
      <c r="G2932">
        <f t="shared" si="448"/>
        <v>15.4449685534591</v>
      </c>
    </row>
    <row r="2933" spans="2:7">
      <c r="B2933" s="46"/>
      <c r="C2933" t="str">
        <f t="shared" si="444"/>
        <v/>
      </c>
      <c r="D2933" s="63" t="str">
        <f t="shared" si="445"/>
        <v/>
      </c>
      <c r="E2933" t="str">
        <f t="shared" si="446"/>
        <v/>
      </c>
      <c r="F2933" t="str">
        <f t="shared" si="447"/>
        <v/>
      </c>
      <c r="G2933">
        <f t="shared" si="448"/>
        <v>16.4669811320755</v>
      </c>
    </row>
    <row r="2934" spans="2:7">
      <c r="B2934" s="46"/>
      <c r="C2934" t="str">
        <f t="shared" si="444"/>
        <v/>
      </c>
      <c r="D2934" s="63" t="str">
        <f t="shared" si="445"/>
        <v/>
      </c>
      <c r="E2934" t="str">
        <f t="shared" si="446"/>
        <v/>
      </c>
      <c r="F2934" t="str">
        <f t="shared" si="447"/>
        <v/>
      </c>
      <c r="G2934">
        <f t="shared" si="448"/>
        <v>17.7877358490566</v>
      </c>
    </row>
    <row r="2935" spans="2:7">
      <c r="B2935" s="46"/>
      <c r="C2935" t="str">
        <f t="shared" si="444"/>
        <v/>
      </c>
      <c r="D2935" s="63" t="str">
        <f t="shared" si="445"/>
        <v/>
      </c>
      <c r="E2935" t="str">
        <f t="shared" si="446"/>
        <v/>
      </c>
      <c r="F2935" t="str">
        <f t="shared" si="447"/>
        <v/>
      </c>
      <c r="G2935">
        <f t="shared" si="448"/>
        <v>18.377358490566</v>
      </c>
    </row>
    <row r="2936" spans="2:7">
      <c r="B2936" s="46"/>
      <c r="C2936" t="str">
        <f t="shared" si="444"/>
        <v/>
      </c>
      <c r="D2936" s="63" t="str">
        <f t="shared" si="445"/>
        <v/>
      </c>
      <c r="E2936" t="str">
        <f t="shared" si="446"/>
        <v/>
      </c>
      <c r="F2936">
        <f t="shared" si="447"/>
        <v>15.4234693877551</v>
      </c>
      <c r="G2936" t="str">
        <f t="shared" si="448"/>
        <v/>
      </c>
    </row>
    <row r="2937" spans="2:7">
      <c r="B2937" s="46"/>
      <c r="C2937" t="str">
        <f t="shared" si="444"/>
        <v/>
      </c>
      <c r="D2937" s="63" t="str">
        <f t="shared" si="445"/>
        <v/>
      </c>
      <c r="E2937" t="str">
        <f t="shared" si="446"/>
        <v/>
      </c>
      <c r="F2937">
        <f t="shared" si="447"/>
        <v>16.7698412698413</v>
      </c>
      <c r="G2937" t="str">
        <f t="shared" si="448"/>
        <v/>
      </c>
    </row>
    <row r="2938" spans="2:7">
      <c r="B2938" s="46"/>
      <c r="C2938" t="str">
        <f t="shared" si="444"/>
        <v/>
      </c>
      <c r="D2938" s="63" t="str">
        <f t="shared" si="445"/>
        <v/>
      </c>
      <c r="E2938" t="str">
        <f t="shared" si="446"/>
        <v/>
      </c>
      <c r="F2938">
        <f t="shared" si="447"/>
        <v>18.109410430839</v>
      </c>
      <c r="G2938" t="str">
        <f t="shared" si="448"/>
        <v/>
      </c>
    </row>
    <row r="2939" spans="2:7">
      <c r="B2939" s="46"/>
      <c r="C2939" t="str">
        <f t="shared" si="444"/>
        <v/>
      </c>
      <c r="D2939" s="63" t="str">
        <f t="shared" si="445"/>
        <v/>
      </c>
      <c r="E2939" t="str">
        <f t="shared" si="446"/>
        <v/>
      </c>
      <c r="F2939">
        <f t="shared" si="447"/>
        <v>20.1581632653061</v>
      </c>
      <c r="G2939" t="str">
        <f t="shared" si="448"/>
        <v/>
      </c>
    </row>
    <row r="2940" spans="2:7">
      <c r="B2940" s="46"/>
      <c r="C2940" t="str">
        <f t="shared" si="444"/>
        <v/>
      </c>
      <c r="D2940" s="63" t="str">
        <f t="shared" si="445"/>
        <v/>
      </c>
      <c r="E2940" t="str">
        <f t="shared" si="446"/>
        <v/>
      </c>
      <c r="F2940">
        <f t="shared" si="447"/>
        <v>22.1581632653061</v>
      </c>
      <c r="G2940" t="str">
        <f t="shared" si="448"/>
        <v/>
      </c>
    </row>
    <row r="2941" spans="2:7">
      <c r="B2941" s="46"/>
      <c r="C2941" t="str">
        <f t="shared" si="444"/>
        <v/>
      </c>
      <c r="D2941" s="63" t="str">
        <f t="shared" si="445"/>
        <v/>
      </c>
      <c r="E2941" t="str">
        <f t="shared" si="446"/>
        <v/>
      </c>
      <c r="F2941">
        <f t="shared" si="447"/>
        <v>22.8781179138322</v>
      </c>
      <c r="G2941" t="str">
        <f t="shared" si="448"/>
        <v/>
      </c>
    </row>
    <row r="2942" spans="2:7">
      <c r="B2942" s="46"/>
      <c r="C2942" t="str">
        <f t="shared" si="444"/>
        <v/>
      </c>
      <c r="D2942" s="63">
        <f t="shared" si="445"/>
        <v>17.3022300469484</v>
      </c>
      <c r="E2942" t="str">
        <f t="shared" si="446"/>
        <v/>
      </c>
      <c r="F2942" t="str">
        <f t="shared" si="447"/>
        <v/>
      </c>
      <c r="G2942" t="str">
        <f t="shared" si="448"/>
        <v/>
      </c>
    </row>
    <row r="2943" spans="2:7">
      <c r="B2943" s="46"/>
      <c r="C2943" t="str">
        <f t="shared" si="444"/>
        <v/>
      </c>
      <c r="D2943" s="63">
        <f t="shared" si="445"/>
        <v>22.837441314554</v>
      </c>
      <c r="E2943" t="str">
        <f t="shared" si="446"/>
        <v/>
      </c>
      <c r="F2943" t="str">
        <f t="shared" si="447"/>
        <v/>
      </c>
      <c r="G2943" t="str">
        <f t="shared" si="448"/>
        <v/>
      </c>
    </row>
    <row r="2944" spans="2:7">
      <c r="B2944" s="46"/>
      <c r="C2944" t="str">
        <f t="shared" si="444"/>
        <v/>
      </c>
      <c r="D2944" s="63">
        <f t="shared" si="445"/>
        <v>23.7089201877934</v>
      </c>
      <c r="E2944" t="str">
        <f t="shared" si="446"/>
        <v/>
      </c>
      <c r="F2944" t="str">
        <f t="shared" si="447"/>
        <v/>
      </c>
      <c r="G2944" t="str">
        <f t="shared" si="448"/>
        <v/>
      </c>
    </row>
    <row r="2945" spans="2:7">
      <c r="B2945" s="46"/>
      <c r="C2945" t="str">
        <f t="shared" si="444"/>
        <v/>
      </c>
      <c r="D2945" s="63">
        <f t="shared" si="445"/>
        <v>24.3427230046948</v>
      </c>
      <c r="E2945" t="str">
        <f t="shared" si="446"/>
        <v/>
      </c>
      <c r="F2945" t="str">
        <f t="shared" si="447"/>
        <v/>
      </c>
      <c r="G2945" t="str">
        <f t="shared" si="448"/>
        <v/>
      </c>
    </row>
    <row r="2946" spans="2:7">
      <c r="B2946" s="46"/>
      <c r="C2946" t="str">
        <f t="shared" si="444"/>
        <v/>
      </c>
      <c r="D2946" s="63">
        <f t="shared" si="445"/>
        <v>27.5704225352113</v>
      </c>
      <c r="E2946" t="str">
        <f t="shared" si="446"/>
        <v/>
      </c>
      <c r="F2946" t="str">
        <f t="shared" si="447"/>
        <v/>
      </c>
      <c r="G2946" t="str">
        <f t="shared" si="448"/>
        <v/>
      </c>
    </row>
    <row r="2947" spans="2:7">
      <c r="B2947" s="46"/>
      <c r="C2947" t="str">
        <f t="shared" si="444"/>
        <v/>
      </c>
      <c r="D2947" s="63" t="str">
        <f t="shared" si="445"/>
        <v/>
      </c>
      <c r="E2947" t="str">
        <f t="shared" si="446"/>
        <v/>
      </c>
      <c r="F2947" t="str">
        <f t="shared" si="447"/>
        <v/>
      </c>
      <c r="G2947">
        <f t="shared" si="448"/>
        <v>19.1949685534591</v>
      </c>
    </row>
    <row r="2948" spans="2:7">
      <c r="B2948" s="46"/>
      <c r="C2948" t="str">
        <f t="shared" si="444"/>
        <v/>
      </c>
      <c r="D2948" s="63" t="str">
        <f t="shared" si="445"/>
        <v/>
      </c>
      <c r="E2948" t="str">
        <f t="shared" si="446"/>
        <v/>
      </c>
      <c r="F2948" t="str">
        <f t="shared" si="447"/>
        <v/>
      </c>
      <c r="G2948">
        <f t="shared" si="448"/>
        <v>21.9606918238994</v>
      </c>
    </row>
    <row r="2949" spans="2:7">
      <c r="B2949" s="46"/>
      <c r="C2949" t="str">
        <f t="shared" si="444"/>
        <v/>
      </c>
      <c r="D2949" s="63" t="str">
        <f t="shared" si="445"/>
        <v/>
      </c>
      <c r="E2949" t="str">
        <f t="shared" si="446"/>
        <v/>
      </c>
      <c r="F2949" t="str">
        <f t="shared" si="447"/>
        <v/>
      </c>
      <c r="G2949">
        <f t="shared" si="448"/>
        <v>21.9606918238994</v>
      </c>
    </row>
    <row r="2950" spans="2:7">
      <c r="B2950" s="46"/>
      <c r="C2950" t="str">
        <f t="shared" si="444"/>
        <v/>
      </c>
      <c r="D2950" s="63" t="str">
        <f t="shared" si="445"/>
        <v/>
      </c>
      <c r="E2950" t="str">
        <f t="shared" si="446"/>
        <v/>
      </c>
      <c r="F2950" t="str">
        <f t="shared" si="447"/>
        <v/>
      </c>
      <c r="G2950">
        <f t="shared" si="448"/>
        <v>25.2222222222222</v>
      </c>
    </row>
    <row r="2951" spans="2:7">
      <c r="B2951" s="46"/>
      <c r="C2951" t="str">
        <f t="shared" si="444"/>
        <v/>
      </c>
      <c r="D2951" s="63" t="str">
        <f t="shared" si="445"/>
        <v/>
      </c>
      <c r="E2951">
        <f t="shared" si="446"/>
        <v>22.268137254902</v>
      </c>
      <c r="F2951" t="str">
        <f t="shared" si="447"/>
        <v/>
      </c>
      <c r="G2951" t="str">
        <f t="shared" si="448"/>
        <v/>
      </c>
    </row>
    <row r="2952" spans="2:7">
      <c r="B2952" s="46"/>
      <c r="C2952" t="str">
        <f t="shared" si="444"/>
        <v/>
      </c>
      <c r="D2952" s="63" t="str">
        <f t="shared" si="445"/>
        <v/>
      </c>
      <c r="E2952">
        <f t="shared" si="446"/>
        <v>22.268137254902</v>
      </c>
      <c r="F2952" t="str">
        <f t="shared" si="447"/>
        <v/>
      </c>
      <c r="G2952" t="str">
        <f t="shared" si="448"/>
        <v/>
      </c>
    </row>
    <row r="2953" spans="2:7">
      <c r="B2953" s="46"/>
      <c r="C2953" t="str">
        <f t="shared" si="444"/>
        <v/>
      </c>
      <c r="D2953" s="63" t="str">
        <f t="shared" si="445"/>
        <v/>
      </c>
      <c r="E2953">
        <f t="shared" si="446"/>
        <v>24.6995098039216</v>
      </c>
      <c r="F2953" t="str">
        <f t="shared" si="447"/>
        <v/>
      </c>
      <c r="G2953" t="str">
        <f t="shared" si="448"/>
        <v/>
      </c>
    </row>
    <row r="2954" spans="2:7">
      <c r="B2954" s="46"/>
      <c r="C2954" t="str">
        <f t="shared" si="444"/>
        <v/>
      </c>
      <c r="D2954" s="63" t="str">
        <f t="shared" si="445"/>
        <v/>
      </c>
      <c r="E2954">
        <f t="shared" si="446"/>
        <v>25.3416666666667</v>
      </c>
      <c r="F2954" t="str">
        <f t="shared" si="447"/>
        <v/>
      </c>
      <c r="G2954" t="str">
        <f t="shared" si="448"/>
        <v/>
      </c>
    </row>
    <row r="2955" spans="2:7">
      <c r="B2955" s="46"/>
      <c r="C2955">
        <f t="shared" si="444"/>
        <v>19.5358796296296</v>
      </c>
      <c r="D2955" s="63" t="str">
        <f t="shared" si="445"/>
        <v/>
      </c>
      <c r="E2955" t="str">
        <f t="shared" si="446"/>
        <v/>
      </c>
      <c r="F2955" t="str">
        <f t="shared" si="447"/>
        <v/>
      </c>
      <c r="G2955" t="str">
        <f t="shared" si="448"/>
        <v/>
      </c>
    </row>
    <row r="2956" spans="2:7">
      <c r="B2956" s="46"/>
      <c r="C2956">
        <f t="shared" si="444"/>
        <v>20.1608796296296</v>
      </c>
      <c r="D2956" s="63" t="str">
        <f t="shared" si="445"/>
        <v/>
      </c>
      <c r="E2956" t="str">
        <f t="shared" si="446"/>
        <v/>
      </c>
      <c r="F2956" t="str">
        <f t="shared" si="447"/>
        <v/>
      </c>
      <c r="G2956" t="str">
        <f t="shared" si="448"/>
        <v/>
      </c>
    </row>
    <row r="2957" spans="2:7">
      <c r="B2957" s="46"/>
      <c r="C2957">
        <f t="shared" si="444"/>
        <v>21.7233796296296</v>
      </c>
      <c r="D2957" s="63" t="str">
        <f t="shared" si="445"/>
        <v/>
      </c>
      <c r="E2957" t="str">
        <f t="shared" si="446"/>
        <v/>
      </c>
      <c r="F2957" t="str">
        <f t="shared" si="447"/>
        <v/>
      </c>
      <c r="G2957" t="str">
        <f t="shared" si="448"/>
        <v/>
      </c>
    </row>
    <row r="2958" spans="2:7">
      <c r="B2958" s="46"/>
      <c r="C2958">
        <f t="shared" si="444"/>
        <v>22.7054398148148</v>
      </c>
      <c r="D2958" s="63" t="str">
        <f t="shared" si="445"/>
        <v/>
      </c>
      <c r="E2958" t="str">
        <f t="shared" si="446"/>
        <v/>
      </c>
      <c r="F2958" t="str">
        <f t="shared" si="447"/>
        <v/>
      </c>
      <c r="G2958" t="str">
        <f t="shared" si="448"/>
        <v/>
      </c>
    </row>
    <row r="2959" spans="2:7">
      <c r="B2959" s="46"/>
      <c r="C2959">
        <f t="shared" si="444"/>
        <v>22.7054398148148</v>
      </c>
      <c r="D2959" s="63" t="str">
        <f t="shared" si="445"/>
        <v/>
      </c>
      <c r="E2959" t="str">
        <f t="shared" si="446"/>
        <v/>
      </c>
      <c r="F2959" t="str">
        <f t="shared" si="447"/>
        <v/>
      </c>
      <c r="G2959" t="str">
        <f t="shared" si="448"/>
        <v/>
      </c>
    </row>
    <row r="2960" spans="2:7">
      <c r="B2960" s="46"/>
      <c r="C2960">
        <f t="shared" ref="C2960:C2965" si="449">IF(J72=1,S72,"")</f>
        <v>22.8512731481482</v>
      </c>
      <c r="D2960" s="63" t="str">
        <f t="shared" ref="D2960:D2965" si="450">IF(J72=2,S72,"")</f>
        <v/>
      </c>
      <c r="E2960" t="str">
        <f t="shared" ref="E2960:E2965" si="451">IF(J72=3,S72,"")</f>
        <v/>
      </c>
      <c r="F2960" t="str">
        <f t="shared" ref="F2960:F2965" si="452">IF(J72=4,S72,"")</f>
        <v/>
      </c>
      <c r="G2960" t="str">
        <f t="shared" ref="G2960:G2965" si="453">IF(J72=5,S72,"")</f>
        <v/>
      </c>
    </row>
    <row r="2961" spans="2:7">
      <c r="B2961" s="46"/>
      <c r="C2961">
        <f t="shared" si="449"/>
        <v>34.4068287037037</v>
      </c>
      <c r="D2961" s="63" t="str">
        <f t="shared" si="450"/>
        <v/>
      </c>
      <c r="E2961" t="str">
        <f t="shared" si="451"/>
        <v/>
      </c>
      <c r="F2961" t="str">
        <f t="shared" si="452"/>
        <v/>
      </c>
      <c r="G2961" t="str">
        <f t="shared" si="453"/>
        <v/>
      </c>
    </row>
    <row r="2962" spans="2:7">
      <c r="B2962" s="46"/>
      <c r="C2962">
        <f t="shared" si="449"/>
        <v>34.4068287037037</v>
      </c>
      <c r="D2962" s="63" t="str">
        <f t="shared" si="450"/>
        <v/>
      </c>
      <c r="E2962" t="str">
        <f t="shared" si="451"/>
        <v/>
      </c>
      <c r="F2962" t="str">
        <f t="shared" si="452"/>
        <v/>
      </c>
      <c r="G2962" t="str">
        <f t="shared" si="453"/>
        <v/>
      </c>
    </row>
    <row r="2963" spans="2:7">
      <c r="B2963" s="46"/>
      <c r="C2963">
        <f t="shared" si="449"/>
        <v>35.5827546296296</v>
      </c>
      <c r="D2963" s="63" t="str">
        <f t="shared" si="450"/>
        <v/>
      </c>
      <c r="E2963" t="str">
        <f t="shared" si="451"/>
        <v/>
      </c>
      <c r="F2963" t="str">
        <f t="shared" si="452"/>
        <v/>
      </c>
      <c r="G2963" t="str">
        <f t="shared" si="453"/>
        <v/>
      </c>
    </row>
    <row r="2964" spans="2:7">
      <c r="B2964" s="46"/>
      <c r="C2964">
        <f t="shared" si="449"/>
        <v>36.7893518518519</v>
      </c>
      <c r="D2964" s="63" t="str">
        <f t="shared" si="450"/>
        <v/>
      </c>
      <c r="E2964" t="str">
        <f t="shared" si="451"/>
        <v/>
      </c>
      <c r="F2964" t="str">
        <f t="shared" si="452"/>
        <v/>
      </c>
      <c r="G2964" t="str">
        <f t="shared" si="453"/>
        <v/>
      </c>
    </row>
    <row r="2965" ht="15.75" spans="2:7">
      <c r="B2965" s="46"/>
      <c r="C2965" t="str">
        <f t="shared" si="449"/>
        <v/>
      </c>
      <c r="D2965" s="63" t="str">
        <f t="shared" si="450"/>
        <v/>
      </c>
      <c r="E2965" t="str">
        <f t="shared" si="451"/>
        <v/>
      </c>
      <c r="F2965">
        <f t="shared" si="452"/>
        <v>23.4404761904762</v>
      </c>
      <c r="G2965" t="str">
        <f t="shared" si="453"/>
        <v/>
      </c>
    </row>
    <row r="2966" spans="2:7">
      <c r="B2966" s="74" t="s">
        <v>269</v>
      </c>
      <c r="C2966" s="75">
        <f>MAX(C2896:C2965)</f>
        <v>36.7893518518519</v>
      </c>
      <c r="D2966" s="75">
        <f t="shared" ref="D2966:G2966" si="454">MAX(D2896:D2965)</f>
        <v>27.5704225352113</v>
      </c>
      <c r="E2966" s="75">
        <f t="shared" si="454"/>
        <v>25.3416666666667</v>
      </c>
      <c r="F2966" s="75">
        <f t="shared" si="454"/>
        <v>23.4404761904762</v>
      </c>
      <c r="G2966" s="75">
        <f t="shared" si="454"/>
        <v>25.2222222222222</v>
      </c>
    </row>
    <row r="2967" spans="2:7">
      <c r="B2967" s="76" t="s">
        <v>270</v>
      </c>
      <c r="C2967" s="77">
        <v>1</v>
      </c>
      <c r="D2967" s="78">
        <v>2</v>
      </c>
      <c r="E2967">
        <v>3</v>
      </c>
      <c r="F2967">
        <v>4</v>
      </c>
      <c r="G2967">
        <v>5</v>
      </c>
    </row>
    <row r="2968" spans="2:7">
      <c r="B2968" s="79" t="s">
        <v>271</v>
      </c>
      <c r="C2968" s="72">
        <f>HLOOKUP(MIN(C2966:G2966),C2966:G2967,2,FALSE)</f>
        <v>4</v>
      </c>
      <c r="D2968" s="80"/>
    </row>
    <row r="2971" ht="15.75" spans="2:7">
      <c r="B2971" s="43" t="s">
        <v>341</v>
      </c>
      <c r="C2971" s="44"/>
      <c r="D2971" s="45"/>
    </row>
    <row r="2972" spans="2:7">
      <c r="B2972" s="46"/>
      <c r="C2972" s="61" t="s">
        <v>264</v>
      </c>
      <c r="D2972" s="61" t="s">
        <v>265</v>
      </c>
      <c r="E2972" s="62" t="s">
        <v>286</v>
      </c>
      <c r="F2972" s="62" t="s">
        <v>287</v>
      </c>
      <c r="G2972" s="62" t="s">
        <v>288</v>
      </c>
    </row>
    <row r="2973" spans="2:7">
      <c r="B2973" s="46"/>
      <c r="C2973">
        <f t="shared" ref="C2973:C3036" si="455">IF(J8=1,S8,"")</f>
        <v>0.700231481481482</v>
      </c>
      <c r="D2973" s="63" t="str">
        <f t="shared" ref="D2973:D3036" si="456">IF(J8=2,S8,"")</f>
        <v/>
      </c>
      <c r="E2973" t="str">
        <f t="shared" ref="E2973:E3036" si="457">IF(J8=3,S8,"")</f>
        <v/>
      </c>
      <c r="F2973" t="str">
        <f t="shared" ref="F2973:F3036" si="458">IF(J8=4,S8,"")</f>
        <v/>
      </c>
      <c r="G2973" t="str">
        <f t="shared" ref="G2973:G3036" si="459">IF(J8=5,S8,"")</f>
        <v/>
      </c>
    </row>
    <row r="2974" spans="2:7">
      <c r="B2974" s="46"/>
      <c r="C2974" t="str">
        <f t="shared" si="455"/>
        <v/>
      </c>
      <c r="D2974" s="63">
        <f t="shared" si="456"/>
        <v>0.734154929577465</v>
      </c>
      <c r="E2974" t="str">
        <f t="shared" si="457"/>
        <v/>
      </c>
      <c r="F2974" t="str">
        <f t="shared" si="458"/>
        <v/>
      </c>
      <c r="G2974" t="str">
        <f t="shared" si="459"/>
        <v/>
      </c>
    </row>
    <row r="2975" spans="2:7">
      <c r="B2975" s="46"/>
      <c r="C2975" t="str">
        <f t="shared" si="455"/>
        <v/>
      </c>
      <c r="D2975" s="63" t="str">
        <f t="shared" si="456"/>
        <v/>
      </c>
      <c r="E2975">
        <f t="shared" si="457"/>
        <v>1.83823529411765</v>
      </c>
      <c r="F2975" t="str">
        <f t="shared" si="458"/>
        <v/>
      </c>
      <c r="G2975" t="str">
        <f t="shared" si="459"/>
        <v/>
      </c>
    </row>
    <row r="2976" spans="2:7">
      <c r="B2976" s="46"/>
      <c r="C2976" t="str">
        <f t="shared" si="455"/>
        <v/>
      </c>
      <c r="D2976" s="63" t="str">
        <f t="shared" si="456"/>
        <v/>
      </c>
      <c r="E2976" t="str">
        <f t="shared" si="457"/>
        <v/>
      </c>
      <c r="F2976">
        <f t="shared" si="458"/>
        <v>4.28571428571429</v>
      </c>
      <c r="G2976" t="str">
        <f t="shared" si="459"/>
        <v/>
      </c>
    </row>
    <row r="2977" spans="2:7">
      <c r="B2977" s="46"/>
      <c r="C2977" t="str">
        <f t="shared" si="455"/>
        <v/>
      </c>
      <c r="D2977" s="63" t="str">
        <f t="shared" si="456"/>
        <v/>
      </c>
      <c r="E2977" t="str">
        <f t="shared" si="457"/>
        <v/>
      </c>
      <c r="F2977" t="str">
        <f t="shared" si="458"/>
        <v/>
      </c>
      <c r="G2977">
        <f t="shared" si="459"/>
        <v>3.43396226415094</v>
      </c>
    </row>
    <row r="2978" spans="2:7">
      <c r="B2978" s="46"/>
      <c r="C2978" t="str">
        <f t="shared" si="455"/>
        <v/>
      </c>
      <c r="D2978" s="63" t="str">
        <f t="shared" si="456"/>
        <v/>
      </c>
      <c r="E2978">
        <f t="shared" si="457"/>
        <v>14.5833333333333</v>
      </c>
      <c r="F2978" t="str">
        <f t="shared" si="458"/>
        <v/>
      </c>
      <c r="G2978" t="str">
        <f t="shared" si="459"/>
        <v/>
      </c>
    </row>
    <row r="2979" spans="2:7">
      <c r="B2979" s="46"/>
      <c r="C2979" t="str">
        <f t="shared" si="455"/>
        <v/>
      </c>
      <c r="D2979" s="63" t="str">
        <f t="shared" si="456"/>
        <v/>
      </c>
      <c r="E2979" t="str">
        <f t="shared" si="457"/>
        <v/>
      </c>
      <c r="F2979">
        <f t="shared" si="458"/>
        <v>6.42857142857143</v>
      </c>
      <c r="G2979" t="str">
        <f t="shared" si="459"/>
        <v/>
      </c>
    </row>
    <row r="2980" spans="2:7">
      <c r="B2980" s="46"/>
      <c r="C2980" t="str">
        <f t="shared" si="455"/>
        <v/>
      </c>
      <c r="D2980" s="63" t="str">
        <f t="shared" si="456"/>
        <v/>
      </c>
      <c r="E2980" t="str">
        <f t="shared" si="457"/>
        <v/>
      </c>
      <c r="F2980" t="str">
        <f t="shared" si="458"/>
        <v/>
      </c>
      <c r="G2980">
        <f t="shared" si="459"/>
        <v>3.84591194968553</v>
      </c>
    </row>
    <row r="2981" spans="2:7">
      <c r="B2981" s="46"/>
      <c r="C2981">
        <f t="shared" si="455"/>
        <v>0.844907407407407</v>
      </c>
      <c r="D2981" s="63" t="str">
        <f t="shared" si="456"/>
        <v/>
      </c>
      <c r="E2981" t="str">
        <f t="shared" si="457"/>
        <v/>
      </c>
      <c r="F2981" t="str">
        <f t="shared" si="458"/>
        <v/>
      </c>
      <c r="G2981" t="str">
        <f t="shared" si="459"/>
        <v/>
      </c>
    </row>
    <row r="2982" spans="2:7">
      <c r="B2982" s="46"/>
      <c r="C2982">
        <f t="shared" si="455"/>
        <v>6.79803240740741</v>
      </c>
      <c r="D2982" s="63" t="str">
        <f t="shared" si="456"/>
        <v/>
      </c>
      <c r="E2982" t="str">
        <f t="shared" si="457"/>
        <v/>
      </c>
      <c r="F2982" t="str">
        <f t="shared" si="458"/>
        <v/>
      </c>
      <c r="G2982" t="str">
        <f t="shared" si="459"/>
        <v/>
      </c>
    </row>
    <row r="2983" spans="2:7">
      <c r="B2983" s="46"/>
      <c r="C2983">
        <f t="shared" si="455"/>
        <v>6.79803240740741</v>
      </c>
      <c r="D2983" s="63" t="str">
        <f t="shared" si="456"/>
        <v/>
      </c>
      <c r="E2983" t="str">
        <f t="shared" si="457"/>
        <v/>
      </c>
      <c r="F2983" t="str">
        <f t="shared" si="458"/>
        <v/>
      </c>
      <c r="G2983" t="str">
        <f t="shared" si="459"/>
        <v/>
      </c>
    </row>
    <row r="2984" spans="2:7">
      <c r="B2984" s="46"/>
      <c r="C2984">
        <f t="shared" si="455"/>
        <v>7.52719907407408</v>
      </c>
      <c r="D2984" s="63" t="str">
        <f t="shared" si="456"/>
        <v/>
      </c>
      <c r="E2984" t="str">
        <f t="shared" si="457"/>
        <v/>
      </c>
      <c r="F2984" t="str">
        <f t="shared" si="458"/>
        <v/>
      </c>
      <c r="G2984" t="str">
        <f t="shared" si="459"/>
        <v/>
      </c>
    </row>
    <row r="2985" spans="2:7">
      <c r="B2985" s="46"/>
      <c r="C2985" t="str">
        <f t="shared" si="455"/>
        <v/>
      </c>
      <c r="D2985" s="63">
        <f t="shared" si="456"/>
        <v>2.7881455399061</v>
      </c>
      <c r="E2985" t="str">
        <f t="shared" si="457"/>
        <v/>
      </c>
      <c r="F2985" t="str">
        <f t="shared" si="458"/>
        <v/>
      </c>
      <c r="G2985" t="str">
        <f t="shared" si="459"/>
        <v/>
      </c>
    </row>
    <row r="2986" spans="2:7">
      <c r="B2986" s="46"/>
      <c r="C2986" t="str">
        <f t="shared" si="455"/>
        <v/>
      </c>
      <c r="D2986" s="63">
        <f t="shared" si="456"/>
        <v>4.47535211267606</v>
      </c>
      <c r="E2986" t="str">
        <f t="shared" si="457"/>
        <v/>
      </c>
      <c r="F2986" t="str">
        <f t="shared" si="458"/>
        <v/>
      </c>
      <c r="G2986" t="str">
        <f t="shared" si="459"/>
        <v/>
      </c>
    </row>
    <row r="2987" spans="2:7">
      <c r="B2987" s="46"/>
      <c r="C2987" t="str">
        <f t="shared" si="455"/>
        <v/>
      </c>
      <c r="D2987" s="63">
        <f t="shared" si="456"/>
        <v>6.10680751173709</v>
      </c>
      <c r="E2987" t="str">
        <f t="shared" si="457"/>
        <v/>
      </c>
      <c r="F2987" t="str">
        <f t="shared" si="458"/>
        <v/>
      </c>
      <c r="G2987" t="str">
        <f t="shared" si="459"/>
        <v/>
      </c>
    </row>
    <row r="2988" spans="2:7">
      <c r="B2988" s="46"/>
      <c r="C2988" t="str">
        <f t="shared" si="455"/>
        <v/>
      </c>
      <c r="D2988" s="63">
        <f t="shared" si="456"/>
        <v>8.50821596244131</v>
      </c>
      <c r="E2988" t="str">
        <f t="shared" si="457"/>
        <v/>
      </c>
      <c r="F2988" t="str">
        <f t="shared" si="458"/>
        <v/>
      </c>
      <c r="G2988" t="str">
        <f t="shared" si="459"/>
        <v/>
      </c>
    </row>
    <row r="2989" spans="2:7">
      <c r="B2989" s="46"/>
      <c r="C2989" t="str">
        <f t="shared" si="455"/>
        <v/>
      </c>
      <c r="D2989" s="63">
        <f t="shared" si="456"/>
        <v>10.268779342723</v>
      </c>
      <c r="E2989" t="str">
        <f t="shared" si="457"/>
        <v/>
      </c>
      <c r="F2989" t="str">
        <f t="shared" si="458"/>
        <v/>
      </c>
      <c r="G2989" t="str">
        <f t="shared" si="459"/>
        <v/>
      </c>
    </row>
    <row r="2990" spans="2:7">
      <c r="B2990" s="46"/>
      <c r="C2990" t="str">
        <f t="shared" si="455"/>
        <v/>
      </c>
      <c r="D2990" s="63" t="str">
        <f t="shared" si="456"/>
        <v/>
      </c>
      <c r="E2990" t="str">
        <f t="shared" si="457"/>
        <v/>
      </c>
      <c r="F2990" t="str">
        <f t="shared" si="458"/>
        <v/>
      </c>
      <c r="G2990">
        <f t="shared" si="459"/>
        <v>7.67610062893082</v>
      </c>
    </row>
    <row r="2991" spans="2:7">
      <c r="B2991" s="46"/>
      <c r="C2991" t="str">
        <f t="shared" si="455"/>
        <v/>
      </c>
      <c r="D2991" s="63" t="str">
        <f t="shared" si="456"/>
        <v/>
      </c>
      <c r="E2991" t="str">
        <f t="shared" si="457"/>
        <v/>
      </c>
      <c r="F2991" t="str">
        <f t="shared" si="458"/>
        <v/>
      </c>
      <c r="G2991">
        <f t="shared" si="459"/>
        <v>10.3836477987421</v>
      </c>
    </row>
    <row r="2992" spans="2:7">
      <c r="B2992" s="46"/>
      <c r="C2992" t="str">
        <f t="shared" si="455"/>
        <v/>
      </c>
      <c r="D2992" s="63" t="str">
        <f t="shared" si="456"/>
        <v/>
      </c>
      <c r="E2992" t="str">
        <f t="shared" si="457"/>
        <v/>
      </c>
      <c r="F2992" t="str">
        <f t="shared" si="458"/>
        <v/>
      </c>
      <c r="G2992">
        <f t="shared" si="459"/>
        <v>13.2138364779874</v>
      </c>
    </row>
    <row r="2993" spans="2:7">
      <c r="B2993" s="46"/>
      <c r="C2993" t="str">
        <f t="shared" si="455"/>
        <v/>
      </c>
      <c r="D2993" s="63" t="str">
        <f t="shared" si="456"/>
        <v/>
      </c>
      <c r="E2993" t="str">
        <f t="shared" si="457"/>
        <v/>
      </c>
      <c r="F2993" t="str">
        <f t="shared" si="458"/>
        <v/>
      </c>
      <c r="G2993">
        <f t="shared" si="459"/>
        <v>14.7243186582809</v>
      </c>
    </row>
    <row r="2994" spans="2:7">
      <c r="B2994" s="46"/>
      <c r="C2994" t="str">
        <f t="shared" si="455"/>
        <v/>
      </c>
      <c r="D2994" s="63" t="str">
        <f t="shared" si="456"/>
        <v/>
      </c>
      <c r="E2994" t="str">
        <f t="shared" si="457"/>
        <v/>
      </c>
      <c r="F2994">
        <f t="shared" si="458"/>
        <v>9.17630385487529</v>
      </c>
      <c r="G2994" t="str">
        <f t="shared" si="459"/>
        <v/>
      </c>
    </row>
    <row r="2995" spans="2:7">
      <c r="B2995" s="46"/>
      <c r="C2995" t="str">
        <f t="shared" si="455"/>
        <v/>
      </c>
      <c r="D2995" s="63" t="str">
        <f t="shared" si="456"/>
        <v/>
      </c>
      <c r="E2995" t="str">
        <f t="shared" si="457"/>
        <v/>
      </c>
      <c r="F2995">
        <f t="shared" si="458"/>
        <v>12.328231292517</v>
      </c>
      <c r="G2995" t="str">
        <f t="shared" si="459"/>
        <v/>
      </c>
    </row>
    <row r="2996" spans="2:7">
      <c r="B2996" s="46"/>
      <c r="C2996" t="str">
        <f t="shared" si="455"/>
        <v/>
      </c>
      <c r="D2996" s="63" t="str">
        <f t="shared" si="456"/>
        <v/>
      </c>
      <c r="E2996" t="str">
        <f t="shared" si="457"/>
        <v/>
      </c>
      <c r="F2996">
        <f t="shared" si="458"/>
        <v>15.0017006802721</v>
      </c>
      <c r="G2996" t="str">
        <f t="shared" si="459"/>
        <v/>
      </c>
    </row>
    <row r="2997" spans="2:7">
      <c r="B2997" s="46"/>
      <c r="C2997">
        <f t="shared" si="455"/>
        <v>10.328125</v>
      </c>
      <c r="D2997" s="63" t="str">
        <f t="shared" si="456"/>
        <v/>
      </c>
      <c r="E2997" t="str">
        <f t="shared" si="457"/>
        <v/>
      </c>
      <c r="F2997" t="str">
        <f t="shared" si="458"/>
        <v/>
      </c>
      <c r="G2997" t="str">
        <f t="shared" si="459"/>
        <v/>
      </c>
    </row>
    <row r="2998" spans="2:7">
      <c r="B2998" s="46"/>
      <c r="C2998">
        <f t="shared" si="455"/>
        <v>14.5908564814815</v>
      </c>
      <c r="D2998" s="63" t="str">
        <f t="shared" si="456"/>
        <v/>
      </c>
      <c r="E2998" t="str">
        <f t="shared" si="457"/>
        <v/>
      </c>
      <c r="F2998" t="str">
        <f t="shared" si="458"/>
        <v/>
      </c>
      <c r="G2998" t="str">
        <f t="shared" si="459"/>
        <v/>
      </c>
    </row>
    <row r="2999" spans="2:7">
      <c r="B2999" s="46"/>
      <c r="C2999">
        <f t="shared" si="455"/>
        <v>14.9409722222222</v>
      </c>
      <c r="D2999" s="63" t="str">
        <f t="shared" si="456"/>
        <v/>
      </c>
      <c r="E2999" t="str">
        <f t="shared" si="457"/>
        <v/>
      </c>
      <c r="F2999" t="str">
        <f t="shared" si="458"/>
        <v/>
      </c>
      <c r="G2999" t="str">
        <f t="shared" si="459"/>
        <v/>
      </c>
    </row>
    <row r="3000" spans="2:7">
      <c r="B3000" s="46"/>
      <c r="C3000">
        <f t="shared" si="455"/>
        <v>19.2465277777778</v>
      </c>
      <c r="D3000" s="63" t="str">
        <f t="shared" si="456"/>
        <v/>
      </c>
      <c r="E3000" t="str">
        <f t="shared" si="457"/>
        <v/>
      </c>
      <c r="F3000" t="str">
        <f t="shared" si="458"/>
        <v/>
      </c>
      <c r="G3000" t="str">
        <f t="shared" si="459"/>
        <v/>
      </c>
    </row>
    <row r="3001" spans="2:7">
      <c r="B3001" s="46"/>
      <c r="C3001" t="str">
        <f t="shared" si="455"/>
        <v/>
      </c>
      <c r="D3001" s="63">
        <f t="shared" si="456"/>
        <v>15.0340375586854</v>
      </c>
      <c r="E3001" t="str">
        <f t="shared" si="457"/>
        <v/>
      </c>
      <c r="F3001" t="str">
        <f t="shared" si="458"/>
        <v/>
      </c>
      <c r="G3001" t="str">
        <f t="shared" si="459"/>
        <v/>
      </c>
    </row>
    <row r="3002" spans="2:7">
      <c r="B3002" s="46"/>
      <c r="C3002" t="str">
        <f t="shared" si="455"/>
        <v/>
      </c>
      <c r="D3002" s="63">
        <f t="shared" si="456"/>
        <v>15.0340375586854</v>
      </c>
      <c r="E3002" t="str">
        <f t="shared" si="457"/>
        <v/>
      </c>
      <c r="F3002" t="str">
        <f t="shared" si="458"/>
        <v/>
      </c>
      <c r="G3002" t="str">
        <f t="shared" si="459"/>
        <v/>
      </c>
    </row>
    <row r="3003" spans="2:7">
      <c r="B3003" s="46"/>
      <c r="C3003" t="str">
        <f t="shared" si="455"/>
        <v/>
      </c>
      <c r="D3003" s="63">
        <f t="shared" si="456"/>
        <v>16.1343896713615</v>
      </c>
      <c r="E3003" t="str">
        <f t="shared" si="457"/>
        <v/>
      </c>
      <c r="F3003" t="str">
        <f t="shared" si="458"/>
        <v/>
      </c>
      <c r="G3003" t="str">
        <f t="shared" si="459"/>
        <v/>
      </c>
    </row>
    <row r="3004" spans="2:7">
      <c r="B3004" s="46"/>
      <c r="C3004" t="str">
        <f t="shared" si="455"/>
        <v/>
      </c>
      <c r="D3004" s="63">
        <f t="shared" si="456"/>
        <v>16.8620892018779</v>
      </c>
      <c r="E3004" t="str">
        <f t="shared" si="457"/>
        <v/>
      </c>
      <c r="F3004" t="str">
        <f t="shared" si="458"/>
        <v/>
      </c>
      <c r="G3004" t="str">
        <f t="shared" si="459"/>
        <v/>
      </c>
    </row>
    <row r="3005" spans="2:7">
      <c r="B3005" s="46"/>
      <c r="C3005" t="str">
        <f t="shared" si="455"/>
        <v/>
      </c>
      <c r="D3005" s="63" t="str">
        <f t="shared" si="456"/>
        <v/>
      </c>
      <c r="E3005">
        <f t="shared" si="457"/>
        <v>16.1245098039216</v>
      </c>
      <c r="F3005" t="str">
        <f t="shared" si="458"/>
        <v/>
      </c>
      <c r="G3005" t="str">
        <f t="shared" si="459"/>
        <v/>
      </c>
    </row>
    <row r="3006" spans="2:7">
      <c r="B3006" s="46"/>
      <c r="C3006" t="str">
        <f t="shared" si="455"/>
        <v/>
      </c>
      <c r="D3006" s="63" t="str">
        <f t="shared" si="456"/>
        <v/>
      </c>
      <c r="E3006">
        <f t="shared" si="457"/>
        <v>17.9225490196078</v>
      </c>
      <c r="F3006" t="str">
        <f t="shared" si="458"/>
        <v/>
      </c>
      <c r="G3006" t="str">
        <f t="shared" si="459"/>
        <v/>
      </c>
    </row>
    <row r="3007" spans="2:7">
      <c r="B3007" s="46"/>
      <c r="C3007" t="str">
        <f t="shared" si="455"/>
        <v/>
      </c>
      <c r="D3007" s="63" t="str">
        <f t="shared" si="456"/>
        <v/>
      </c>
      <c r="E3007">
        <f t="shared" si="457"/>
        <v>18.7166666666667</v>
      </c>
      <c r="F3007" t="str">
        <f t="shared" si="458"/>
        <v/>
      </c>
      <c r="G3007" t="str">
        <f t="shared" si="459"/>
        <v/>
      </c>
    </row>
    <row r="3008" spans="2:7">
      <c r="B3008" s="46"/>
      <c r="C3008" t="str">
        <f t="shared" si="455"/>
        <v/>
      </c>
      <c r="D3008" s="63" t="str">
        <f t="shared" si="456"/>
        <v/>
      </c>
      <c r="E3008">
        <f t="shared" si="457"/>
        <v>18.9539215686275</v>
      </c>
      <c r="F3008" t="str">
        <f t="shared" si="458"/>
        <v/>
      </c>
      <c r="G3008" t="str">
        <f t="shared" si="459"/>
        <v/>
      </c>
    </row>
    <row r="3009" spans="2:7">
      <c r="B3009" s="46"/>
      <c r="C3009" t="str">
        <f t="shared" si="455"/>
        <v/>
      </c>
      <c r="D3009" s="63" t="str">
        <f t="shared" si="456"/>
        <v/>
      </c>
      <c r="E3009" t="str">
        <f t="shared" si="457"/>
        <v/>
      </c>
      <c r="F3009" t="str">
        <f t="shared" si="458"/>
        <v/>
      </c>
      <c r="G3009">
        <f t="shared" si="459"/>
        <v>15.4449685534591</v>
      </c>
    </row>
    <row r="3010" spans="2:7">
      <c r="B3010" s="46"/>
      <c r="C3010" t="str">
        <f t="shared" si="455"/>
        <v/>
      </c>
      <c r="D3010" s="63" t="str">
        <f t="shared" si="456"/>
        <v/>
      </c>
      <c r="E3010" t="str">
        <f t="shared" si="457"/>
        <v/>
      </c>
      <c r="F3010" t="str">
        <f t="shared" si="458"/>
        <v/>
      </c>
      <c r="G3010">
        <f t="shared" si="459"/>
        <v>16.4669811320755</v>
      </c>
    </row>
    <row r="3011" spans="2:7">
      <c r="B3011" s="46"/>
      <c r="C3011" t="str">
        <f t="shared" si="455"/>
        <v/>
      </c>
      <c r="D3011" s="63" t="str">
        <f t="shared" si="456"/>
        <v/>
      </c>
      <c r="E3011" t="str">
        <f t="shared" si="457"/>
        <v/>
      </c>
      <c r="F3011" t="str">
        <f t="shared" si="458"/>
        <v/>
      </c>
      <c r="G3011">
        <f t="shared" si="459"/>
        <v>17.7877358490566</v>
      </c>
    </row>
    <row r="3012" spans="2:7">
      <c r="B3012" s="46"/>
      <c r="C3012" t="str">
        <f t="shared" si="455"/>
        <v/>
      </c>
      <c r="D3012" s="63" t="str">
        <f t="shared" si="456"/>
        <v/>
      </c>
      <c r="E3012" t="str">
        <f t="shared" si="457"/>
        <v/>
      </c>
      <c r="F3012" t="str">
        <f t="shared" si="458"/>
        <v/>
      </c>
      <c r="G3012">
        <f t="shared" si="459"/>
        <v>18.377358490566</v>
      </c>
    </row>
    <row r="3013" spans="2:7">
      <c r="B3013" s="46"/>
      <c r="C3013" t="str">
        <f t="shared" si="455"/>
        <v/>
      </c>
      <c r="D3013" s="63" t="str">
        <f t="shared" si="456"/>
        <v/>
      </c>
      <c r="E3013" t="str">
        <f t="shared" si="457"/>
        <v/>
      </c>
      <c r="F3013">
        <f t="shared" si="458"/>
        <v>15.4234693877551</v>
      </c>
      <c r="G3013" t="str">
        <f t="shared" si="459"/>
        <v/>
      </c>
    </row>
    <row r="3014" spans="2:7">
      <c r="B3014" s="46"/>
      <c r="C3014" t="str">
        <f t="shared" si="455"/>
        <v/>
      </c>
      <c r="D3014" s="63" t="str">
        <f t="shared" si="456"/>
        <v/>
      </c>
      <c r="E3014" t="str">
        <f t="shared" si="457"/>
        <v/>
      </c>
      <c r="F3014">
        <f t="shared" si="458"/>
        <v>16.7698412698413</v>
      </c>
      <c r="G3014" t="str">
        <f t="shared" si="459"/>
        <v/>
      </c>
    </row>
    <row r="3015" spans="2:7">
      <c r="B3015" s="46"/>
      <c r="C3015" t="str">
        <f t="shared" si="455"/>
        <v/>
      </c>
      <c r="D3015" s="63" t="str">
        <f t="shared" si="456"/>
        <v/>
      </c>
      <c r="E3015" t="str">
        <f t="shared" si="457"/>
        <v/>
      </c>
      <c r="F3015">
        <f t="shared" si="458"/>
        <v>18.109410430839</v>
      </c>
      <c r="G3015" t="str">
        <f t="shared" si="459"/>
        <v/>
      </c>
    </row>
    <row r="3016" spans="2:7">
      <c r="B3016" s="46"/>
      <c r="C3016" t="str">
        <f t="shared" si="455"/>
        <v/>
      </c>
      <c r="D3016" s="63" t="str">
        <f t="shared" si="456"/>
        <v/>
      </c>
      <c r="E3016" t="str">
        <f t="shared" si="457"/>
        <v/>
      </c>
      <c r="F3016">
        <f t="shared" si="458"/>
        <v>20.1581632653061</v>
      </c>
      <c r="G3016" t="str">
        <f t="shared" si="459"/>
        <v/>
      </c>
    </row>
    <row r="3017" spans="2:7">
      <c r="B3017" s="46"/>
      <c r="C3017" t="str">
        <f t="shared" si="455"/>
        <v/>
      </c>
      <c r="D3017" s="63" t="str">
        <f t="shared" si="456"/>
        <v/>
      </c>
      <c r="E3017" t="str">
        <f t="shared" si="457"/>
        <v/>
      </c>
      <c r="F3017">
        <f t="shared" si="458"/>
        <v>22.1581632653061</v>
      </c>
      <c r="G3017" t="str">
        <f t="shared" si="459"/>
        <v/>
      </c>
    </row>
    <row r="3018" spans="2:7">
      <c r="B3018" s="46"/>
      <c r="C3018" t="str">
        <f t="shared" si="455"/>
        <v/>
      </c>
      <c r="D3018" s="63" t="str">
        <f t="shared" si="456"/>
        <v/>
      </c>
      <c r="E3018" t="str">
        <f t="shared" si="457"/>
        <v/>
      </c>
      <c r="F3018">
        <f t="shared" si="458"/>
        <v>22.8781179138322</v>
      </c>
      <c r="G3018" t="str">
        <f t="shared" si="459"/>
        <v/>
      </c>
    </row>
    <row r="3019" spans="2:7">
      <c r="B3019" s="46"/>
      <c r="C3019" t="str">
        <f t="shared" si="455"/>
        <v/>
      </c>
      <c r="D3019" s="63">
        <f t="shared" si="456"/>
        <v>17.3022300469484</v>
      </c>
      <c r="E3019" t="str">
        <f t="shared" si="457"/>
        <v/>
      </c>
      <c r="F3019" t="str">
        <f t="shared" si="458"/>
        <v/>
      </c>
      <c r="G3019" t="str">
        <f t="shared" si="459"/>
        <v/>
      </c>
    </row>
    <row r="3020" spans="2:7">
      <c r="B3020" s="46"/>
      <c r="C3020" t="str">
        <f t="shared" si="455"/>
        <v/>
      </c>
      <c r="D3020" s="63">
        <f t="shared" si="456"/>
        <v>22.837441314554</v>
      </c>
      <c r="E3020" t="str">
        <f t="shared" si="457"/>
        <v/>
      </c>
      <c r="F3020" t="str">
        <f t="shared" si="458"/>
        <v/>
      </c>
      <c r="G3020" t="str">
        <f t="shared" si="459"/>
        <v/>
      </c>
    </row>
    <row r="3021" spans="2:7">
      <c r="B3021" s="46"/>
      <c r="C3021" t="str">
        <f t="shared" si="455"/>
        <v/>
      </c>
      <c r="D3021" s="63">
        <f t="shared" si="456"/>
        <v>23.7089201877934</v>
      </c>
      <c r="E3021" t="str">
        <f t="shared" si="457"/>
        <v/>
      </c>
      <c r="F3021" t="str">
        <f t="shared" si="458"/>
        <v/>
      </c>
      <c r="G3021" t="str">
        <f t="shared" si="459"/>
        <v/>
      </c>
    </row>
    <row r="3022" spans="2:7">
      <c r="B3022" s="46"/>
      <c r="C3022" t="str">
        <f t="shared" si="455"/>
        <v/>
      </c>
      <c r="D3022" s="63">
        <f t="shared" si="456"/>
        <v>24.3427230046948</v>
      </c>
      <c r="E3022" t="str">
        <f t="shared" si="457"/>
        <v/>
      </c>
      <c r="F3022" t="str">
        <f t="shared" si="458"/>
        <v/>
      </c>
      <c r="G3022" t="str">
        <f t="shared" si="459"/>
        <v/>
      </c>
    </row>
    <row r="3023" spans="2:7">
      <c r="B3023" s="46"/>
      <c r="C3023" t="str">
        <f t="shared" si="455"/>
        <v/>
      </c>
      <c r="D3023" s="63">
        <f t="shared" si="456"/>
        <v>27.5704225352113</v>
      </c>
      <c r="E3023" t="str">
        <f t="shared" si="457"/>
        <v/>
      </c>
      <c r="F3023" t="str">
        <f t="shared" si="458"/>
        <v/>
      </c>
      <c r="G3023" t="str">
        <f t="shared" si="459"/>
        <v/>
      </c>
    </row>
    <row r="3024" spans="2:7">
      <c r="B3024" s="46"/>
      <c r="C3024" t="str">
        <f t="shared" si="455"/>
        <v/>
      </c>
      <c r="D3024" s="63" t="str">
        <f t="shared" si="456"/>
        <v/>
      </c>
      <c r="E3024" t="str">
        <f t="shared" si="457"/>
        <v/>
      </c>
      <c r="F3024" t="str">
        <f t="shared" si="458"/>
        <v/>
      </c>
      <c r="G3024">
        <f t="shared" si="459"/>
        <v>19.1949685534591</v>
      </c>
    </row>
    <row r="3025" spans="2:7">
      <c r="B3025" s="46"/>
      <c r="C3025" t="str">
        <f t="shared" si="455"/>
        <v/>
      </c>
      <c r="D3025" s="63" t="str">
        <f t="shared" si="456"/>
        <v/>
      </c>
      <c r="E3025" t="str">
        <f t="shared" si="457"/>
        <v/>
      </c>
      <c r="F3025" t="str">
        <f t="shared" si="458"/>
        <v/>
      </c>
      <c r="G3025">
        <f t="shared" si="459"/>
        <v>21.9606918238994</v>
      </c>
    </row>
    <row r="3026" spans="2:7">
      <c r="B3026" s="46"/>
      <c r="C3026" t="str">
        <f t="shared" si="455"/>
        <v/>
      </c>
      <c r="D3026" s="63" t="str">
        <f t="shared" si="456"/>
        <v/>
      </c>
      <c r="E3026" t="str">
        <f t="shared" si="457"/>
        <v/>
      </c>
      <c r="F3026" t="str">
        <f t="shared" si="458"/>
        <v/>
      </c>
      <c r="G3026">
        <f t="shared" si="459"/>
        <v>21.9606918238994</v>
      </c>
    </row>
    <row r="3027" spans="2:7">
      <c r="B3027" s="46"/>
      <c r="C3027" t="str">
        <f t="shared" si="455"/>
        <v/>
      </c>
      <c r="D3027" s="63" t="str">
        <f t="shared" si="456"/>
        <v/>
      </c>
      <c r="E3027" t="str">
        <f t="shared" si="457"/>
        <v/>
      </c>
      <c r="F3027" t="str">
        <f t="shared" si="458"/>
        <v/>
      </c>
      <c r="G3027">
        <f t="shared" si="459"/>
        <v>25.2222222222222</v>
      </c>
    </row>
    <row r="3028" spans="2:7">
      <c r="B3028" s="46"/>
      <c r="C3028" t="str">
        <f t="shared" si="455"/>
        <v/>
      </c>
      <c r="D3028" s="63" t="str">
        <f t="shared" si="456"/>
        <v/>
      </c>
      <c r="E3028">
        <f t="shared" si="457"/>
        <v>22.268137254902</v>
      </c>
      <c r="F3028" t="str">
        <f t="shared" si="458"/>
        <v/>
      </c>
      <c r="G3028" t="str">
        <f t="shared" si="459"/>
        <v/>
      </c>
    </row>
    <row r="3029" spans="2:7">
      <c r="B3029" s="46"/>
      <c r="C3029" t="str">
        <f t="shared" si="455"/>
        <v/>
      </c>
      <c r="D3029" s="63" t="str">
        <f t="shared" si="456"/>
        <v/>
      </c>
      <c r="E3029">
        <f t="shared" si="457"/>
        <v>22.268137254902</v>
      </c>
      <c r="F3029" t="str">
        <f t="shared" si="458"/>
        <v/>
      </c>
      <c r="G3029" t="str">
        <f t="shared" si="459"/>
        <v/>
      </c>
    </row>
    <row r="3030" spans="2:7">
      <c r="B3030" s="46"/>
      <c r="C3030" t="str">
        <f t="shared" si="455"/>
        <v/>
      </c>
      <c r="D3030" s="63" t="str">
        <f t="shared" si="456"/>
        <v/>
      </c>
      <c r="E3030">
        <f t="shared" si="457"/>
        <v>24.6995098039216</v>
      </c>
      <c r="F3030" t="str">
        <f t="shared" si="458"/>
        <v/>
      </c>
      <c r="G3030" t="str">
        <f t="shared" si="459"/>
        <v/>
      </c>
    </row>
    <row r="3031" spans="2:7">
      <c r="B3031" s="46"/>
      <c r="C3031" t="str">
        <f t="shared" si="455"/>
        <v/>
      </c>
      <c r="D3031" s="63" t="str">
        <f t="shared" si="456"/>
        <v/>
      </c>
      <c r="E3031">
        <f t="shared" si="457"/>
        <v>25.3416666666667</v>
      </c>
      <c r="F3031" t="str">
        <f t="shared" si="458"/>
        <v/>
      </c>
      <c r="G3031" t="str">
        <f t="shared" si="459"/>
        <v/>
      </c>
    </row>
    <row r="3032" spans="2:7">
      <c r="B3032" s="46"/>
      <c r="C3032">
        <f t="shared" si="455"/>
        <v>19.5358796296296</v>
      </c>
      <c r="D3032" s="63" t="str">
        <f t="shared" si="456"/>
        <v/>
      </c>
      <c r="E3032" t="str">
        <f t="shared" si="457"/>
        <v/>
      </c>
      <c r="F3032" t="str">
        <f t="shared" si="458"/>
        <v/>
      </c>
      <c r="G3032" t="str">
        <f t="shared" si="459"/>
        <v/>
      </c>
    </row>
    <row r="3033" spans="2:7">
      <c r="B3033" s="46"/>
      <c r="C3033">
        <f t="shared" si="455"/>
        <v>20.1608796296296</v>
      </c>
      <c r="D3033" s="63" t="str">
        <f t="shared" si="456"/>
        <v/>
      </c>
      <c r="E3033" t="str">
        <f t="shared" si="457"/>
        <v/>
      </c>
      <c r="F3033" t="str">
        <f t="shared" si="458"/>
        <v/>
      </c>
      <c r="G3033" t="str">
        <f t="shared" si="459"/>
        <v/>
      </c>
    </row>
    <row r="3034" spans="2:7">
      <c r="B3034" s="46"/>
      <c r="C3034">
        <f t="shared" si="455"/>
        <v>21.7233796296296</v>
      </c>
      <c r="D3034" s="63" t="str">
        <f t="shared" si="456"/>
        <v/>
      </c>
      <c r="E3034" t="str">
        <f t="shared" si="457"/>
        <v/>
      </c>
      <c r="F3034" t="str">
        <f t="shared" si="458"/>
        <v/>
      </c>
      <c r="G3034" t="str">
        <f t="shared" si="459"/>
        <v/>
      </c>
    </row>
    <row r="3035" spans="2:7">
      <c r="B3035" s="46"/>
      <c r="C3035">
        <f t="shared" si="455"/>
        <v>22.7054398148148</v>
      </c>
      <c r="D3035" s="63" t="str">
        <f t="shared" si="456"/>
        <v/>
      </c>
      <c r="E3035" t="str">
        <f t="shared" si="457"/>
        <v/>
      </c>
      <c r="F3035" t="str">
        <f t="shared" si="458"/>
        <v/>
      </c>
      <c r="G3035" t="str">
        <f t="shared" si="459"/>
        <v/>
      </c>
    </row>
    <row r="3036" spans="2:7">
      <c r="B3036" s="46"/>
      <c r="C3036">
        <f t="shared" si="455"/>
        <v>22.7054398148148</v>
      </c>
      <c r="D3036" s="63" t="str">
        <f t="shared" si="456"/>
        <v/>
      </c>
      <c r="E3036" t="str">
        <f t="shared" si="457"/>
        <v/>
      </c>
      <c r="F3036" t="str">
        <f t="shared" si="458"/>
        <v/>
      </c>
      <c r="G3036" t="str">
        <f t="shared" si="459"/>
        <v/>
      </c>
    </row>
    <row r="3037" spans="2:7">
      <c r="B3037" s="46"/>
      <c r="C3037">
        <f t="shared" ref="C3037:C3043" si="460">IF(J72=1,S72,"")</f>
        <v>22.8512731481482</v>
      </c>
      <c r="D3037" s="63" t="str">
        <f t="shared" ref="D3037:D3043" si="461">IF(J72=2,S72,"")</f>
        <v/>
      </c>
      <c r="E3037" t="str">
        <f t="shared" ref="E3037:E3043" si="462">IF(J72=3,S72,"")</f>
        <v/>
      </c>
      <c r="F3037" t="str">
        <f t="shared" ref="F3037:F3043" si="463">IF(J72=4,S72,"")</f>
        <v/>
      </c>
      <c r="G3037" t="str">
        <f t="shared" ref="G3037:G3043" si="464">IF(J72=5,S72,"")</f>
        <v/>
      </c>
    </row>
    <row r="3038" spans="2:7">
      <c r="B3038" s="46"/>
      <c r="C3038">
        <f t="shared" si="460"/>
        <v>34.4068287037037</v>
      </c>
      <c r="D3038" s="63" t="str">
        <f t="shared" si="461"/>
        <v/>
      </c>
      <c r="E3038" t="str">
        <f t="shared" si="462"/>
        <v/>
      </c>
      <c r="F3038" t="str">
        <f t="shared" si="463"/>
        <v/>
      </c>
      <c r="G3038" t="str">
        <f t="shared" si="464"/>
        <v/>
      </c>
    </row>
    <row r="3039" spans="2:7">
      <c r="B3039" s="46"/>
      <c r="C3039">
        <f t="shared" si="460"/>
        <v>34.4068287037037</v>
      </c>
      <c r="D3039" s="63" t="str">
        <f t="shared" si="461"/>
        <v/>
      </c>
      <c r="E3039" t="str">
        <f t="shared" si="462"/>
        <v/>
      </c>
      <c r="F3039" t="str">
        <f t="shared" si="463"/>
        <v/>
      </c>
      <c r="G3039" t="str">
        <f t="shared" si="464"/>
        <v/>
      </c>
    </row>
    <row r="3040" spans="2:7">
      <c r="B3040" s="46"/>
      <c r="C3040">
        <f t="shared" si="460"/>
        <v>35.5827546296296</v>
      </c>
      <c r="D3040" s="63" t="str">
        <f t="shared" si="461"/>
        <v/>
      </c>
      <c r="E3040" t="str">
        <f t="shared" si="462"/>
        <v/>
      </c>
      <c r="F3040" t="str">
        <f t="shared" si="463"/>
        <v/>
      </c>
      <c r="G3040" t="str">
        <f t="shared" si="464"/>
        <v/>
      </c>
    </row>
    <row r="3041" spans="2:7">
      <c r="B3041" s="46"/>
      <c r="C3041">
        <f t="shared" si="460"/>
        <v>36.7893518518519</v>
      </c>
      <c r="D3041" s="63" t="str">
        <f t="shared" si="461"/>
        <v/>
      </c>
      <c r="E3041" t="str">
        <f t="shared" si="462"/>
        <v/>
      </c>
      <c r="F3041" t="str">
        <f t="shared" si="463"/>
        <v/>
      </c>
      <c r="G3041" t="str">
        <f t="shared" si="464"/>
        <v/>
      </c>
    </row>
    <row r="3042" spans="2:7">
      <c r="B3042" s="46"/>
      <c r="C3042" t="str">
        <f t="shared" si="460"/>
        <v/>
      </c>
      <c r="D3042" s="63" t="str">
        <f t="shared" si="461"/>
        <v/>
      </c>
      <c r="E3042" t="str">
        <f t="shared" si="462"/>
        <v/>
      </c>
      <c r="F3042">
        <f t="shared" si="463"/>
        <v>23.4404761904762</v>
      </c>
      <c r="G3042" t="str">
        <f t="shared" si="464"/>
        <v/>
      </c>
    </row>
    <row r="3043" ht="15.75" spans="2:7">
      <c r="B3043" s="46"/>
      <c r="C3043" t="str">
        <f t="shared" si="460"/>
        <v/>
      </c>
      <c r="D3043" s="63" t="str">
        <f t="shared" si="461"/>
        <v/>
      </c>
      <c r="E3043" t="str">
        <f t="shared" si="462"/>
        <v/>
      </c>
      <c r="F3043">
        <f t="shared" si="463"/>
        <v>24.3616780045352</v>
      </c>
      <c r="G3043" t="str">
        <f t="shared" si="464"/>
        <v/>
      </c>
    </row>
    <row r="3044" spans="2:7">
      <c r="B3044" s="74" t="s">
        <v>269</v>
      </c>
      <c r="C3044" s="75">
        <f>MAX(C2973:C3043)</f>
        <v>36.7893518518519</v>
      </c>
      <c r="D3044" s="75">
        <f t="shared" ref="D3044:G3044" si="465">MAX(D2973:D3043)</f>
        <v>27.5704225352113</v>
      </c>
      <c r="E3044" s="75">
        <f t="shared" si="465"/>
        <v>25.3416666666667</v>
      </c>
      <c r="F3044" s="75">
        <f t="shared" si="465"/>
        <v>24.3616780045352</v>
      </c>
      <c r="G3044" s="75">
        <f t="shared" si="465"/>
        <v>25.2222222222222</v>
      </c>
    </row>
    <row r="3045" spans="2:7">
      <c r="B3045" s="76" t="s">
        <v>270</v>
      </c>
      <c r="C3045" s="77">
        <v>1</v>
      </c>
      <c r="D3045" s="78">
        <v>2</v>
      </c>
      <c r="E3045">
        <v>3</v>
      </c>
      <c r="F3045">
        <v>4</v>
      </c>
      <c r="G3045">
        <v>5</v>
      </c>
    </row>
    <row r="3046" spans="2:7">
      <c r="B3046" s="79" t="s">
        <v>271</v>
      </c>
      <c r="C3046" s="72">
        <f>HLOOKUP(MIN(C3044:G3044),C3044:G3045,2,FALSE)</f>
        <v>4</v>
      </c>
      <c r="D3046" s="80"/>
    </row>
    <row r="3049" ht="15.75" spans="2:7">
      <c r="B3049" s="43" t="s">
        <v>342</v>
      </c>
      <c r="C3049" s="44"/>
      <c r="D3049" s="45"/>
    </row>
    <row r="3050" spans="2:7">
      <c r="B3050" s="46"/>
      <c r="C3050" s="61" t="s">
        <v>264</v>
      </c>
      <c r="D3050" s="61" t="s">
        <v>265</v>
      </c>
      <c r="E3050" s="62" t="s">
        <v>286</v>
      </c>
      <c r="F3050" s="62" t="s">
        <v>287</v>
      </c>
      <c r="G3050" s="62" t="s">
        <v>288</v>
      </c>
    </row>
    <row r="3051" spans="2:7">
      <c r="B3051" s="46"/>
      <c r="C3051">
        <f t="shared" ref="C3051:C3114" si="466">IF(J8=1,S8,"")</f>
        <v>0.700231481481482</v>
      </c>
      <c r="D3051" s="63" t="str">
        <f t="shared" ref="D3051:D3114" si="467">IF(J8=2,S8,"")</f>
        <v/>
      </c>
      <c r="E3051" t="str">
        <f t="shared" ref="E3051:E3114" si="468">IF(J8=3,S8,"")</f>
        <v/>
      </c>
      <c r="F3051" t="str">
        <f t="shared" ref="F3051:F3114" si="469">IF(J8=4,S8,"")</f>
        <v/>
      </c>
      <c r="G3051" t="str">
        <f t="shared" ref="G3051:G3114" si="470">IF(J8=5,S8,"")</f>
        <v/>
      </c>
    </row>
    <row r="3052" spans="2:7">
      <c r="B3052" s="46"/>
      <c r="C3052" t="str">
        <f t="shared" si="466"/>
        <v/>
      </c>
      <c r="D3052" s="63">
        <f t="shared" si="467"/>
        <v>0.734154929577465</v>
      </c>
      <c r="E3052" t="str">
        <f t="shared" si="468"/>
        <v/>
      </c>
      <c r="F3052" t="str">
        <f t="shared" si="469"/>
        <v/>
      </c>
      <c r="G3052" t="str">
        <f t="shared" si="470"/>
        <v/>
      </c>
    </row>
    <row r="3053" spans="2:7">
      <c r="B3053" s="46"/>
      <c r="C3053" t="str">
        <f t="shared" si="466"/>
        <v/>
      </c>
      <c r="D3053" s="63" t="str">
        <f t="shared" si="467"/>
        <v/>
      </c>
      <c r="E3053">
        <f t="shared" si="468"/>
        <v>1.83823529411765</v>
      </c>
      <c r="F3053" t="str">
        <f t="shared" si="469"/>
        <v/>
      </c>
      <c r="G3053" t="str">
        <f t="shared" si="470"/>
        <v/>
      </c>
    </row>
    <row r="3054" spans="2:7">
      <c r="B3054" s="46"/>
      <c r="C3054" t="str">
        <f t="shared" si="466"/>
        <v/>
      </c>
      <c r="D3054" s="63" t="str">
        <f t="shared" si="467"/>
        <v/>
      </c>
      <c r="E3054" t="str">
        <f t="shared" si="468"/>
        <v/>
      </c>
      <c r="F3054">
        <f t="shared" si="469"/>
        <v>4.28571428571429</v>
      </c>
      <c r="G3054" t="str">
        <f t="shared" si="470"/>
        <v/>
      </c>
    </row>
    <row r="3055" spans="2:7">
      <c r="B3055" s="46"/>
      <c r="C3055" t="str">
        <f t="shared" si="466"/>
        <v/>
      </c>
      <c r="D3055" s="63" t="str">
        <f t="shared" si="467"/>
        <v/>
      </c>
      <c r="E3055" t="str">
        <f t="shared" si="468"/>
        <v/>
      </c>
      <c r="F3055" t="str">
        <f t="shared" si="469"/>
        <v/>
      </c>
      <c r="G3055">
        <f t="shared" si="470"/>
        <v>3.43396226415094</v>
      </c>
    </row>
    <row r="3056" spans="2:7">
      <c r="B3056" s="46"/>
      <c r="C3056" t="str">
        <f t="shared" si="466"/>
        <v/>
      </c>
      <c r="D3056" s="63" t="str">
        <f t="shared" si="467"/>
        <v/>
      </c>
      <c r="E3056">
        <f t="shared" si="468"/>
        <v>14.5833333333333</v>
      </c>
      <c r="F3056" t="str">
        <f t="shared" si="469"/>
        <v/>
      </c>
      <c r="G3056" t="str">
        <f t="shared" si="470"/>
        <v/>
      </c>
    </row>
    <row r="3057" spans="2:7">
      <c r="B3057" s="46"/>
      <c r="C3057" t="str">
        <f t="shared" si="466"/>
        <v/>
      </c>
      <c r="D3057" s="63" t="str">
        <f t="shared" si="467"/>
        <v/>
      </c>
      <c r="E3057" t="str">
        <f t="shared" si="468"/>
        <v/>
      </c>
      <c r="F3057">
        <f t="shared" si="469"/>
        <v>6.42857142857143</v>
      </c>
      <c r="G3057" t="str">
        <f t="shared" si="470"/>
        <v/>
      </c>
    </row>
    <row r="3058" spans="2:7">
      <c r="B3058" s="46"/>
      <c r="C3058" t="str">
        <f t="shared" si="466"/>
        <v/>
      </c>
      <c r="D3058" s="63" t="str">
        <f t="shared" si="467"/>
        <v/>
      </c>
      <c r="E3058" t="str">
        <f t="shared" si="468"/>
        <v/>
      </c>
      <c r="F3058" t="str">
        <f t="shared" si="469"/>
        <v/>
      </c>
      <c r="G3058">
        <f t="shared" si="470"/>
        <v>3.84591194968553</v>
      </c>
    </row>
    <row r="3059" spans="2:7">
      <c r="B3059" s="46"/>
      <c r="C3059">
        <f t="shared" si="466"/>
        <v>0.844907407407407</v>
      </c>
      <c r="D3059" s="63" t="str">
        <f t="shared" si="467"/>
        <v/>
      </c>
      <c r="E3059" t="str">
        <f t="shared" si="468"/>
        <v/>
      </c>
      <c r="F3059" t="str">
        <f t="shared" si="469"/>
        <v/>
      </c>
      <c r="G3059" t="str">
        <f t="shared" si="470"/>
        <v/>
      </c>
    </row>
    <row r="3060" spans="2:7">
      <c r="B3060" s="46"/>
      <c r="C3060">
        <f t="shared" si="466"/>
        <v>6.79803240740741</v>
      </c>
      <c r="D3060" s="63" t="str">
        <f t="shared" si="467"/>
        <v/>
      </c>
      <c r="E3060" t="str">
        <f t="shared" si="468"/>
        <v/>
      </c>
      <c r="F3060" t="str">
        <f t="shared" si="469"/>
        <v/>
      </c>
      <c r="G3060" t="str">
        <f t="shared" si="470"/>
        <v/>
      </c>
    </row>
    <row r="3061" spans="2:7">
      <c r="B3061" s="46"/>
      <c r="C3061">
        <f t="shared" si="466"/>
        <v>6.79803240740741</v>
      </c>
      <c r="D3061" s="63" t="str">
        <f t="shared" si="467"/>
        <v/>
      </c>
      <c r="E3061" t="str">
        <f t="shared" si="468"/>
        <v/>
      </c>
      <c r="F3061" t="str">
        <f t="shared" si="469"/>
        <v/>
      </c>
      <c r="G3061" t="str">
        <f t="shared" si="470"/>
        <v/>
      </c>
    </row>
    <row r="3062" spans="2:7">
      <c r="B3062" s="46"/>
      <c r="C3062">
        <f t="shared" si="466"/>
        <v>7.52719907407408</v>
      </c>
      <c r="D3062" s="63" t="str">
        <f t="shared" si="467"/>
        <v/>
      </c>
      <c r="E3062" t="str">
        <f t="shared" si="468"/>
        <v/>
      </c>
      <c r="F3062" t="str">
        <f t="shared" si="469"/>
        <v/>
      </c>
      <c r="G3062" t="str">
        <f t="shared" si="470"/>
        <v/>
      </c>
    </row>
    <row r="3063" spans="2:7">
      <c r="B3063" s="46"/>
      <c r="C3063" t="str">
        <f t="shared" si="466"/>
        <v/>
      </c>
      <c r="D3063" s="63">
        <f t="shared" si="467"/>
        <v>2.7881455399061</v>
      </c>
      <c r="E3063" t="str">
        <f t="shared" si="468"/>
        <v/>
      </c>
      <c r="F3063" t="str">
        <f t="shared" si="469"/>
        <v/>
      </c>
      <c r="G3063" t="str">
        <f t="shared" si="470"/>
        <v/>
      </c>
    </row>
    <row r="3064" spans="2:7">
      <c r="B3064" s="46"/>
      <c r="C3064" t="str">
        <f t="shared" si="466"/>
        <v/>
      </c>
      <c r="D3064" s="63">
        <f t="shared" si="467"/>
        <v>4.47535211267606</v>
      </c>
      <c r="E3064" t="str">
        <f t="shared" si="468"/>
        <v/>
      </c>
      <c r="F3064" t="str">
        <f t="shared" si="469"/>
        <v/>
      </c>
      <c r="G3064" t="str">
        <f t="shared" si="470"/>
        <v/>
      </c>
    </row>
    <row r="3065" spans="2:7">
      <c r="B3065" s="46"/>
      <c r="C3065" t="str">
        <f t="shared" si="466"/>
        <v/>
      </c>
      <c r="D3065" s="63">
        <f t="shared" si="467"/>
        <v>6.10680751173709</v>
      </c>
      <c r="E3065" t="str">
        <f t="shared" si="468"/>
        <v/>
      </c>
      <c r="F3065" t="str">
        <f t="shared" si="469"/>
        <v/>
      </c>
      <c r="G3065" t="str">
        <f t="shared" si="470"/>
        <v/>
      </c>
    </row>
    <row r="3066" spans="2:7">
      <c r="B3066" s="46"/>
      <c r="C3066" t="str">
        <f t="shared" si="466"/>
        <v/>
      </c>
      <c r="D3066" s="63">
        <f t="shared" si="467"/>
        <v>8.50821596244131</v>
      </c>
      <c r="E3066" t="str">
        <f t="shared" si="468"/>
        <v/>
      </c>
      <c r="F3066" t="str">
        <f t="shared" si="469"/>
        <v/>
      </c>
      <c r="G3066" t="str">
        <f t="shared" si="470"/>
        <v/>
      </c>
    </row>
    <row r="3067" spans="2:7">
      <c r="B3067" s="46"/>
      <c r="C3067" t="str">
        <f t="shared" si="466"/>
        <v/>
      </c>
      <c r="D3067" s="63">
        <f t="shared" si="467"/>
        <v>10.268779342723</v>
      </c>
      <c r="E3067" t="str">
        <f t="shared" si="468"/>
        <v/>
      </c>
      <c r="F3067" t="str">
        <f t="shared" si="469"/>
        <v/>
      </c>
      <c r="G3067" t="str">
        <f t="shared" si="470"/>
        <v/>
      </c>
    </row>
    <row r="3068" spans="2:7">
      <c r="B3068" s="46"/>
      <c r="C3068" t="str">
        <f t="shared" si="466"/>
        <v/>
      </c>
      <c r="D3068" s="63" t="str">
        <f t="shared" si="467"/>
        <v/>
      </c>
      <c r="E3068" t="str">
        <f t="shared" si="468"/>
        <v/>
      </c>
      <c r="F3068" t="str">
        <f t="shared" si="469"/>
        <v/>
      </c>
      <c r="G3068">
        <f t="shared" si="470"/>
        <v>7.67610062893082</v>
      </c>
    </row>
    <row r="3069" spans="2:7">
      <c r="B3069" s="46"/>
      <c r="C3069" t="str">
        <f t="shared" si="466"/>
        <v/>
      </c>
      <c r="D3069" s="63" t="str">
        <f t="shared" si="467"/>
        <v/>
      </c>
      <c r="E3069" t="str">
        <f t="shared" si="468"/>
        <v/>
      </c>
      <c r="F3069" t="str">
        <f t="shared" si="469"/>
        <v/>
      </c>
      <c r="G3069">
        <f t="shared" si="470"/>
        <v>10.3836477987421</v>
      </c>
    </row>
    <row r="3070" spans="2:7">
      <c r="B3070" s="46"/>
      <c r="C3070" t="str">
        <f t="shared" si="466"/>
        <v/>
      </c>
      <c r="D3070" s="63" t="str">
        <f t="shared" si="467"/>
        <v/>
      </c>
      <c r="E3070" t="str">
        <f t="shared" si="468"/>
        <v/>
      </c>
      <c r="F3070" t="str">
        <f t="shared" si="469"/>
        <v/>
      </c>
      <c r="G3070">
        <f t="shared" si="470"/>
        <v>13.2138364779874</v>
      </c>
    </row>
    <row r="3071" spans="2:7">
      <c r="B3071" s="46"/>
      <c r="C3071" t="str">
        <f t="shared" si="466"/>
        <v/>
      </c>
      <c r="D3071" s="63" t="str">
        <f t="shared" si="467"/>
        <v/>
      </c>
      <c r="E3071" t="str">
        <f t="shared" si="468"/>
        <v/>
      </c>
      <c r="F3071" t="str">
        <f t="shared" si="469"/>
        <v/>
      </c>
      <c r="G3071">
        <f t="shared" si="470"/>
        <v>14.7243186582809</v>
      </c>
    </row>
    <row r="3072" spans="2:7">
      <c r="B3072" s="46"/>
      <c r="C3072" t="str">
        <f t="shared" si="466"/>
        <v/>
      </c>
      <c r="D3072" s="63" t="str">
        <f t="shared" si="467"/>
        <v/>
      </c>
      <c r="E3072" t="str">
        <f t="shared" si="468"/>
        <v/>
      </c>
      <c r="F3072">
        <f t="shared" si="469"/>
        <v>9.17630385487529</v>
      </c>
      <c r="G3072" t="str">
        <f t="shared" si="470"/>
        <v/>
      </c>
    </row>
    <row r="3073" spans="2:7">
      <c r="B3073" s="46"/>
      <c r="C3073" t="str">
        <f t="shared" si="466"/>
        <v/>
      </c>
      <c r="D3073" s="63" t="str">
        <f t="shared" si="467"/>
        <v/>
      </c>
      <c r="E3073" t="str">
        <f t="shared" si="468"/>
        <v/>
      </c>
      <c r="F3073">
        <f t="shared" si="469"/>
        <v>12.328231292517</v>
      </c>
      <c r="G3073" t="str">
        <f t="shared" si="470"/>
        <v/>
      </c>
    </row>
    <row r="3074" spans="2:7">
      <c r="B3074" s="46"/>
      <c r="C3074" t="str">
        <f t="shared" si="466"/>
        <v/>
      </c>
      <c r="D3074" s="63" t="str">
        <f t="shared" si="467"/>
        <v/>
      </c>
      <c r="E3074" t="str">
        <f t="shared" si="468"/>
        <v/>
      </c>
      <c r="F3074">
        <f t="shared" si="469"/>
        <v>15.0017006802721</v>
      </c>
      <c r="G3074" t="str">
        <f t="shared" si="470"/>
        <v/>
      </c>
    </row>
    <row r="3075" spans="2:7">
      <c r="B3075" s="46"/>
      <c r="C3075">
        <f t="shared" si="466"/>
        <v>10.328125</v>
      </c>
      <c r="D3075" s="63" t="str">
        <f t="shared" si="467"/>
        <v/>
      </c>
      <c r="E3075" t="str">
        <f t="shared" si="468"/>
        <v/>
      </c>
      <c r="F3075" t="str">
        <f t="shared" si="469"/>
        <v/>
      </c>
      <c r="G3075" t="str">
        <f t="shared" si="470"/>
        <v/>
      </c>
    </row>
    <row r="3076" spans="2:7">
      <c r="B3076" s="46"/>
      <c r="C3076">
        <f t="shared" si="466"/>
        <v>14.5908564814815</v>
      </c>
      <c r="D3076" s="63" t="str">
        <f t="shared" si="467"/>
        <v/>
      </c>
      <c r="E3076" t="str">
        <f t="shared" si="468"/>
        <v/>
      </c>
      <c r="F3076" t="str">
        <f t="shared" si="469"/>
        <v/>
      </c>
      <c r="G3076" t="str">
        <f t="shared" si="470"/>
        <v/>
      </c>
    </row>
    <row r="3077" spans="2:7">
      <c r="B3077" s="46"/>
      <c r="C3077">
        <f t="shared" si="466"/>
        <v>14.9409722222222</v>
      </c>
      <c r="D3077" s="63" t="str">
        <f t="shared" si="467"/>
        <v/>
      </c>
      <c r="E3077" t="str">
        <f t="shared" si="468"/>
        <v/>
      </c>
      <c r="F3077" t="str">
        <f t="shared" si="469"/>
        <v/>
      </c>
      <c r="G3077" t="str">
        <f t="shared" si="470"/>
        <v/>
      </c>
    </row>
    <row r="3078" spans="2:7">
      <c r="B3078" s="46"/>
      <c r="C3078">
        <f t="shared" si="466"/>
        <v>19.2465277777778</v>
      </c>
      <c r="D3078" s="63" t="str">
        <f t="shared" si="467"/>
        <v/>
      </c>
      <c r="E3078" t="str">
        <f t="shared" si="468"/>
        <v/>
      </c>
      <c r="F3078" t="str">
        <f t="shared" si="469"/>
        <v/>
      </c>
      <c r="G3078" t="str">
        <f t="shared" si="470"/>
        <v/>
      </c>
    </row>
    <row r="3079" spans="2:7">
      <c r="B3079" s="46"/>
      <c r="C3079" t="str">
        <f t="shared" si="466"/>
        <v/>
      </c>
      <c r="D3079" s="63">
        <f t="shared" si="467"/>
        <v>15.0340375586854</v>
      </c>
      <c r="E3079" t="str">
        <f t="shared" si="468"/>
        <v/>
      </c>
      <c r="F3079" t="str">
        <f t="shared" si="469"/>
        <v/>
      </c>
      <c r="G3079" t="str">
        <f t="shared" si="470"/>
        <v/>
      </c>
    </row>
    <row r="3080" spans="2:7">
      <c r="B3080" s="46"/>
      <c r="C3080" t="str">
        <f t="shared" si="466"/>
        <v/>
      </c>
      <c r="D3080" s="63">
        <f t="shared" si="467"/>
        <v>15.0340375586854</v>
      </c>
      <c r="E3080" t="str">
        <f t="shared" si="468"/>
        <v/>
      </c>
      <c r="F3080" t="str">
        <f t="shared" si="469"/>
        <v/>
      </c>
      <c r="G3080" t="str">
        <f t="shared" si="470"/>
        <v/>
      </c>
    </row>
    <row r="3081" spans="2:7">
      <c r="B3081" s="46"/>
      <c r="C3081" t="str">
        <f t="shared" si="466"/>
        <v/>
      </c>
      <c r="D3081" s="63">
        <f t="shared" si="467"/>
        <v>16.1343896713615</v>
      </c>
      <c r="E3081" t="str">
        <f t="shared" si="468"/>
        <v/>
      </c>
      <c r="F3081" t="str">
        <f t="shared" si="469"/>
        <v/>
      </c>
      <c r="G3081" t="str">
        <f t="shared" si="470"/>
        <v/>
      </c>
    </row>
    <row r="3082" spans="2:7">
      <c r="B3082" s="46"/>
      <c r="C3082" t="str">
        <f t="shared" si="466"/>
        <v/>
      </c>
      <c r="D3082" s="63">
        <f t="shared" si="467"/>
        <v>16.8620892018779</v>
      </c>
      <c r="E3082" t="str">
        <f t="shared" si="468"/>
        <v/>
      </c>
      <c r="F3082" t="str">
        <f t="shared" si="469"/>
        <v/>
      </c>
      <c r="G3082" t="str">
        <f t="shared" si="470"/>
        <v/>
      </c>
    </row>
    <row r="3083" spans="2:7">
      <c r="B3083" s="46"/>
      <c r="C3083" t="str">
        <f t="shared" si="466"/>
        <v/>
      </c>
      <c r="D3083" s="63" t="str">
        <f t="shared" si="467"/>
        <v/>
      </c>
      <c r="E3083">
        <f t="shared" si="468"/>
        <v>16.1245098039216</v>
      </c>
      <c r="F3083" t="str">
        <f t="shared" si="469"/>
        <v/>
      </c>
      <c r="G3083" t="str">
        <f t="shared" si="470"/>
        <v/>
      </c>
    </row>
    <row r="3084" spans="2:7">
      <c r="B3084" s="46"/>
      <c r="C3084" t="str">
        <f t="shared" si="466"/>
        <v/>
      </c>
      <c r="D3084" s="63" t="str">
        <f t="shared" si="467"/>
        <v/>
      </c>
      <c r="E3084">
        <f t="shared" si="468"/>
        <v>17.9225490196078</v>
      </c>
      <c r="F3084" t="str">
        <f t="shared" si="469"/>
        <v/>
      </c>
      <c r="G3084" t="str">
        <f t="shared" si="470"/>
        <v/>
      </c>
    </row>
    <row r="3085" spans="2:7">
      <c r="B3085" s="46"/>
      <c r="C3085" t="str">
        <f t="shared" si="466"/>
        <v/>
      </c>
      <c r="D3085" s="63" t="str">
        <f t="shared" si="467"/>
        <v/>
      </c>
      <c r="E3085">
        <f t="shared" si="468"/>
        <v>18.7166666666667</v>
      </c>
      <c r="F3085" t="str">
        <f t="shared" si="469"/>
        <v/>
      </c>
      <c r="G3085" t="str">
        <f t="shared" si="470"/>
        <v/>
      </c>
    </row>
    <row r="3086" spans="2:7">
      <c r="B3086" s="46"/>
      <c r="C3086" t="str">
        <f t="shared" si="466"/>
        <v/>
      </c>
      <c r="D3086" s="63" t="str">
        <f t="shared" si="467"/>
        <v/>
      </c>
      <c r="E3086">
        <f t="shared" si="468"/>
        <v>18.9539215686275</v>
      </c>
      <c r="F3086" t="str">
        <f t="shared" si="469"/>
        <v/>
      </c>
      <c r="G3086" t="str">
        <f t="shared" si="470"/>
        <v/>
      </c>
    </row>
    <row r="3087" spans="2:7">
      <c r="B3087" s="46"/>
      <c r="C3087" t="str">
        <f t="shared" si="466"/>
        <v/>
      </c>
      <c r="D3087" s="63" t="str">
        <f t="shared" si="467"/>
        <v/>
      </c>
      <c r="E3087" t="str">
        <f t="shared" si="468"/>
        <v/>
      </c>
      <c r="F3087" t="str">
        <f t="shared" si="469"/>
        <v/>
      </c>
      <c r="G3087">
        <f t="shared" si="470"/>
        <v>15.4449685534591</v>
      </c>
    </row>
    <row r="3088" spans="2:7">
      <c r="B3088" s="46"/>
      <c r="C3088" t="str">
        <f t="shared" si="466"/>
        <v/>
      </c>
      <c r="D3088" s="63" t="str">
        <f t="shared" si="467"/>
        <v/>
      </c>
      <c r="E3088" t="str">
        <f t="shared" si="468"/>
        <v/>
      </c>
      <c r="F3088" t="str">
        <f t="shared" si="469"/>
        <v/>
      </c>
      <c r="G3088">
        <f t="shared" si="470"/>
        <v>16.4669811320755</v>
      </c>
    </row>
    <row r="3089" spans="2:7">
      <c r="B3089" s="46"/>
      <c r="C3089" t="str">
        <f t="shared" si="466"/>
        <v/>
      </c>
      <c r="D3089" s="63" t="str">
        <f t="shared" si="467"/>
        <v/>
      </c>
      <c r="E3089" t="str">
        <f t="shared" si="468"/>
        <v/>
      </c>
      <c r="F3089" t="str">
        <f t="shared" si="469"/>
        <v/>
      </c>
      <c r="G3089">
        <f t="shared" si="470"/>
        <v>17.7877358490566</v>
      </c>
    </row>
    <row r="3090" spans="2:7">
      <c r="B3090" s="46"/>
      <c r="C3090" t="str">
        <f t="shared" si="466"/>
        <v/>
      </c>
      <c r="D3090" s="63" t="str">
        <f t="shared" si="467"/>
        <v/>
      </c>
      <c r="E3090" t="str">
        <f t="shared" si="468"/>
        <v/>
      </c>
      <c r="F3090" t="str">
        <f t="shared" si="469"/>
        <v/>
      </c>
      <c r="G3090">
        <f t="shared" si="470"/>
        <v>18.377358490566</v>
      </c>
    </row>
    <row r="3091" spans="2:7">
      <c r="B3091" s="46"/>
      <c r="C3091" t="str">
        <f t="shared" si="466"/>
        <v/>
      </c>
      <c r="D3091" s="63" t="str">
        <f t="shared" si="467"/>
        <v/>
      </c>
      <c r="E3091" t="str">
        <f t="shared" si="468"/>
        <v/>
      </c>
      <c r="F3091">
        <f t="shared" si="469"/>
        <v>15.4234693877551</v>
      </c>
      <c r="G3091" t="str">
        <f t="shared" si="470"/>
        <v/>
      </c>
    </row>
    <row r="3092" spans="2:7">
      <c r="B3092" s="46"/>
      <c r="C3092" t="str">
        <f t="shared" si="466"/>
        <v/>
      </c>
      <c r="D3092" s="63" t="str">
        <f t="shared" si="467"/>
        <v/>
      </c>
      <c r="E3092" t="str">
        <f t="shared" si="468"/>
        <v/>
      </c>
      <c r="F3092">
        <f t="shared" si="469"/>
        <v>16.7698412698413</v>
      </c>
      <c r="G3092" t="str">
        <f t="shared" si="470"/>
        <v/>
      </c>
    </row>
    <row r="3093" spans="2:7">
      <c r="B3093" s="46"/>
      <c r="C3093" t="str">
        <f t="shared" si="466"/>
        <v/>
      </c>
      <c r="D3093" s="63" t="str">
        <f t="shared" si="467"/>
        <v/>
      </c>
      <c r="E3093" t="str">
        <f t="shared" si="468"/>
        <v/>
      </c>
      <c r="F3093">
        <f t="shared" si="469"/>
        <v>18.109410430839</v>
      </c>
      <c r="G3093" t="str">
        <f t="shared" si="470"/>
        <v/>
      </c>
    </row>
    <row r="3094" spans="2:7">
      <c r="B3094" s="46"/>
      <c r="C3094" t="str">
        <f t="shared" si="466"/>
        <v/>
      </c>
      <c r="D3094" s="63" t="str">
        <f t="shared" si="467"/>
        <v/>
      </c>
      <c r="E3094" t="str">
        <f t="shared" si="468"/>
        <v/>
      </c>
      <c r="F3094">
        <f t="shared" si="469"/>
        <v>20.1581632653061</v>
      </c>
      <c r="G3094" t="str">
        <f t="shared" si="470"/>
        <v/>
      </c>
    </row>
    <row r="3095" spans="2:7">
      <c r="B3095" s="46"/>
      <c r="C3095" t="str">
        <f t="shared" si="466"/>
        <v/>
      </c>
      <c r="D3095" s="63" t="str">
        <f t="shared" si="467"/>
        <v/>
      </c>
      <c r="E3095" t="str">
        <f t="shared" si="468"/>
        <v/>
      </c>
      <c r="F3095">
        <f t="shared" si="469"/>
        <v>22.1581632653061</v>
      </c>
      <c r="G3095" t="str">
        <f t="shared" si="470"/>
        <v/>
      </c>
    </row>
    <row r="3096" spans="2:7">
      <c r="B3096" s="46"/>
      <c r="C3096" t="str">
        <f t="shared" si="466"/>
        <v/>
      </c>
      <c r="D3096" s="63" t="str">
        <f t="shared" si="467"/>
        <v/>
      </c>
      <c r="E3096" t="str">
        <f t="shared" si="468"/>
        <v/>
      </c>
      <c r="F3096">
        <f t="shared" si="469"/>
        <v>22.8781179138322</v>
      </c>
      <c r="G3096" t="str">
        <f t="shared" si="470"/>
        <v/>
      </c>
    </row>
    <row r="3097" spans="2:7">
      <c r="B3097" s="46"/>
      <c r="C3097" t="str">
        <f t="shared" si="466"/>
        <v/>
      </c>
      <c r="D3097" s="63">
        <f t="shared" si="467"/>
        <v>17.3022300469484</v>
      </c>
      <c r="E3097" t="str">
        <f t="shared" si="468"/>
        <v/>
      </c>
      <c r="F3097" t="str">
        <f t="shared" si="469"/>
        <v/>
      </c>
      <c r="G3097" t="str">
        <f t="shared" si="470"/>
        <v/>
      </c>
    </row>
    <row r="3098" spans="2:7">
      <c r="B3098" s="46"/>
      <c r="C3098" t="str">
        <f t="shared" si="466"/>
        <v/>
      </c>
      <c r="D3098" s="63">
        <f t="shared" si="467"/>
        <v>22.837441314554</v>
      </c>
      <c r="E3098" t="str">
        <f t="shared" si="468"/>
        <v/>
      </c>
      <c r="F3098" t="str">
        <f t="shared" si="469"/>
        <v/>
      </c>
      <c r="G3098" t="str">
        <f t="shared" si="470"/>
        <v/>
      </c>
    </row>
    <row r="3099" spans="2:7">
      <c r="B3099" s="46"/>
      <c r="C3099" t="str">
        <f t="shared" si="466"/>
        <v/>
      </c>
      <c r="D3099" s="63">
        <f t="shared" si="467"/>
        <v>23.7089201877934</v>
      </c>
      <c r="E3099" t="str">
        <f t="shared" si="468"/>
        <v/>
      </c>
      <c r="F3099" t="str">
        <f t="shared" si="469"/>
        <v/>
      </c>
      <c r="G3099" t="str">
        <f t="shared" si="470"/>
        <v/>
      </c>
    </row>
    <row r="3100" spans="2:7">
      <c r="B3100" s="46"/>
      <c r="C3100" t="str">
        <f t="shared" si="466"/>
        <v/>
      </c>
      <c r="D3100" s="63">
        <f t="shared" si="467"/>
        <v>24.3427230046948</v>
      </c>
      <c r="E3100" t="str">
        <f t="shared" si="468"/>
        <v/>
      </c>
      <c r="F3100" t="str">
        <f t="shared" si="469"/>
        <v/>
      </c>
      <c r="G3100" t="str">
        <f t="shared" si="470"/>
        <v/>
      </c>
    </row>
    <row r="3101" spans="2:7">
      <c r="B3101" s="46"/>
      <c r="C3101" t="str">
        <f t="shared" si="466"/>
        <v/>
      </c>
      <c r="D3101" s="63">
        <f t="shared" si="467"/>
        <v>27.5704225352113</v>
      </c>
      <c r="E3101" t="str">
        <f t="shared" si="468"/>
        <v/>
      </c>
      <c r="F3101" t="str">
        <f t="shared" si="469"/>
        <v/>
      </c>
      <c r="G3101" t="str">
        <f t="shared" si="470"/>
        <v/>
      </c>
    </row>
    <row r="3102" spans="2:7">
      <c r="B3102" s="46"/>
      <c r="C3102" t="str">
        <f t="shared" si="466"/>
        <v/>
      </c>
      <c r="D3102" s="63" t="str">
        <f t="shared" si="467"/>
        <v/>
      </c>
      <c r="E3102" t="str">
        <f t="shared" si="468"/>
        <v/>
      </c>
      <c r="F3102" t="str">
        <f t="shared" si="469"/>
        <v/>
      </c>
      <c r="G3102">
        <f t="shared" si="470"/>
        <v>19.1949685534591</v>
      </c>
    </row>
    <row r="3103" spans="2:7">
      <c r="B3103" s="46"/>
      <c r="C3103" t="str">
        <f t="shared" si="466"/>
        <v/>
      </c>
      <c r="D3103" s="63" t="str">
        <f t="shared" si="467"/>
        <v/>
      </c>
      <c r="E3103" t="str">
        <f t="shared" si="468"/>
        <v/>
      </c>
      <c r="F3103" t="str">
        <f t="shared" si="469"/>
        <v/>
      </c>
      <c r="G3103">
        <f t="shared" si="470"/>
        <v>21.9606918238994</v>
      </c>
    </row>
    <row r="3104" spans="2:7">
      <c r="B3104" s="46"/>
      <c r="C3104" t="str">
        <f t="shared" si="466"/>
        <v/>
      </c>
      <c r="D3104" s="63" t="str">
        <f t="shared" si="467"/>
        <v/>
      </c>
      <c r="E3104" t="str">
        <f t="shared" si="468"/>
        <v/>
      </c>
      <c r="F3104" t="str">
        <f t="shared" si="469"/>
        <v/>
      </c>
      <c r="G3104">
        <f t="shared" si="470"/>
        <v>21.9606918238994</v>
      </c>
    </row>
    <row r="3105" spans="2:7">
      <c r="B3105" s="46"/>
      <c r="C3105" t="str">
        <f t="shared" si="466"/>
        <v/>
      </c>
      <c r="D3105" s="63" t="str">
        <f t="shared" si="467"/>
        <v/>
      </c>
      <c r="E3105" t="str">
        <f t="shared" si="468"/>
        <v/>
      </c>
      <c r="F3105" t="str">
        <f t="shared" si="469"/>
        <v/>
      </c>
      <c r="G3105">
        <f t="shared" si="470"/>
        <v>25.2222222222222</v>
      </c>
    </row>
    <row r="3106" spans="2:7">
      <c r="B3106" s="46"/>
      <c r="C3106" t="str">
        <f t="shared" si="466"/>
        <v/>
      </c>
      <c r="D3106" s="63" t="str">
        <f t="shared" si="467"/>
        <v/>
      </c>
      <c r="E3106">
        <f t="shared" si="468"/>
        <v>22.268137254902</v>
      </c>
      <c r="F3106" t="str">
        <f t="shared" si="469"/>
        <v/>
      </c>
      <c r="G3106" t="str">
        <f t="shared" si="470"/>
        <v/>
      </c>
    </row>
    <row r="3107" spans="2:7">
      <c r="B3107" s="46"/>
      <c r="C3107" t="str">
        <f t="shared" si="466"/>
        <v/>
      </c>
      <c r="D3107" s="63" t="str">
        <f t="shared" si="467"/>
        <v/>
      </c>
      <c r="E3107">
        <f t="shared" si="468"/>
        <v>22.268137254902</v>
      </c>
      <c r="F3107" t="str">
        <f t="shared" si="469"/>
        <v/>
      </c>
      <c r="G3107" t="str">
        <f t="shared" si="470"/>
        <v/>
      </c>
    </row>
    <row r="3108" spans="2:7">
      <c r="B3108" s="46"/>
      <c r="C3108" t="str">
        <f t="shared" si="466"/>
        <v/>
      </c>
      <c r="D3108" s="63" t="str">
        <f t="shared" si="467"/>
        <v/>
      </c>
      <c r="E3108">
        <f t="shared" si="468"/>
        <v>24.6995098039216</v>
      </c>
      <c r="F3108" t="str">
        <f t="shared" si="469"/>
        <v/>
      </c>
      <c r="G3108" t="str">
        <f t="shared" si="470"/>
        <v/>
      </c>
    </row>
    <row r="3109" spans="2:7">
      <c r="B3109" s="46"/>
      <c r="C3109" t="str">
        <f t="shared" si="466"/>
        <v/>
      </c>
      <c r="D3109" s="63" t="str">
        <f t="shared" si="467"/>
        <v/>
      </c>
      <c r="E3109">
        <f t="shared" si="468"/>
        <v>25.3416666666667</v>
      </c>
      <c r="F3109" t="str">
        <f t="shared" si="469"/>
        <v/>
      </c>
      <c r="G3109" t="str">
        <f t="shared" si="470"/>
        <v/>
      </c>
    </row>
    <row r="3110" spans="2:7">
      <c r="B3110" s="46"/>
      <c r="C3110">
        <f t="shared" si="466"/>
        <v>19.5358796296296</v>
      </c>
      <c r="D3110" s="63" t="str">
        <f t="shared" si="467"/>
        <v/>
      </c>
      <c r="E3110" t="str">
        <f t="shared" si="468"/>
        <v/>
      </c>
      <c r="F3110" t="str">
        <f t="shared" si="469"/>
        <v/>
      </c>
      <c r="G3110" t="str">
        <f t="shared" si="470"/>
        <v/>
      </c>
    </row>
    <row r="3111" spans="2:7">
      <c r="B3111" s="46"/>
      <c r="C3111">
        <f t="shared" si="466"/>
        <v>20.1608796296296</v>
      </c>
      <c r="D3111" s="63" t="str">
        <f t="shared" si="467"/>
        <v/>
      </c>
      <c r="E3111" t="str">
        <f t="shared" si="468"/>
        <v/>
      </c>
      <c r="F3111" t="str">
        <f t="shared" si="469"/>
        <v/>
      </c>
      <c r="G3111" t="str">
        <f t="shared" si="470"/>
        <v/>
      </c>
    </row>
    <row r="3112" spans="2:7">
      <c r="B3112" s="46"/>
      <c r="C3112">
        <f t="shared" si="466"/>
        <v>21.7233796296296</v>
      </c>
      <c r="D3112" s="63" t="str">
        <f t="shared" si="467"/>
        <v/>
      </c>
      <c r="E3112" t="str">
        <f t="shared" si="468"/>
        <v/>
      </c>
      <c r="F3112" t="str">
        <f t="shared" si="469"/>
        <v/>
      </c>
      <c r="G3112" t="str">
        <f t="shared" si="470"/>
        <v/>
      </c>
    </row>
    <row r="3113" spans="2:7">
      <c r="B3113" s="46"/>
      <c r="C3113">
        <f t="shared" si="466"/>
        <v>22.7054398148148</v>
      </c>
      <c r="D3113" s="63" t="str">
        <f t="shared" si="467"/>
        <v/>
      </c>
      <c r="E3113" t="str">
        <f t="shared" si="468"/>
        <v/>
      </c>
      <c r="F3113" t="str">
        <f t="shared" si="469"/>
        <v/>
      </c>
      <c r="G3113" t="str">
        <f t="shared" si="470"/>
        <v/>
      </c>
    </row>
    <row r="3114" spans="2:7">
      <c r="B3114" s="46"/>
      <c r="C3114">
        <f t="shared" si="466"/>
        <v>22.7054398148148</v>
      </c>
      <c r="D3114" s="63" t="str">
        <f t="shared" si="467"/>
        <v/>
      </c>
      <c r="E3114" t="str">
        <f t="shared" si="468"/>
        <v/>
      </c>
      <c r="F3114" t="str">
        <f t="shared" si="469"/>
        <v/>
      </c>
      <c r="G3114" t="str">
        <f t="shared" si="470"/>
        <v/>
      </c>
    </row>
    <row r="3115" spans="2:7">
      <c r="B3115" s="46"/>
      <c r="C3115">
        <f t="shared" ref="C3115:C3122" si="471">IF(J72=1,S72,"")</f>
        <v>22.8512731481482</v>
      </c>
      <c r="D3115" s="63" t="str">
        <f t="shared" ref="D3115:D3122" si="472">IF(J72=2,S72,"")</f>
        <v/>
      </c>
      <c r="E3115" t="str">
        <f t="shared" ref="E3115:E3122" si="473">IF(J72=3,S72,"")</f>
        <v/>
      </c>
      <c r="F3115" t="str">
        <f t="shared" ref="F3115:F3122" si="474">IF(J72=4,S72,"")</f>
        <v/>
      </c>
      <c r="G3115" t="str">
        <f t="shared" ref="G3115:G3122" si="475">IF(J72=5,S72,"")</f>
        <v/>
      </c>
    </row>
    <row r="3116" spans="2:7">
      <c r="B3116" s="46"/>
      <c r="C3116">
        <f t="shared" si="471"/>
        <v>34.4068287037037</v>
      </c>
      <c r="D3116" s="63" t="str">
        <f t="shared" si="472"/>
        <v/>
      </c>
      <c r="E3116" t="str">
        <f t="shared" si="473"/>
        <v/>
      </c>
      <c r="F3116" t="str">
        <f t="shared" si="474"/>
        <v/>
      </c>
      <c r="G3116" t="str">
        <f t="shared" si="475"/>
        <v/>
      </c>
    </row>
    <row r="3117" spans="2:7">
      <c r="B3117" s="46"/>
      <c r="C3117">
        <f t="shared" si="471"/>
        <v>34.4068287037037</v>
      </c>
      <c r="D3117" s="63" t="str">
        <f t="shared" si="472"/>
        <v/>
      </c>
      <c r="E3117" t="str">
        <f t="shared" si="473"/>
        <v/>
      </c>
      <c r="F3117" t="str">
        <f t="shared" si="474"/>
        <v/>
      </c>
      <c r="G3117" t="str">
        <f t="shared" si="475"/>
        <v/>
      </c>
    </row>
    <row r="3118" spans="2:7">
      <c r="B3118" s="46"/>
      <c r="C3118">
        <f t="shared" si="471"/>
        <v>35.5827546296296</v>
      </c>
      <c r="D3118" s="63" t="str">
        <f t="shared" si="472"/>
        <v/>
      </c>
      <c r="E3118" t="str">
        <f t="shared" si="473"/>
        <v/>
      </c>
      <c r="F3118" t="str">
        <f t="shared" si="474"/>
        <v/>
      </c>
      <c r="G3118" t="str">
        <f t="shared" si="475"/>
        <v/>
      </c>
    </row>
    <row r="3119" spans="2:7">
      <c r="B3119" s="46"/>
      <c r="C3119">
        <f t="shared" si="471"/>
        <v>36.7893518518519</v>
      </c>
      <c r="D3119" s="63" t="str">
        <f t="shared" si="472"/>
        <v/>
      </c>
      <c r="E3119" t="str">
        <f t="shared" si="473"/>
        <v/>
      </c>
      <c r="F3119" t="str">
        <f t="shared" si="474"/>
        <v/>
      </c>
      <c r="G3119" t="str">
        <f t="shared" si="475"/>
        <v/>
      </c>
    </row>
    <row r="3120" spans="2:7">
      <c r="B3120" s="46"/>
      <c r="C3120" t="str">
        <f t="shared" si="471"/>
        <v/>
      </c>
      <c r="D3120" s="63" t="str">
        <f t="shared" si="472"/>
        <v/>
      </c>
      <c r="E3120" t="str">
        <f t="shared" si="473"/>
        <v/>
      </c>
      <c r="F3120">
        <f t="shared" si="474"/>
        <v>23.4404761904762</v>
      </c>
      <c r="G3120" t="str">
        <f t="shared" si="475"/>
        <v/>
      </c>
    </row>
    <row r="3121" spans="2:7">
      <c r="B3121" s="46"/>
      <c r="C3121" t="str">
        <f t="shared" si="471"/>
        <v/>
      </c>
      <c r="D3121" s="63" t="str">
        <f t="shared" si="472"/>
        <v/>
      </c>
      <c r="E3121" t="str">
        <f t="shared" si="473"/>
        <v/>
      </c>
      <c r="F3121">
        <f t="shared" si="474"/>
        <v>24.3616780045352</v>
      </c>
      <c r="G3121" t="str">
        <f t="shared" si="475"/>
        <v/>
      </c>
    </row>
    <row r="3122" ht="15.75" spans="2:7">
      <c r="B3122" s="46"/>
      <c r="C3122" t="str">
        <f t="shared" si="471"/>
        <v/>
      </c>
      <c r="D3122" s="63" t="str">
        <f t="shared" si="472"/>
        <v/>
      </c>
      <c r="E3122" t="str">
        <f t="shared" si="473"/>
        <v/>
      </c>
      <c r="F3122">
        <f t="shared" si="474"/>
        <v>25.8378684807256</v>
      </c>
      <c r="G3122" t="str">
        <f t="shared" si="475"/>
        <v/>
      </c>
    </row>
    <row r="3123" spans="2:7">
      <c r="B3123" s="74" t="s">
        <v>269</v>
      </c>
      <c r="C3123" s="75">
        <f>MAX(C3051:C3122)</f>
        <v>36.7893518518519</v>
      </c>
      <c r="D3123" s="75">
        <f t="shared" ref="D3123:G3123" si="476">MAX(D3051:D3122)</f>
        <v>27.5704225352113</v>
      </c>
      <c r="E3123" s="75">
        <f t="shared" si="476"/>
        <v>25.3416666666667</v>
      </c>
      <c r="F3123" s="75">
        <f t="shared" si="476"/>
        <v>25.8378684807256</v>
      </c>
      <c r="G3123" s="75">
        <f t="shared" si="476"/>
        <v>25.2222222222222</v>
      </c>
    </row>
    <row r="3124" spans="2:7">
      <c r="B3124" s="76" t="s">
        <v>270</v>
      </c>
      <c r="C3124" s="77">
        <v>1</v>
      </c>
      <c r="D3124" s="78">
        <v>2</v>
      </c>
      <c r="E3124">
        <v>3</v>
      </c>
      <c r="F3124">
        <v>4</v>
      </c>
      <c r="G3124">
        <v>5</v>
      </c>
    </row>
    <row r="3125" spans="2:7">
      <c r="B3125" s="79" t="s">
        <v>271</v>
      </c>
      <c r="C3125" s="72">
        <f>HLOOKUP(MIN(C3123:G3123),C3123:G3124,2,FALSE)</f>
        <v>5</v>
      </c>
      <c r="D3125" s="80"/>
    </row>
    <row r="3127" ht="15.75" spans="2:7">
      <c r="B3127" s="43" t="s">
        <v>343</v>
      </c>
      <c r="C3127" s="44"/>
      <c r="D3127" s="45"/>
    </row>
    <row r="3128" spans="2:7">
      <c r="B3128" s="46"/>
      <c r="C3128" s="61" t="s">
        <v>264</v>
      </c>
      <c r="D3128" s="61" t="s">
        <v>265</v>
      </c>
      <c r="E3128" s="62" t="s">
        <v>286</v>
      </c>
      <c r="F3128" s="62" t="s">
        <v>287</v>
      </c>
      <c r="G3128" s="62" t="s">
        <v>288</v>
      </c>
    </row>
    <row r="3129" spans="2:7">
      <c r="B3129" s="46"/>
      <c r="C3129">
        <f t="shared" ref="C3129:C3192" si="477">IF(J8=1,S8,"")</f>
        <v>0.700231481481482</v>
      </c>
      <c r="D3129" s="63" t="str">
        <f t="shared" ref="D3129:D3192" si="478">IF(J8=2,S8,"")</f>
        <v/>
      </c>
      <c r="E3129" t="str">
        <f t="shared" ref="E3129:E3192" si="479">IF(J8=3,S8,"")</f>
        <v/>
      </c>
      <c r="F3129" t="str">
        <f t="shared" ref="F3129:F3192" si="480">IF(J8=4,S8,"")</f>
        <v/>
      </c>
      <c r="G3129" t="str">
        <f t="shared" ref="G3129:G3192" si="481">IF(J8=5,S8,"")</f>
        <v/>
      </c>
    </row>
    <row r="3130" spans="2:7">
      <c r="B3130" s="46"/>
      <c r="C3130" t="str">
        <f t="shared" si="477"/>
        <v/>
      </c>
      <c r="D3130" s="63">
        <f t="shared" si="478"/>
        <v>0.734154929577465</v>
      </c>
      <c r="E3130" t="str">
        <f t="shared" si="479"/>
        <v/>
      </c>
      <c r="F3130" t="str">
        <f t="shared" si="480"/>
        <v/>
      </c>
      <c r="G3130" t="str">
        <f t="shared" si="481"/>
        <v/>
      </c>
    </row>
    <row r="3131" spans="2:7">
      <c r="B3131" s="46"/>
      <c r="C3131" t="str">
        <f t="shared" si="477"/>
        <v/>
      </c>
      <c r="D3131" s="63" t="str">
        <f t="shared" si="478"/>
        <v/>
      </c>
      <c r="E3131">
        <f t="shared" si="479"/>
        <v>1.83823529411765</v>
      </c>
      <c r="F3131" t="str">
        <f t="shared" si="480"/>
        <v/>
      </c>
      <c r="G3131" t="str">
        <f t="shared" si="481"/>
        <v/>
      </c>
    </row>
    <row r="3132" spans="2:7">
      <c r="B3132" s="46"/>
      <c r="C3132" t="str">
        <f t="shared" si="477"/>
        <v/>
      </c>
      <c r="D3132" s="63" t="str">
        <f t="shared" si="478"/>
        <v/>
      </c>
      <c r="E3132" t="str">
        <f t="shared" si="479"/>
        <v/>
      </c>
      <c r="F3132">
        <f t="shared" si="480"/>
        <v>4.28571428571429</v>
      </c>
      <c r="G3132" t="str">
        <f t="shared" si="481"/>
        <v/>
      </c>
    </row>
    <row r="3133" spans="2:7">
      <c r="B3133" s="46"/>
      <c r="C3133" t="str">
        <f t="shared" si="477"/>
        <v/>
      </c>
      <c r="D3133" s="63" t="str">
        <f t="shared" si="478"/>
        <v/>
      </c>
      <c r="E3133" t="str">
        <f t="shared" si="479"/>
        <v/>
      </c>
      <c r="F3133" t="str">
        <f t="shared" si="480"/>
        <v/>
      </c>
      <c r="G3133">
        <f t="shared" si="481"/>
        <v>3.43396226415094</v>
      </c>
    </row>
    <row r="3134" spans="2:7">
      <c r="B3134" s="46"/>
      <c r="C3134" t="str">
        <f t="shared" si="477"/>
        <v/>
      </c>
      <c r="D3134" s="63" t="str">
        <f t="shared" si="478"/>
        <v/>
      </c>
      <c r="E3134">
        <f t="shared" si="479"/>
        <v>14.5833333333333</v>
      </c>
      <c r="F3134" t="str">
        <f t="shared" si="480"/>
        <v/>
      </c>
      <c r="G3134" t="str">
        <f t="shared" si="481"/>
        <v/>
      </c>
    </row>
    <row r="3135" spans="2:7">
      <c r="B3135" s="46"/>
      <c r="C3135" t="str">
        <f t="shared" si="477"/>
        <v/>
      </c>
      <c r="D3135" s="63" t="str">
        <f t="shared" si="478"/>
        <v/>
      </c>
      <c r="E3135" t="str">
        <f t="shared" si="479"/>
        <v/>
      </c>
      <c r="F3135">
        <f t="shared" si="480"/>
        <v>6.42857142857143</v>
      </c>
      <c r="G3135" t="str">
        <f t="shared" si="481"/>
        <v/>
      </c>
    </row>
    <row r="3136" spans="2:7">
      <c r="B3136" s="46"/>
      <c r="C3136" t="str">
        <f t="shared" si="477"/>
        <v/>
      </c>
      <c r="D3136" s="63" t="str">
        <f t="shared" si="478"/>
        <v/>
      </c>
      <c r="E3136" t="str">
        <f t="shared" si="479"/>
        <v/>
      </c>
      <c r="F3136" t="str">
        <f t="shared" si="480"/>
        <v/>
      </c>
      <c r="G3136">
        <f t="shared" si="481"/>
        <v>3.84591194968553</v>
      </c>
    </row>
    <row r="3137" spans="2:7">
      <c r="B3137" s="46"/>
      <c r="C3137">
        <f t="shared" si="477"/>
        <v>0.844907407407407</v>
      </c>
      <c r="D3137" s="63" t="str">
        <f t="shared" si="478"/>
        <v/>
      </c>
      <c r="E3137" t="str">
        <f t="shared" si="479"/>
        <v/>
      </c>
      <c r="F3137" t="str">
        <f t="shared" si="480"/>
        <v/>
      </c>
      <c r="G3137" t="str">
        <f t="shared" si="481"/>
        <v/>
      </c>
    </row>
    <row r="3138" spans="2:7">
      <c r="B3138" s="46"/>
      <c r="C3138">
        <f t="shared" si="477"/>
        <v>6.79803240740741</v>
      </c>
      <c r="D3138" s="63" t="str">
        <f t="shared" si="478"/>
        <v/>
      </c>
      <c r="E3138" t="str">
        <f t="shared" si="479"/>
        <v/>
      </c>
      <c r="F3138" t="str">
        <f t="shared" si="480"/>
        <v/>
      </c>
      <c r="G3138" t="str">
        <f t="shared" si="481"/>
        <v/>
      </c>
    </row>
    <row r="3139" spans="2:7">
      <c r="B3139" s="46"/>
      <c r="C3139">
        <f t="shared" si="477"/>
        <v>6.79803240740741</v>
      </c>
      <c r="D3139" s="63" t="str">
        <f t="shared" si="478"/>
        <v/>
      </c>
      <c r="E3139" t="str">
        <f t="shared" si="479"/>
        <v/>
      </c>
      <c r="F3139" t="str">
        <f t="shared" si="480"/>
        <v/>
      </c>
      <c r="G3139" t="str">
        <f t="shared" si="481"/>
        <v/>
      </c>
    </row>
    <row r="3140" spans="2:7">
      <c r="B3140" s="46"/>
      <c r="C3140">
        <f t="shared" si="477"/>
        <v>7.52719907407408</v>
      </c>
      <c r="D3140" s="63" t="str">
        <f t="shared" si="478"/>
        <v/>
      </c>
      <c r="E3140" t="str">
        <f t="shared" si="479"/>
        <v/>
      </c>
      <c r="F3140" t="str">
        <f t="shared" si="480"/>
        <v/>
      </c>
      <c r="G3140" t="str">
        <f t="shared" si="481"/>
        <v/>
      </c>
    </row>
    <row r="3141" spans="2:7">
      <c r="B3141" s="46"/>
      <c r="C3141" t="str">
        <f t="shared" si="477"/>
        <v/>
      </c>
      <c r="D3141" s="63">
        <f t="shared" si="478"/>
        <v>2.7881455399061</v>
      </c>
      <c r="E3141" t="str">
        <f t="shared" si="479"/>
        <v/>
      </c>
      <c r="F3141" t="str">
        <f t="shared" si="480"/>
        <v/>
      </c>
      <c r="G3141" t="str">
        <f t="shared" si="481"/>
        <v/>
      </c>
    </row>
    <row r="3142" spans="2:7">
      <c r="B3142" s="46"/>
      <c r="C3142" t="str">
        <f t="shared" si="477"/>
        <v/>
      </c>
      <c r="D3142" s="63">
        <f t="shared" si="478"/>
        <v>4.47535211267606</v>
      </c>
      <c r="E3142" t="str">
        <f t="shared" si="479"/>
        <v/>
      </c>
      <c r="F3142" t="str">
        <f t="shared" si="480"/>
        <v/>
      </c>
      <c r="G3142" t="str">
        <f t="shared" si="481"/>
        <v/>
      </c>
    </row>
    <row r="3143" spans="2:7">
      <c r="B3143" s="46"/>
      <c r="C3143" t="str">
        <f t="shared" si="477"/>
        <v/>
      </c>
      <c r="D3143" s="63">
        <f t="shared" si="478"/>
        <v>6.10680751173709</v>
      </c>
      <c r="E3143" t="str">
        <f t="shared" si="479"/>
        <v/>
      </c>
      <c r="F3143" t="str">
        <f t="shared" si="480"/>
        <v/>
      </c>
      <c r="G3143" t="str">
        <f t="shared" si="481"/>
        <v/>
      </c>
    </row>
    <row r="3144" spans="2:7">
      <c r="B3144" s="46"/>
      <c r="C3144" t="str">
        <f t="shared" si="477"/>
        <v/>
      </c>
      <c r="D3144" s="63">
        <f t="shared" si="478"/>
        <v>8.50821596244131</v>
      </c>
      <c r="E3144" t="str">
        <f t="shared" si="479"/>
        <v/>
      </c>
      <c r="F3144" t="str">
        <f t="shared" si="480"/>
        <v/>
      </c>
      <c r="G3144" t="str">
        <f t="shared" si="481"/>
        <v/>
      </c>
    </row>
    <row r="3145" spans="2:7">
      <c r="B3145" s="46"/>
      <c r="C3145" t="str">
        <f t="shared" si="477"/>
        <v/>
      </c>
      <c r="D3145" s="63">
        <f t="shared" si="478"/>
        <v>10.268779342723</v>
      </c>
      <c r="E3145" t="str">
        <f t="shared" si="479"/>
        <v/>
      </c>
      <c r="F3145" t="str">
        <f t="shared" si="480"/>
        <v/>
      </c>
      <c r="G3145" t="str">
        <f t="shared" si="481"/>
        <v/>
      </c>
    </row>
    <row r="3146" spans="2:7">
      <c r="B3146" s="46"/>
      <c r="C3146" t="str">
        <f t="shared" si="477"/>
        <v/>
      </c>
      <c r="D3146" s="63" t="str">
        <f t="shared" si="478"/>
        <v/>
      </c>
      <c r="E3146" t="str">
        <f t="shared" si="479"/>
        <v/>
      </c>
      <c r="F3146" t="str">
        <f t="shared" si="480"/>
        <v/>
      </c>
      <c r="G3146">
        <f t="shared" si="481"/>
        <v>7.67610062893082</v>
      </c>
    </row>
    <row r="3147" spans="2:7">
      <c r="B3147" s="46"/>
      <c r="C3147" t="str">
        <f t="shared" si="477"/>
        <v/>
      </c>
      <c r="D3147" s="63" t="str">
        <f t="shared" si="478"/>
        <v/>
      </c>
      <c r="E3147" t="str">
        <f t="shared" si="479"/>
        <v/>
      </c>
      <c r="F3147" t="str">
        <f t="shared" si="480"/>
        <v/>
      </c>
      <c r="G3147">
        <f t="shared" si="481"/>
        <v>10.3836477987421</v>
      </c>
    </row>
    <row r="3148" spans="2:7">
      <c r="B3148" s="46"/>
      <c r="C3148" t="str">
        <f t="shared" si="477"/>
        <v/>
      </c>
      <c r="D3148" s="63" t="str">
        <f t="shared" si="478"/>
        <v/>
      </c>
      <c r="E3148" t="str">
        <f t="shared" si="479"/>
        <v/>
      </c>
      <c r="F3148" t="str">
        <f t="shared" si="480"/>
        <v/>
      </c>
      <c r="G3148">
        <f t="shared" si="481"/>
        <v>13.2138364779874</v>
      </c>
    </row>
    <row r="3149" spans="2:7">
      <c r="B3149" s="46"/>
      <c r="C3149" t="str">
        <f t="shared" si="477"/>
        <v/>
      </c>
      <c r="D3149" s="63" t="str">
        <f t="shared" si="478"/>
        <v/>
      </c>
      <c r="E3149" t="str">
        <f t="shared" si="479"/>
        <v/>
      </c>
      <c r="F3149" t="str">
        <f t="shared" si="480"/>
        <v/>
      </c>
      <c r="G3149">
        <f t="shared" si="481"/>
        <v>14.7243186582809</v>
      </c>
    </row>
    <row r="3150" spans="2:7">
      <c r="B3150" s="46"/>
      <c r="C3150" t="str">
        <f t="shared" si="477"/>
        <v/>
      </c>
      <c r="D3150" s="63" t="str">
        <f t="shared" si="478"/>
        <v/>
      </c>
      <c r="E3150" t="str">
        <f t="shared" si="479"/>
        <v/>
      </c>
      <c r="F3150">
        <f t="shared" si="480"/>
        <v>9.17630385487529</v>
      </c>
      <c r="G3150" t="str">
        <f t="shared" si="481"/>
        <v/>
      </c>
    </row>
    <row r="3151" spans="2:7">
      <c r="B3151" s="46"/>
      <c r="C3151" t="str">
        <f t="shared" si="477"/>
        <v/>
      </c>
      <c r="D3151" s="63" t="str">
        <f t="shared" si="478"/>
        <v/>
      </c>
      <c r="E3151" t="str">
        <f t="shared" si="479"/>
        <v/>
      </c>
      <c r="F3151">
        <f t="shared" si="480"/>
        <v>12.328231292517</v>
      </c>
      <c r="G3151" t="str">
        <f t="shared" si="481"/>
        <v/>
      </c>
    </row>
    <row r="3152" spans="2:7">
      <c r="B3152" s="46"/>
      <c r="C3152" t="str">
        <f t="shared" si="477"/>
        <v/>
      </c>
      <c r="D3152" s="63" t="str">
        <f t="shared" si="478"/>
        <v/>
      </c>
      <c r="E3152" t="str">
        <f t="shared" si="479"/>
        <v/>
      </c>
      <c r="F3152">
        <f t="shared" si="480"/>
        <v>15.0017006802721</v>
      </c>
      <c r="G3152" t="str">
        <f t="shared" si="481"/>
        <v/>
      </c>
    </row>
    <row r="3153" spans="2:7">
      <c r="B3153" s="46"/>
      <c r="C3153">
        <f t="shared" si="477"/>
        <v>10.328125</v>
      </c>
      <c r="D3153" s="63" t="str">
        <f t="shared" si="478"/>
        <v/>
      </c>
      <c r="E3153" t="str">
        <f t="shared" si="479"/>
        <v/>
      </c>
      <c r="F3153" t="str">
        <f t="shared" si="480"/>
        <v/>
      </c>
      <c r="G3153" t="str">
        <f t="shared" si="481"/>
        <v/>
      </c>
    </row>
    <row r="3154" spans="2:7">
      <c r="B3154" s="46"/>
      <c r="C3154">
        <f t="shared" si="477"/>
        <v>14.5908564814815</v>
      </c>
      <c r="D3154" s="63" t="str">
        <f t="shared" si="478"/>
        <v/>
      </c>
      <c r="E3154" t="str">
        <f t="shared" si="479"/>
        <v/>
      </c>
      <c r="F3154" t="str">
        <f t="shared" si="480"/>
        <v/>
      </c>
      <c r="G3154" t="str">
        <f t="shared" si="481"/>
        <v/>
      </c>
    </row>
    <row r="3155" spans="2:7">
      <c r="B3155" s="46"/>
      <c r="C3155">
        <f t="shared" si="477"/>
        <v>14.9409722222222</v>
      </c>
      <c r="D3155" s="63" t="str">
        <f t="shared" si="478"/>
        <v/>
      </c>
      <c r="E3155" t="str">
        <f t="shared" si="479"/>
        <v/>
      </c>
      <c r="F3155" t="str">
        <f t="shared" si="480"/>
        <v/>
      </c>
      <c r="G3155" t="str">
        <f t="shared" si="481"/>
        <v/>
      </c>
    </row>
    <row r="3156" spans="2:7">
      <c r="B3156" s="46"/>
      <c r="C3156">
        <f t="shared" si="477"/>
        <v>19.2465277777778</v>
      </c>
      <c r="D3156" s="63" t="str">
        <f t="shared" si="478"/>
        <v/>
      </c>
      <c r="E3156" t="str">
        <f t="shared" si="479"/>
        <v/>
      </c>
      <c r="F3156" t="str">
        <f t="shared" si="480"/>
        <v/>
      </c>
      <c r="G3156" t="str">
        <f t="shared" si="481"/>
        <v/>
      </c>
    </row>
    <row r="3157" spans="2:7">
      <c r="B3157" s="46"/>
      <c r="C3157" t="str">
        <f t="shared" si="477"/>
        <v/>
      </c>
      <c r="D3157" s="63">
        <f t="shared" si="478"/>
        <v>15.0340375586854</v>
      </c>
      <c r="E3157" t="str">
        <f t="shared" si="479"/>
        <v/>
      </c>
      <c r="F3157" t="str">
        <f t="shared" si="480"/>
        <v/>
      </c>
      <c r="G3157" t="str">
        <f t="shared" si="481"/>
        <v/>
      </c>
    </row>
    <row r="3158" spans="2:7">
      <c r="B3158" s="46"/>
      <c r="C3158" t="str">
        <f t="shared" si="477"/>
        <v/>
      </c>
      <c r="D3158" s="63">
        <f t="shared" si="478"/>
        <v>15.0340375586854</v>
      </c>
      <c r="E3158" t="str">
        <f t="shared" si="479"/>
        <v/>
      </c>
      <c r="F3158" t="str">
        <f t="shared" si="480"/>
        <v/>
      </c>
      <c r="G3158" t="str">
        <f t="shared" si="481"/>
        <v/>
      </c>
    </row>
    <row r="3159" spans="2:7">
      <c r="B3159" s="46"/>
      <c r="C3159" t="str">
        <f t="shared" si="477"/>
        <v/>
      </c>
      <c r="D3159" s="63">
        <f t="shared" si="478"/>
        <v>16.1343896713615</v>
      </c>
      <c r="E3159" t="str">
        <f t="shared" si="479"/>
        <v/>
      </c>
      <c r="F3159" t="str">
        <f t="shared" si="480"/>
        <v/>
      </c>
      <c r="G3159" t="str">
        <f t="shared" si="481"/>
        <v/>
      </c>
    </row>
    <row r="3160" spans="2:7">
      <c r="B3160" s="46"/>
      <c r="C3160" t="str">
        <f t="shared" si="477"/>
        <v/>
      </c>
      <c r="D3160" s="63">
        <f t="shared" si="478"/>
        <v>16.8620892018779</v>
      </c>
      <c r="E3160" t="str">
        <f t="shared" si="479"/>
        <v/>
      </c>
      <c r="F3160" t="str">
        <f t="shared" si="480"/>
        <v/>
      </c>
      <c r="G3160" t="str">
        <f t="shared" si="481"/>
        <v/>
      </c>
    </row>
    <row r="3161" spans="2:7">
      <c r="B3161" s="46"/>
      <c r="C3161" t="str">
        <f t="shared" si="477"/>
        <v/>
      </c>
      <c r="D3161" s="63" t="str">
        <f t="shared" si="478"/>
        <v/>
      </c>
      <c r="E3161">
        <f t="shared" si="479"/>
        <v>16.1245098039216</v>
      </c>
      <c r="F3161" t="str">
        <f t="shared" si="480"/>
        <v/>
      </c>
      <c r="G3161" t="str">
        <f t="shared" si="481"/>
        <v/>
      </c>
    </row>
    <row r="3162" spans="2:7">
      <c r="B3162" s="46"/>
      <c r="C3162" t="str">
        <f t="shared" si="477"/>
        <v/>
      </c>
      <c r="D3162" s="63" t="str">
        <f t="shared" si="478"/>
        <v/>
      </c>
      <c r="E3162">
        <f t="shared" si="479"/>
        <v>17.9225490196078</v>
      </c>
      <c r="F3162" t="str">
        <f t="shared" si="480"/>
        <v/>
      </c>
      <c r="G3162" t="str">
        <f t="shared" si="481"/>
        <v/>
      </c>
    </row>
    <row r="3163" spans="2:7">
      <c r="B3163" s="46"/>
      <c r="C3163" t="str">
        <f t="shared" si="477"/>
        <v/>
      </c>
      <c r="D3163" s="63" t="str">
        <f t="shared" si="478"/>
        <v/>
      </c>
      <c r="E3163">
        <f t="shared" si="479"/>
        <v>18.7166666666667</v>
      </c>
      <c r="F3163" t="str">
        <f t="shared" si="480"/>
        <v/>
      </c>
      <c r="G3163" t="str">
        <f t="shared" si="481"/>
        <v/>
      </c>
    </row>
    <row r="3164" spans="2:7">
      <c r="B3164" s="46"/>
      <c r="C3164" t="str">
        <f t="shared" si="477"/>
        <v/>
      </c>
      <c r="D3164" s="63" t="str">
        <f t="shared" si="478"/>
        <v/>
      </c>
      <c r="E3164">
        <f t="shared" si="479"/>
        <v>18.9539215686275</v>
      </c>
      <c r="F3164" t="str">
        <f t="shared" si="480"/>
        <v/>
      </c>
      <c r="G3164" t="str">
        <f t="shared" si="481"/>
        <v/>
      </c>
    </row>
    <row r="3165" spans="2:7">
      <c r="B3165" s="46"/>
      <c r="C3165" t="str">
        <f t="shared" si="477"/>
        <v/>
      </c>
      <c r="D3165" s="63" t="str">
        <f t="shared" si="478"/>
        <v/>
      </c>
      <c r="E3165" t="str">
        <f t="shared" si="479"/>
        <v/>
      </c>
      <c r="F3165" t="str">
        <f t="shared" si="480"/>
        <v/>
      </c>
      <c r="G3165">
        <f t="shared" si="481"/>
        <v>15.4449685534591</v>
      </c>
    </row>
    <row r="3166" spans="2:7">
      <c r="B3166" s="46"/>
      <c r="C3166" t="str">
        <f t="shared" si="477"/>
        <v/>
      </c>
      <c r="D3166" s="63" t="str">
        <f t="shared" si="478"/>
        <v/>
      </c>
      <c r="E3166" t="str">
        <f t="shared" si="479"/>
        <v/>
      </c>
      <c r="F3166" t="str">
        <f t="shared" si="480"/>
        <v/>
      </c>
      <c r="G3166">
        <f t="shared" si="481"/>
        <v>16.4669811320755</v>
      </c>
    </row>
    <row r="3167" spans="2:7">
      <c r="B3167" s="46"/>
      <c r="C3167" t="str">
        <f t="shared" si="477"/>
        <v/>
      </c>
      <c r="D3167" s="63" t="str">
        <f t="shared" si="478"/>
        <v/>
      </c>
      <c r="E3167" t="str">
        <f t="shared" si="479"/>
        <v/>
      </c>
      <c r="F3167" t="str">
        <f t="shared" si="480"/>
        <v/>
      </c>
      <c r="G3167">
        <f t="shared" si="481"/>
        <v>17.7877358490566</v>
      </c>
    </row>
    <row r="3168" spans="2:7">
      <c r="B3168" s="46"/>
      <c r="C3168" t="str">
        <f t="shared" si="477"/>
        <v/>
      </c>
      <c r="D3168" s="63" t="str">
        <f t="shared" si="478"/>
        <v/>
      </c>
      <c r="E3168" t="str">
        <f t="shared" si="479"/>
        <v/>
      </c>
      <c r="F3168" t="str">
        <f t="shared" si="480"/>
        <v/>
      </c>
      <c r="G3168">
        <f t="shared" si="481"/>
        <v>18.377358490566</v>
      </c>
    </row>
    <row r="3169" spans="2:7">
      <c r="B3169" s="46"/>
      <c r="C3169" t="str">
        <f t="shared" si="477"/>
        <v/>
      </c>
      <c r="D3169" s="63" t="str">
        <f t="shared" si="478"/>
        <v/>
      </c>
      <c r="E3169" t="str">
        <f t="shared" si="479"/>
        <v/>
      </c>
      <c r="F3169">
        <f t="shared" si="480"/>
        <v>15.4234693877551</v>
      </c>
      <c r="G3169" t="str">
        <f t="shared" si="481"/>
        <v/>
      </c>
    </row>
    <row r="3170" spans="2:7">
      <c r="B3170" s="46"/>
      <c r="C3170" t="str">
        <f t="shared" si="477"/>
        <v/>
      </c>
      <c r="D3170" s="63" t="str">
        <f t="shared" si="478"/>
        <v/>
      </c>
      <c r="E3170" t="str">
        <f t="shared" si="479"/>
        <v/>
      </c>
      <c r="F3170">
        <f t="shared" si="480"/>
        <v>16.7698412698413</v>
      </c>
      <c r="G3170" t="str">
        <f t="shared" si="481"/>
        <v/>
      </c>
    </row>
    <row r="3171" spans="2:7">
      <c r="B3171" s="46"/>
      <c r="C3171" t="str">
        <f t="shared" si="477"/>
        <v/>
      </c>
      <c r="D3171" s="63" t="str">
        <f t="shared" si="478"/>
        <v/>
      </c>
      <c r="E3171" t="str">
        <f t="shared" si="479"/>
        <v/>
      </c>
      <c r="F3171">
        <f t="shared" si="480"/>
        <v>18.109410430839</v>
      </c>
      <c r="G3171" t="str">
        <f t="shared" si="481"/>
        <v/>
      </c>
    </row>
    <row r="3172" spans="2:7">
      <c r="B3172" s="46"/>
      <c r="C3172" t="str">
        <f t="shared" si="477"/>
        <v/>
      </c>
      <c r="D3172" s="63" t="str">
        <f t="shared" si="478"/>
        <v/>
      </c>
      <c r="E3172" t="str">
        <f t="shared" si="479"/>
        <v/>
      </c>
      <c r="F3172">
        <f t="shared" si="480"/>
        <v>20.1581632653061</v>
      </c>
      <c r="G3172" t="str">
        <f t="shared" si="481"/>
        <v/>
      </c>
    </row>
    <row r="3173" spans="2:7">
      <c r="B3173" s="46"/>
      <c r="C3173" t="str">
        <f t="shared" si="477"/>
        <v/>
      </c>
      <c r="D3173" s="63" t="str">
        <f t="shared" si="478"/>
        <v/>
      </c>
      <c r="E3173" t="str">
        <f t="shared" si="479"/>
        <v/>
      </c>
      <c r="F3173">
        <f t="shared" si="480"/>
        <v>22.1581632653061</v>
      </c>
      <c r="G3173" t="str">
        <f t="shared" si="481"/>
        <v/>
      </c>
    </row>
    <row r="3174" spans="2:7">
      <c r="B3174" s="46"/>
      <c r="C3174" t="str">
        <f t="shared" si="477"/>
        <v/>
      </c>
      <c r="D3174" s="63" t="str">
        <f t="shared" si="478"/>
        <v/>
      </c>
      <c r="E3174" t="str">
        <f t="shared" si="479"/>
        <v/>
      </c>
      <c r="F3174">
        <f t="shared" si="480"/>
        <v>22.8781179138322</v>
      </c>
      <c r="G3174" t="str">
        <f t="shared" si="481"/>
        <v/>
      </c>
    </row>
    <row r="3175" spans="2:7">
      <c r="B3175" s="46"/>
      <c r="C3175" t="str">
        <f t="shared" si="477"/>
        <v/>
      </c>
      <c r="D3175" s="63">
        <f t="shared" si="478"/>
        <v>17.3022300469484</v>
      </c>
      <c r="E3175" t="str">
        <f t="shared" si="479"/>
        <v/>
      </c>
      <c r="F3175" t="str">
        <f t="shared" si="480"/>
        <v/>
      </c>
      <c r="G3175" t="str">
        <f t="shared" si="481"/>
        <v/>
      </c>
    </row>
    <row r="3176" spans="2:7">
      <c r="B3176" s="46"/>
      <c r="C3176" t="str">
        <f t="shared" si="477"/>
        <v/>
      </c>
      <c r="D3176" s="63">
        <f t="shared" si="478"/>
        <v>22.837441314554</v>
      </c>
      <c r="E3176" t="str">
        <f t="shared" si="479"/>
        <v/>
      </c>
      <c r="F3176" t="str">
        <f t="shared" si="480"/>
        <v/>
      </c>
      <c r="G3176" t="str">
        <f t="shared" si="481"/>
        <v/>
      </c>
    </row>
    <row r="3177" spans="2:7">
      <c r="B3177" s="46"/>
      <c r="C3177" t="str">
        <f t="shared" si="477"/>
        <v/>
      </c>
      <c r="D3177" s="63">
        <f t="shared" si="478"/>
        <v>23.7089201877934</v>
      </c>
      <c r="E3177" t="str">
        <f t="shared" si="479"/>
        <v/>
      </c>
      <c r="F3177" t="str">
        <f t="shared" si="480"/>
        <v/>
      </c>
      <c r="G3177" t="str">
        <f t="shared" si="481"/>
        <v/>
      </c>
    </row>
    <row r="3178" spans="2:7">
      <c r="B3178" s="46"/>
      <c r="C3178" t="str">
        <f t="shared" si="477"/>
        <v/>
      </c>
      <c r="D3178" s="63">
        <f t="shared" si="478"/>
        <v>24.3427230046948</v>
      </c>
      <c r="E3178" t="str">
        <f t="shared" si="479"/>
        <v/>
      </c>
      <c r="F3178" t="str">
        <f t="shared" si="480"/>
        <v/>
      </c>
      <c r="G3178" t="str">
        <f t="shared" si="481"/>
        <v/>
      </c>
    </row>
    <row r="3179" spans="2:7">
      <c r="B3179" s="46"/>
      <c r="C3179" t="str">
        <f t="shared" si="477"/>
        <v/>
      </c>
      <c r="D3179" s="63">
        <f t="shared" si="478"/>
        <v>27.5704225352113</v>
      </c>
      <c r="E3179" t="str">
        <f t="shared" si="479"/>
        <v/>
      </c>
      <c r="F3179" t="str">
        <f t="shared" si="480"/>
        <v/>
      </c>
      <c r="G3179" t="str">
        <f t="shared" si="481"/>
        <v/>
      </c>
    </row>
    <row r="3180" spans="2:7">
      <c r="B3180" s="46"/>
      <c r="C3180" t="str">
        <f t="shared" si="477"/>
        <v/>
      </c>
      <c r="D3180" s="63" t="str">
        <f t="shared" si="478"/>
        <v/>
      </c>
      <c r="E3180" t="str">
        <f t="shared" si="479"/>
        <v/>
      </c>
      <c r="F3180" t="str">
        <f t="shared" si="480"/>
        <v/>
      </c>
      <c r="G3180">
        <f t="shared" si="481"/>
        <v>19.1949685534591</v>
      </c>
    </row>
    <row r="3181" spans="2:7">
      <c r="B3181" s="46"/>
      <c r="C3181" t="str">
        <f t="shared" si="477"/>
        <v/>
      </c>
      <c r="D3181" s="63" t="str">
        <f t="shared" si="478"/>
        <v/>
      </c>
      <c r="E3181" t="str">
        <f t="shared" si="479"/>
        <v/>
      </c>
      <c r="F3181" t="str">
        <f t="shared" si="480"/>
        <v/>
      </c>
      <c r="G3181">
        <f t="shared" si="481"/>
        <v>21.9606918238994</v>
      </c>
    </row>
    <row r="3182" spans="2:7">
      <c r="B3182" s="46"/>
      <c r="C3182" t="str">
        <f t="shared" si="477"/>
        <v/>
      </c>
      <c r="D3182" s="63" t="str">
        <f t="shared" si="478"/>
        <v/>
      </c>
      <c r="E3182" t="str">
        <f t="shared" si="479"/>
        <v/>
      </c>
      <c r="F3182" t="str">
        <f t="shared" si="480"/>
        <v/>
      </c>
      <c r="G3182">
        <f t="shared" si="481"/>
        <v>21.9606918238994</v>
      </c>
    </row>
    <row r="3183" spans="2:7">
      <c r="B3183" s="46"/>
      <c r="C3183" t="str">
        <f t="shared" si="477"/>
        <v/>
      </c>
      <c r="D3183" s="63" t="str">
        <f t="shared" si="478"/>
        <v/>
      </c>
      <c r="E3183" t="str">
        <f t="shared" si="479"/>
        <v/>
      </c>
      <c r="F3183" t="str">
        <f t="shared" si="480"/>
        <v/>
      </c>
      <c r="G3183">
        <f t="shared" si="481"/>
        <v>25.2222222222222</v>
      </c>
    </row>
    <row r="3184" spans="2:7">
      <c r="B3184" s="46"/>
      <c r="C3184" t="str">
        <f t="shared" si="477"/>
        <v/>
      </c>
      <c r="D3184" s="63" t="str">
        <f t="shared" si="478"/>
        <v/>
      </c>
      <c r="E3184">
        <f t="shared" si="479"/>
        <v>22.268137254902</v>
      </c>
      <c r="F3184" t="str">
        <f t="shared" si="480"/>
        <v/>
      </c>
      <c r="G3184" t="str">
        <f t="shared" si="481"/>
        <v/>
      </c>
    </row>
    <row r="3185" spans="2:7">
      <c r="B3185" s="46"/>
      <c r="C3185" t="str">
        <f t="shared" si="477"/>
        <v/>
      </c>
      <c r="D3185" s="63" t="str">
        <f t="shared" si="478"/>
        <v/>
      </c>
      <c r="E3185">
        <f t="shared" si="479"/>
        <v>22.268137254902</v>
      </c>
      <c r="F3185" t="str">
        <f t="shared" si="480"/>
        <v/>
      </c>
      <c r="G3185" t="str">
        <f t="shared" si="481"/>
        <v/>
      </c>
    </row>
    <row r="3186" spans="2:7">
      <c r="B3186" s="46"/>
      <c r="C3186" t="str">
        <f t="shared" si="477"/>
        <v/>
      </c>
      <c r="D3186" s="63" t="str">
        <f t="shared" si="478"/>
        <v/>
      </c>
      <c r="E3186">
        <f t="shared" si="479"/>
        <v>24.6995098039216</v>
      </c>
      <c r="F3186" t="str">
        <f t="shared" si="480"/>
        <v/>
      </c>
      <c r="G3186" t="str">
        <f t="shared" si="481"/>
        <v/>
      </c>
    </row>
    <row r="3187" spans="2:7">
      <c r="B3187" s="46"/>
      <c r="C3187" t="str">
        <f t="shared" si="477"/>
        <v/>
      </c>
      <c r="D3187" s="63" t="str">
        <f t="shared" si="478"/>
        <v/>
      </c>
      <c r="E3187">
        <f t="shared" si="479"/>
        <v>25.3416666666667</v>
      </c>
      <c r="F3187" t="str">
        <f t="shared" si="480"/>
        <v/>
      </c>
      <c r="G3187" t="str">
        <f t="shared" si="481"/>
        <v/>
      </c>
    </row>
    <row r="3188" spans="2:7">
      <c r="B3188" s="46"/>
      <c r="C3188">
        <f t="shared" si="477"/>
        <v>19.5358796296296</v>
      </c>
      <c r="D3188" s="63" t="str">
        <f t="shared" si="478"/>
        <v/>
      </c>
      <c r="E3188" t="str">
        <f t="shared" si="479"/>
        <v/>
      </c>
      <c r="F3188" t="str">
        <f t="shared" si="480"/>
        <v/>
      </c>
      <c r="G3188" t="str">
        <f t="shared" si="481"/>
        <v/>
      </c>
    </row>
    <row r="3189" spans="2:7">
      <c r="B3189" s="46"/>
      <c r="C3189">
        <f t="shared" si="477"/>
        <v>20.1608796296296</v>
      </c>
      <c r="D3189" s="63" t="str">
        <f t="shared" si="478"/>
        <v/>
      </c>
      <c r="E3189" t="str">
        <f t="shared" si="479"/>
        <v/>
      </c>
      <c r="F3189" t="str">
        <f t="shared" si="480"/>
        <v/>
      </c>
      <c r="G3189" t="str">
        <f t="shared" si="481"/>
        <v/>
      </c>
    </row>
    <row r="3190" spans="2:7">
      <c r="B3190" s="46"/>
      <c r="C3190">
        <f t="shared" si="477"/>
        <v>21.7233796296296</v>
      </c>
      <c r="D3190" s="63" t="str">
        <f t="shared" si="478"/>
        <v/>
      </c>
      <c r="E3190" t="str">
        <f t="shared" si="479"/>
        <v/>
      </c>
      <c r="F3190" t="str">
        <f t="shared" si="480"/>
        <v/>
      </c>
      <c r="G3190" t="str">
        <f t="shared" si="481"/>
        <v/>
      </c>
    </row>
    <row r="3191" spans="2:7">
      <c r="B3191" s="46"/>
      <c r="C3191">
        <f t="shared" si="477"/>
        <v>22.7054398148148</v>
      </c>
      <c r="D3191" s="63" t="str">
        <f t="shared" si="478"/>
        <v/>
      </c>
      <c r="E3191" t="str">
        <f t="shared" si="479"/>
        <v/>
      </c>
      <c r="F3191" t="str">
        <f t="shared" si="480"/>
        <v/>
      </c>
      <c r="G3191" t="str">
        <f t="shared" si="481"/>
        <v/>
      </c>
    </row>
    <row r="3192" spans="2:7">
      <c r="B3192" s="46"/>
      <c r="C3192">
        <f t="shared" si="477"/>
        <v>22.7054398148148</v>
      </c>
      <c r="D3192" s="63" t="str">
        <f t="shared" si="478"/>
        <v/>
      </c>
      <c r="E3192" t="str">
        <f t="shared" si="479"/>
        <v/>
      </c>
      <c r="F3192" t="str">
        <f t="shared" si="480"/>
        <v/>
      </c>
      <c r="G3192" t="str">
        <f t="shared" si="481"/>
        <v/>
      </c>
    </row>
    <row r="3193" spans="2:7">
      <c r="B3193" s="46"/>
      <c r="C3193">
        <f t="shared" ref="C3193:C3201" si="482">IF(J72=1,S72,"")</f>
        <v>22.8512731481482</v>
      </c>
      <c r="D3193" s="63" t="str">
        <f t="shared" ref="D3193:D3201" si="483">IF(J72=2,S72,"")</f>
        <v/>
      </c>
      <c r="E3193" t="str">
        <f t="shared" ref="E3193:E3201" si="484">IF(J72=3,S72,"")</f>
        <v/>
      </c>
      <c r="F3193" t="str">
        <f t="shared" ref="F3193:F3201" si="485">IF(J72=4,S72,"")</f>
        <v/>
      </c>
      <c r="G3193" t="str">
        <f t="shared" ref="G3193:G3201" si="486">IF(J72=5,S72,"")</f>
        <v/>
      </c>
    </row>
    <row r="3194" spans="2:7">
      <c r="B3194" s="46"/>
      <c r="C3194">
        <f t="shared" si="482"/>
        <v>34.4068287037037</v>
      </c>
      <c r="D3194" s="63" t="str">
        <f t="shared" si="483"/>
        <v/>
      </c>
      <c r="E3194" t="str">
        <f t="shared" si="484"/>
        <v/>
      </c>
      <c r="F3194" t="str">
        <f t="shared" si="485"/>
        <v/>
      </c>
      <c r="G3194" t="str">
        <f t="shared" si="486"/>
        <v/>
      </c>
    </row>
    <row r="3195" spans="2:7">
      <c r="B3195" s="46"/>
      <c r="C3195">
        <f t="shared" si="482"/>
        <v>34.4068287037037</v>
      </c>
      <c r="D3195" s="63" t="str">
        <f t="shared" si="483"/>
        <v/>
      </c>
      <c r="E3195" t="str">
        <f t="shared" si="484"/>
        <v/>
      </c>
      <c r="F3195" t="str">
        <f t="shared" si="485"/>
        <v/>
      </c>
      <c r="G3195" t="str">
        <f t="shared" si="486"/>
        <v/>
      </c>
    </row>
    <row r="3196" spans="2:7">
      <c r="B3196" s="46"/>
      <c r="C3196">
        <f t="shared" si="482"/>
        <v>35.5827546296296</v>
      </c>
      <c r="D3196" s="63" t="str">
        <f t="shared" si="483"/>
        <v/>
      </c>
      <c r="E3196" t="str">
        <f t="shared" si="484"/>
        <v/>
      </c>
      <c r="F3196" t="str">
        <f t="shared" si="485"/>
        <v/>
      </c>
      <c r="G3196" t="str">
        <f t="shared" si="486"/>
        <v/>
      </c>
    </row>
    <row r="3197" spans="2:7">
      <c r="B3197" s="46"/>
      <c r="C3197">
        <f t="shared" si="482"/>
        <v>36.7893518518519</v>
      </c>
      <c r="D3197" s="63" t="str">
        <f t="shared" si="483"/>
        <v/>
      </c>
      <c r="E3197" t="str">
        <f t="shared" si="484"/>
        <v/>
      </c>
      <c r="F3197" t="str">
        <f t="shared" si="485"/>
        <v/>
      </c>
      <c r="G3197" t="str">
        <f t="shared" si="486"/>
        <v/>
      </c>
    </row>
    <row r="3198" spans="2:7">
      <c r="B3198" s="46"/>
      <c r="C3198" t="str">
        <f t="shared" si="482"/>
        <v/>
      </c>
      <c r="D3198" s="63" t="str">
        <f t="shared" si="483"/>
        <v/>
      </c>
      <c r="E3198" t="str">
        <f t="shared" si="484"/>
        <v/>
      </c>
      <c r="F3198">
        <f t="shared" si="485"/>
        <v>23.4404761904762</v>
      </c>
      <c r="G3198" t="str">
        <f t="shared" si="486"/>
        <v/>
      </c>
    </row>
    <row r="3199" spans="2:7">
      <c r="B3199" s="46"/>
      <c r="C3199" t="str">
        <f t="shared" si="482"/>
        <v/>
      </c>
      <c r="D3199" s="63" t="str">
        <f t="shared" si="483"/>
        <v/>
      </c>
      <c r="E3199" t="str">
        <f t="shared" si="484"/>
        <v/>
      </c>
      <c r="F3199">
        <f t="shared" si="485"/>
        <v>24.3616780045352</v>
      </c>
      <c r="G3199" t="str">
        <f t="shared" si="486"/>
        <v/>
      </c>
    </row>
    <row r="3200" spans="2:7">
      <c r="B3200" s="46"/>
      <c r="C3200" t="str">
        <f t="shared" si="482"/>
        <v/>
      </c>
      <c r="D3200" s="63" t="str">
        <f t="shared" si="483"/>
        <v/>
      </c>
      <c r="E3200" t="str">
        <f t="shared" si="484"/>
        <v/>
      </c>
      <c r="F3200">
        <f t="shared" si="485"/>
        <v>25.8378684807256</v>
      </c>
      <c r="G3200" t="str">
        <f t="shared" si="486"/>
        <v/>
      </c>
    </row>
    <row r="3201" ht="15.75" spans="2:7">
      <c r="B3201" s="46"/>
      <c r="C3201" t="str">
        <f t="shared" si="482"/>
        <v/>
      </c>
      <c r="D3201" s="63" t="str">
        <f t="shared" si="483"/>
        <v/>
      </c>
      <c r="E3201" t="str">
        <f t="shared" si="484"/>
        <v/>
      </c>
      <c r="F3201">
        <f t="shared" si="485"/>
        <v>29.4625850340136</v>
      </c>
      <c r="G3201" t="str">
        <f t="shared" si="486"/>
        <v/>
      </c>
    </row>
    <row r="3202" spans="2:7">
      <c r="B3202" s="74" t="s">
        <v>269</v>
      </c>
      <c r="C3202" s="75">
        <f>MAX(C3129:C3201)</f>
        <v>36.7893518518519</v>
      </c>
      <c r="D3202" s="75">
        <f t="shared" ref="D3202:G3202" si="487">MAX(D3129:D3201)</f>
        <v>27.5704225352113</v>
      </c>
      <c r="E3202" s="75">
        <f t="shared" si="487"/>
        <v>25.3416666666667</v>
      </c>
      <c r="F3202" s="75">
        <f t="shared" si="487"/>
        <v>29.4625850340136</v>
      </c>
      <c r="G3202" s="75">
        <f t="shared" si="487"/>
        <v>25.2222222222222</v>
      </c>
    </row>
    <row r="3203" spans="2:7">
      <c r="B3203" s="76" t="s">
        <v>270</v>
      </c>
      <c r="C3203" s="77">
        <v>1</v>
      </c>
      <c r="D3203" s="78">
        <v>2</v>
      </c>
      <c r="E3203">
        <v>3</v>
      </c>
      <c r="F3203">
        <v>4</v>
      </c>
      <c r="G3203">
        <v>5</v>
      </c>
    </row>
    <row r="3204" spans="2:7">
      <c r="B3204" s="79" t="s">
        <v>271</v>
      </c>
      <c r="C3204" s="72">
        <f>HLOOKUP(MIN(C3202:G3202),C3202:G3203,2,FALSE)</f>
        <v>5</v>
      </c>
      <c r="D3204" s="80"/>
    </row>
    <row r="3206" ht="15.75" spans="2:7">
      <c r="B3206" s="43" t="s">
        <v>344</v>
      </c>
      <c r="C3206" s="44"/>
      <c r="D3206" s="45"/>
    </row>
    <row r="3207" spans="2:7">
      <c r="B3207" s="46"/>
      <c r="C3207" s="61" t="s">
        <v>264</v>
      </c>
      <c r="D3207" s="61" t="s">
        <v>265</v>
      </c>
      <c r="E3207" s="62" t="s">
        <v>286</v>
      </c>
      <c r="F3207" s="62" t="s">
        <v>287</v>
      </c>
      <c r="G3207" s="62" t="s">
        <v>288</v>
      </c>
    </row>
    <row r="3208" spans="2:7">
      <c r="B3208" s="46"/>
      <c r="C3208">
        <f t="shared" ref="C3208:C3271" si="488">IF(J8=1,S8,"")</f>
        <v>0.700231481481482</v>
      </c>
      <c r="D3208" s="63" t="str">
        <f t="shared" ref="D3208:D3271" si="489">IF(J8=2,S8,"")</f>
        <v/>
      </c>
      <c r="E3208" t="str">
        <f t="shared" ref="E3208:E3271" si="490">IF(J8=3,S8,"")</f>
        <v/>
      </c>
      <c r="F3208" t="str">
        <f t="shared" ref="F3208:F3271" si="491">IF(J8=4,S8,"")</f>
        <v/>
      </c>
      <c r="G3208" t="str">
        <f t="shared" ref="G3208:G3271" si="492">IF(J8=5,S8,"")</f>
        <v/>
      </c>
    </row>
    <row r="3209" spans="2:7">
      <c r="B3209" s="46"/>
      <c r="C3209" t="str">
        <f t="shared" si="488"/>
        <v/>
      </c>
      <c r="D3209" s="63">
        <f t="shared" si="489"/>
        <v>0.734154929577465</v>
      </c>
      <c r="E3209" t="str">
        <f t="shared" si="490"/>
        <v/>
      </c>
      <c r="F3209" t="str">
        <f t="shared" si="491"/>
        <v/>
      </c>
      <c r="G3209" t="str">
        <f t="shared" si="492"/>
        <v/>
      </c>
    </row>
    <row r="3210" spans="2:7">
      <c r="B3210" s="46"/>
      <c r="C3210" t="str">
        <f t="shared" si="488"/>
        <v/>
      </c>
      <c r="D3210" s="63" t="str">
        <f t="shared" si="489"/>
        <v/>
      </c>
      <c r="E3210">
        <f t="shared" si="490"/>
        <v>1.83823529411765</v>
      </c>
      <c r="F3210" t="str">
        <f t="shared" si="491"/>
        <v/>
      </c>
      <c r="G3210" t="str">
        <f t="shared" si="492"/>
        <v/>
      </c>
    </row>
    <row r="3211" spans="2:7">
      <c r="B3211" s="46"/>
      <c r="C3211" t="str">
        <f t="shared" si="488"/>
        <v/>
      </c>
      <c r="D3211" s="63" t="str">
        <f t="shared" si="489"/>
        <v/>
      </c>
      <c r="E3211" t="str">
        <f t="shared" si="490"/>
        <v/>
      </c>
      <c r="F3211">
        <f t="shared" si="491"/>
        <v>4.28571428571429</v>
      </c>
      <c r="G3211" t="str">
        <f t="shared" si="492"/>
        <v/>
      </c>
    </row>
    <row r="3212" spans="2:7">
      <c r="B3212" s="46"/>
      <c r="C3212" t="str">
        <f t="shared" si="488"/>
        <v/>
      </c>
      <c r="D3212" s="63" t="str">
        <f t="shared" si="489"/>
        <v/>
      </c>
      <c r="E3212" t="str">
        <f t="shared" si="490"/>
        <v/>
      </c>
      <c r="F3212" t="str">
        <f t="shared" si="491"/>
        <v/>
      </c>
      <c r="G3212">
        <f t="shared" si="492"/>
        <v>3.43396226415094</v>
      </c>
    </row>
    <row r="3213" spans="2:7">
      <c r="B3213" s="46"/>
      <c r="C3213" t="str">
        <f t="shared" si="488"/>
        <v/>
      </c>
      <c r="D3213" s="63" t="str">
        <f t="shared" si="489"/>
        <v/>
      </c>
      <c r="E3213">
        <f t="shared" si="490"/>
        <v>14.5833333333333</v>
      </c>
      <c r="F3213" t="str">
        <f t="shared" si="491"/>
        <v/>
      </c>
      <c r="G3213" t="str">
        <f t="shared" si="492"/>
        <v/>
      </c>
    </row>
    <row r="3214" spans="2:7">
      <c r="B3214" s="46"/>
      <c r="C3214" t="str">
        <f t="shared" si="488"/>
        <v/>
      </c>
      <c r="D3214" s="63" t="str">
        <f t="shared" si="489"/>
        <v/>
      </c>
      <c r="E3214" t="str">
        <f t="shared" si="490"/>
        <v/>
      </c>
      <c r="F3214">
        <f t="shared" si="491"/>
        <v>6.42857142857143</v>
      </c>
      <c r="G3214" t="str">
        <f t="shared" si="492"/>
        <v/>
      </c>
    </row>
    <row r="3215" spans="2:7">
      <c r="B3215" s="46"/>
      <c r="C3215" t="str">
        <f t="shared" si="488"/>
        <v/>
      </c>
      <c r="D3215" s="63" t="str">
        <f t="shared" si="489"/>
        <v/>
      </c>
      <c r="E3215" t="str">
        <f t="shared" si="490"/>
        <v/>
      </c>
      <c r="F3215" t="str">
        <f t="shared" si="491"/>
        <v/>
      </c>
      <c r="G3215">
        <f t="shared" si="492"/>
        <v>3.84591194968553</v>
      </c>
    </row>
    <row r="3216" spans="2:7">
      <c r="B3216" s="46"/>
      <c r="C3216">
        <f t="shared" si="488"/>
        <v>0.844907407407407</v>
      </c>
      <c r="D3216" s="63" t="str">
        <f t="shared" si="489"/>
        <v/>
      </c>
      <c r="E3216" t="str">
        <f t="shared" si="490"/>
        <v/>
      </c>
      <c r="F3216" t="str">
        <f t="shared" si="491"/>
        <v/>
      </c>
      <c r="G3216" t="str">
        <f t="shared" si="492"/>
        <v/>
      </c>
    </row>
    <row r="3217" spans="2:7">
      <c r="B3217" s="46"/>
      <c r="C3217">
        <f t="shared" si="488"/>
        <v>6.79803240740741</v>
      </c>
      <c r="D3217" s="63" t="str">
        <f t="shared" si="489"/>
        <v/>
      </c>
      <c r="E3217" t="str">
        <f t="shared" si="490"/>
        <v/>
      </c>
      <c r="F3217" t="str">
        <f t="shared" si="491"/>
        <v/>
      </c>
      <c r="G3217" t="str">
        <f t="shared" si="492"/>
        <v/>
      </c>
    </row>
    <row r="3218" spans="2:7">
      <c r="B3218" s="46"/>
      <c r="C3218">
        <f t="shared" si="488"/>
        <v>6.79803240740741</v>
      </c>
      <c r="D3218" s="63" t="str">
        <f t="shared" si="489"/>
        <v/>
      </c>
      <c r="E3218" t="str">
        <f t="shared" si="490"/>
        <v/>
      </c>
      <c r="F3218" t="str">
        <f t="shared" si="491"/>
        <v/>
      </c>
      <c r="G3218" t="str">
        <f t="shared" si="492"/>
        <v/>
      </c>
    </row>
    <row r="3219" spans="2:7">
      <c r="B3219" s="46"/>
      <c r="C3219">
        <f t="shared" si="488"/>
        <v>7.52719907407408</v>
      </c>
      <c r="D3219" s="63" t="str">
        <f t="shared" si="489"/>
        <v/>
      </c>
      <c r="E3219" t="str">
        <f t="shared" si="490"/>
        <v/>
      </c>
      <c r="F3219" t="str">
        <f t="shared" si="491"/>
        <v/>
      </c>
      <c r="G3219" t="str">
        <f t="shared" si="492"/>
        <v/>
      </c>
    </row>
    <row r="3220" spans="2:7">
      <c r="B3220" s="46"/>
      <c r="C3220" t="str">
        <f t="shared" si="488"/>
        <v/>
      </c>
      <c r="D3220" s="63">
        <f t="shared" si="489"/>
        <v>2.7881455399061</v>
      </c>
      <c r="E3220" t="str">
        <f t="shared" si="490"/>
        <v/>
      </c>
      <c r="F3220" t="str">
        <f t="shared" si="491"/>
        <v/>
      </c>
      <c r="G3220" t="str">
        <f t="shared" si="492"/>
        <v/>
      </c>
    </row>
    <row r="3221" spans="2:7">
      <c r="B3221" s="46"/>
      <c r="C3221" t="str">
        <f t="shared" si="488"/>
        <v/>
      </c>
      <c r="D3221" s="63">
        <f t="shared" si="489"/>
        <v>4.47535211267606</v>
      </c>
      <c r="E3221" t="str">
        <f t="shared" si="490"/>
        <v/>
      </c>
      <c r="F3221" t="str">
        <f t="shared" si="491"/>
        <v/>
      </c>
      <c r="G3221" t="str">
        <f t="shared" si="492"/>
        <v/>
      </c>
    </row>
    <row r="3222" spans="2:7">
      <c r="B3222" s="46"/>
      <c r="C3222" t="str">
        <f t="shared" si="488"/>
        <v/>
      </c>
      <c r="D3222" s="63">
        <f t="shared" si="489"/>
        <v>6.10680751173709</v>
      </c>
      <c r="E3222" t="str">
        <f t="shared" si="490"/>
        <v/>
      </c>
      <c r="F3222" t="str">
        <f t="shared" si="491"/>
        <v/>
      </c>
      <c r="G3222" t="str">
        <f t="shared" si="492"/>
        <v/>
      </c>
    </row>
    <row r="3223" spans="2:7">
      <c r="B3223" s="46"/>
      <c r="C3223" t="str">
        <f t="shared" si="488"/>
        <v/>
      </c>
      <c r="D3223" s="63">
        <f t="shared" si="489"/>
        <v>8.50821596244131</v>
      </c>
      <c r="E3223" t="str">
        <f t="shared" si="490"/>
        <v/>
      </c>
      <c r="F3223" t="str">
        <f t="shared" si="491"/>
        <v/>
      </c>
      <c r="G3223" t="str">
        <f t="shared" si="492"/>
        <v/>
      </c>
    </row>
    <row r="3224" spans="2:7">
      <c r="B3224" s="46"/>
      <c r="C3224" t="str">
        <f t="shared" si="488"/>
        <v/>
      </c>
      <c r="D3224" s="63">
        <f t="shared" si="489"/>
        <v>10.268779342723</v>
      </c>
      <c r="E3224" t="str">
        <f t="shared" si="490"/>
        <v/>
      </c>
      <c r="F3224" t="str">
        <f t="shared" si="491"/>
        <v/>
      </c>
      <c r="G3224" t="str">
        <f t="shared" si="492"/>
        <v/>
      </c>
    </row>
    <row r="3225" spans="2:7">
      <c r="B3225" s="46"/>
      <c r="C3225" t="str">
        <f t="shared" si="488"/>
        <v/>
      </c>
      <c r="D3225" s="63" t="str">
        <f t="shared" si="489"/>
        <v/>
      </c>
      <c r="E3225" t="str">
        <f t="shared" si="490"/>
        <v/>
      </c>
      <c r="F3225" t="str">
        <f t="shared" si="491"/>
        <v/>
      </c>
      <c r="G3225">
        <f t="shared" si="492"/>
        <v>7.67610062893082</v>
      </c>
    </row>
    <row r="3226" spans="2:7">
      <c r="B3226" s="46"/>
      <c r="C3226" t="str">
        <f t="shared" si="488"/>
        <v/>
      </c>
      <c r="D3226" s="63" t="str">
        <f t="shared" si="489"/>
        <v/>
      </c>
      <c r="E3226" t="str">
        <f t="shared" si="490"/>
        <v/>
      </c>
      <c r="F3226" t="str">
        <f t="shared" si="491"/>
        <v/>
      </c>
      <c r="G3226">
        <f t="shared" si="492"/>
        <v>10.3836477987421</v>
      </c>
    </row>
    <row r="3227" spans="2:7">
      <c r="B3227" s="46"/>
      <c r="C3227" t="str">
        <f t="shared" si="488"/>
        <v/>
      </c>
      <c r="D3227" s="63" t="str">
        <f t="shared" si="489"/>
        <v/>
      </c>
      <c r="E3227" t="str">
        <f t="shared" si="490"/>
        <v/>
      </c>
      <c r="F3227" t="str">
        <f t="shared" si="491"/>
        <v/>
      </c>
      <c r="G3227">
        <f t="shared" si="492"/>
        <v>13.2138364779874</v>
      </c>
    </row>
    <row r="3228" spans="2:7">
      <c r="B3228" s="46"/>
      <c r="C3228" t="str">
        <f t="shared" si="488"/>
        <v/>
      </c>
      <c r="D3228" s="63" t="str">
        <f t="shared" si="489"/>
        <v/>
      </c>
      <c r="E3228" t="str">
        <f t="shared" si="490"/>
        <v/>
      </c>
      <c r="F3228" t="str">
        <f t="shared" si="491"/>
        <v/>
      </c>
      <c r="G3228">
        <f t="shared" si="492"/>
        <v>14.7243186582809</v>
      </c>
    </row>
    <row r="3229" spans="2:7">
      <c r="B3229" s="46"/>
      <c r="C3229" t="str">
        <f t="shared" si="488"/>
        <v/>
      </c>
      <c r="D3229" s="63" t="str">
        <f t="shared" si="489"/>
        <v/>
      </c>
      <c r="E3229" t="str">
        <f t="shared" si="490"/>
        <v/>
      </c>
      <c r="F3229">
        <f t="shared" si="491"/>
        <v>9.17630385487529</v>
      </c>
      <c r="G3229" t="str">
        <f t="shared" si="492"/>
        <v/>
      </c>
    </row>
    <row r="3230" spans="2:7">
      <c r="B3230" s="46"/>
      <c r="C3230" t="str">
        <f t="shared" si="488"/>
        <v/>
      </c>
      <c r="D3230" s="63" t="str">
        <f t="shared" si="489"/>
        <v/>
      </c>
      <c r="E3230" t="str">
        <f t="shared" si="490"/>
        <v/>
      </c>
      <c r="F3230">
        <f t="shared" si="491"/>
        <v>12.328231292517</v>
      </c>
      <c r="G3230" t="str">
        <f t="shared" si="492"/>
        <v/>
      </c>
    </row>
    <row r="3231" spans="2:7">
      <c r="B3231" s="46"/>
      <c r="C3231" t="str">
        <f t="shared" si="488"/>
        <v/>
      </c>
      <c r="D3231" s="63" t="str">
        <f t="shared" si="489"/>
        <v/>
      </c>
      <c r="E3231" t="str">
        <f t="shared" si="490"/>
        <v/>
      </c>
      <c r="F3231">
        <f t="shared" si="491"/>
        <v>15.0017006802721</v>
      </c>
      <c r="G3231" t="str">
        <f t="shared" si="492"/>
        <v/>
      </c>
    </row>
    <row r="3232" spans="2:7">
      <c r="B3232" s="46"/>
      <c r="C3232">
        <f t="shared" si="488"/>
        <v>10.328125</v>
      </c>
      <c r="D3232" s="63" t="str">
        <f t="shared" si="489"/>
        <v/>
      </c>
      <c r="E3232" t="str">
        <f t="shared" si="490"/>
        <v/>
      </c>
      <c r="F3232" t="str">
        <f t="shared" si="491"/>
        <v/>
      </c>
      <c r="G3232" t="str">
        <f t="shared" si="492"/>
        <v/>
      </c>
    </row>
    <row r="3233" spans="2:7">
      <c r="B3233" s="46"/>
      <c r="C3233">
        <f t="shared" si="488"/>
        <v>14.5908564814815</v>
      </c>
      <c r="D3233" s="63" t="str">
        <f t="shared" si="489"/>
        <v/>
      </c>
      <c r="E3233" t="str">
        <f t="shared" si="490"/>
        <v/>
      </c>
      <c r="F3233" t="str">
        <f t="shared" si="491"/>
        <v/>
      </c>
      <c r="G3233" t="str">
        <f t="shared" si="492"/>
        <v/>
      </c>
    </row>
    <row r="3234" spans="2:7">
      <c r="B3234" s="46"/>
      <c r="C3234">
        <f t="shared" si="488"/>
        <v>14.9409722222222</v>
      </c>
      <c r="D3234" s="63" t="str">
        <f t="shared" si="489"/>
        <v/>
      </c>
      <c r="E3234" t="str">
        <f t="shared" si="490"/>
        <v/>
      </c>
      <c r="F3234" t="str">
        <f t="shared" si="491"/>
        <v/>
      </c>
      <c r="G3234" t="str">
        <f t="shared" si="492"/>
        <v/>
      </c>
    </row>
    <row r="3235" spans="2:7">
      <c r="B3235" s="46"/>
      <c r="C3235">
        <f t="shared" si="488"/>
        <v>19.2465277777778</v>
      </c>
      <c r="D3235" s="63" t="str">
        <f t="shared" si="489"/>
        <v/>
      </c>
      <c r="E3235" t="str">
        <f t="shared" si="490"/>
        <v/>
      </c>
      <c r="F3235" t="str">
        <f t="shared" si="491"/>
        <v/>
      </c>
      <c r="G3235" t="str">
        <f t="shared" si="492"/>
        <v/>
      </c>
    </row>
    <row r="3236" spans="2:7">
      <c r="B3236" s="46"/>
      <c r="C3236" t="str">
        <f t="shared" si="488"/>
        <v/>
      </c>
      <c r="D3236" s="63">
        <f t="shared" si="489"/>
        <v>15.0340375586854</v>
      </c>
      <c r="E3236" t="str">
        <f t="shared" si="490"/>
        <v/>
      </c>
      <c r="F3236" t="str">
        <f t="shared" si="491"/>
        <v/>
      </c>
      <c r="G3236" t="str">
        <f t="shared" si="492"/>
        <v/>
      </c>
    </row>
    <row r="3237" spans="2:7">
      <c r="B3237" s="46"/>
      <c r="C3237" t="str">
        <f t="shared" si="488"/>
        <v/>
      </c>
      <c r="D3237" s="63">
        <f t="shared" si="489"/>
        <v>15.0340375586854</v>
      </c>
      <c r="E3237" t="str">
        <f t="shared" si="490"/>
        <v/>
      </c>
      <c r="F3237" t="str">
        <f t="shared" si="491"/>
        <v/>
      </c>
      <c r="G3237" t="str">
        <f t="shared" si="492"/>
        <v/>
      </c>
    </row>
    <row r="3238" spans="2:7">
      <c r="B3238" s="46"/>
      <c r="C3238" t="str">
        <f t="shared" si="488"/>
        <v/>
      </c>
      <c r="D3238" s="63">
        <f t="shared" si="489"/>
        <v>16.1343896713615</v>
      </c>
      <c r="E3238" t="str">
        <f t="shared" si="490"/>
        <v/>
      </c>
      <c r="F3238" t="str">
        <f t="shared" si="491"/>
        <v/>
      </c>
      <c r="G3238" t="str">
        <f t="shared" si="492"/>
        <v/>
      </c>
    </row>
    <row r="3239" spans="2:7">
      <c r="B3239" s="46"/>
      <c r="C3239" t="str">
        <f t="shared" si="488"/>
        <v/>
      </c>
      <c r="D3239" s="63">
        <f t="shared" si="489"/>
        <v>16.8620892018779</v>
      </c>
      <c r="E3239" t="str">
        <f t="shared" si="490"/>
        <v/>
      </c>
      <c r="F3239" t="str">
        <f t="shared" si="491"/>
        <v/>
      </c>
      <c r="G3239" t="str">
        <f t="shared" si="492"/>
        <v/>
      </c>
    </row>
    <row r="3240" spans="2:7">
      <c r="B3240" s="46"/>
      <c r="C3240" t="str">
        <f t="shared" si="488"/>
        <v/>
      </c>
      <c r="D3240" s="63" t="str">
        <f t="shared" si="489"/>
        <v/>
      </c>
      <c r="E3240">
        <f t="shared" si="490"/>
        <v>16.1245098039216</v>
      </c>
      <c r="F3240" t="str">
        <f t="shared" si="491"/>
        <v/>
      </c>
      <c r="G3240" t="str">
        <f t="shared" si="492"/>
        <v/>
      </c>
    </row>
    <row r="3241" spans="2:7">
      <c r="B3241" s="46"/>
      <c r="C3241" t="str">
        <f t="shared" si="488"/>
        <v/>
      </c>
      <c r="D3241" s="63" t="str">
        <f t="shared" si="489"/>
        <v/>
      </c>
      <c r="E3241">
        <f t="shared" si="490"/>
        <v>17.9225490196078</v>
      </c>
      <c r="F3241" t="str">
        <f t="shared" si="491"/>
        <v/>
      </c>
      <c r="G3241" t="str">
        <f t="shared" si="492"/>
        <v/>
      </c>
    </row>
    <row r="3242" spans="2:7">
      <c r="B3242" s="46"/>
      <c r="C3242" t="str">
        <f t="shared" si="488"/>
        <v/>
      </c>
      <c r="D3242" s="63" t="str">
        <f t="shared" si="489"/>
        <v/>
      </c>
      <c r="E3242">
        <f t="shared" si="490"/>
        <v>18.7166666666667</v>
      </c>
      <c r="F3242" t="str">
        <f t="shared" si="491"/>
        <v/>
      </c>
      <c r="G3242" t="str">
        <f t="shared" si="492"/>
        <v/>
      </c>
    </row>
    <row r="3243" spans="2:7">
      <c r="B3243" s="46"/>
      <c r="C3243" t="str">
        <f t="shared" si="488"/>
        <v/>
      </c>
      <c r="D3243" s="63" t="str">
        <f t="shared" si="489"/>
        <v/>
      </c>
      <c r="E3243">
        <f t="shared" si="490"/>
        <v>18.9539215686275</v>
      </c>
      <c r="F3243" t="str">
        <f t="shared" si="491"/>
        <v/>
      </c>
      <c r="G3243" t="str">
        <f t="shared" si="492"/>
        <v/>
      </c>
    </row>
    <row r="3244" spans="2:7">
      <c r="B3244" s="46"/>
      <c r="C3244" t="str">
        <f t="shared" si="488"/>
        <v/>
      </c>
      <c r="D3244" s="63" t="str">
        <f t="shared" si="489"/>
        <v/>
      </c>
      <c r="E3244" t="str">
        <f t="shared" si="490"/>
        <v/>
      </c>
      <c r="F3244" t="str">
        <f t="shared" si="491"/>
        <v/>
      </c>
      <c r="G3244">
        <f t="shared" si="492"/>
        <v>15.4449685534591</v>
      </c>
    </row>
    <row r="3245" spans="2:7">
      <c r="B3245" s="46"/>
      <c r="C3245" t="str">
        <f t="shared" si="488"/>
        <v/>
      </c>
      <c r="D3245" s="63" t="str">
        <f t="shared" si="489"/>
        <v/>
      </c>
      <c r="E3245" t="str">
        <f t="shared" si="490"/>
        <v/>
      </c>
      <c r="F3245" t="str">
        <f t="shared" si="491"/>
        <v/>
      </c>
      <c r="G3245">
        <f t="shared" si="492"/>
        <v>16.4669811320755</v>
      </c>
    </row>
    <row r="3246" spans="2:7">
      <c r="B3246" s="46"/>
      <c r="C3246" t="str">
        <f t="shared" si="488"/>
        <v/>
      </c>
      <c r="D3246" s="63" t="str">
        <f t="shared" si="489"/>
        <v/>
      </c>
      <c r="E3246" t="str">
        <f t="shared" si="490"/>
        <v/>
      </c>
      <c r="F3246" t="str">
        <f t="shared" si="491"/>
        <v/>
      </c>
      <c r="G3246">
        <f t="shared" si="492"/>
        <v>17.7877358490566</v>
      </c>
    </row>
    <row r="3247" spans="2:7">
      <c r="B3247" s="46"/>
      <c r="C3247" t="str">
        <f t="shared" si="488"/>
        <v/>
      </c>
      <c r="D3247" s="63" t="str">
        <f t="shared" si="489"/>
        <v/>
      </c>
      <c r="E3247" t="str">
        <f t="shared" si="490"/>
        <v/>
      </c>
      <c r="F3247" t="str">
        <f t="shared" si="491"/>
        <v/>
      </c>
      <c r="G3247">
        <f t="shared" si="492"/>
        <v>18.377358490566</v>
      </c>
    </row>
    <row r="3248" spans="2:7">
      <c r="B3248" s="46"/>
      <c r="C3248" t="str">
        <f t="shared" si="488"/>
        <v/>
      </c>
      <c r="D3248" s="63" t="str">
        <f t="shared" si="489"/>
        <v/>
      </c>
      <c r="E3248" t="str">
        <f t="shared" si="490"/>
        <v/>
      </c>
      <c r="F3248">
        <f t="shared" si="491"/>
        <v>15.4234693877551</v>
      </c>
      <c r="G3248" t="str">
        <f t="shared" si="492"/>
        <v/>
      </c>
    </row>
    <row r="3249" spans="2:7">
      <c r="B3249" s="46"/>
      <c r="C3249" t="str">
        <f t="shared" si="488"/>
        <v/>
      </c>
      <c r="D3249" s="63" t="str">
        <f t="shared" si="489"/>
        <v/>
      </c>
      <c r="E3249" t="str">
        <f t="shared" si="490"/>
        <v/>
      </c>
      <c r="F3249">
        <f t="shared" si="491"/>
        <v>16.7698412698413</v>
      </c>
      <c r="G3249" t="str">
        <f t="shared" si="492"/>
        <v/>
      </c>
    </row>
    <row r="3250" spans="2:7">
      <c r="B3250" s="46"/>
      <c r="C3250" t="str">
        <f t="shared" si="488"/>
        <v/>
      </c>
      <c r="D3250" s="63" t="str">
        <f t="shared" si="489"/>
        <v/>
      </c>
      <c r="E3250" t="str">
        <f t="shared" si="490"/>
        <v/>
      </c>
      <c r="F3250">
        <f t="shared" si="491"/>
        <v>18.109410430839</v>
      </c>
      <c r="G3250" t="str">
        <f t="shared" si="492"/>
        <v/>
      </c>
    </row>
    <row r="3251" spans="2:7">
      <c r="B3251" s="46"/>
      <c r="C3251" t="str">
        <f t="shared" si="488"/>
        <v/>
      </c>
      <c r="D3251" s="63" t="str">
        <f t="shared" si="489"/>
        <v/>
      </c>
      <c r="E3251" t="str">
        <f t="shared" si="490"/>
        <v/>
      </c>
      <c r="F3251">
        <f t="shared" si="491"/>
        <v>20.1581632653061</v>
      </c>
      <c r="G3251" t="str">
        <f t="shared" si="492"/>
        <v/>
      </c>
    </row>
    <row r="3252" spans="2:7">
      <c r="B3252" s="46"/>
      <c r="C3252" t="str">
        <f t="shared" si="488"/>
        <v/>
      </c>
      <c r="D3252" s="63" t="str">
        <f t="shared" si="489"/>
        <v/>
      </c>
      <c r="E3252" t="str">
        <f t="shared" si="490"/>
        <v/>
      </c>
      <c r="F3252">
        <f t="shared" si="491"/>
        <v>22.1581632653061</v>
      </c>
      <c r="G3252" t="str">
        <f t="shared" si="492"/>
        <v/>
      </c>
    </row>
    <row r="3253" spans="2:7">
      <c r="B3253" s="46"/>
      <c r="C3253" t="str">
        <f t="shared" si="488"/>
        <v/>
      </c>
      <c r="D3253" s="63" t="str">
        <f t="shared" si="489"/>
        <v/>
      </c>
      <c r="E3253" t="str">
        <f t="shared" si="490"/>
        <v/>
      </c>
      <c r="F3253">
        <f t="shared" si="491"/>
        <v>22.8781179138322</v>
      </c>
      <c r="G3253" t="str">
        <f t="shared" si="492"/>
        <v/>
      </c>
    </row>
    <row r="3254" spans="2:7">
      <c r="B3254" s="46"/>
      <c r="C3254" t="str">
        <f t="shared" si="488"/>
        <v/>
      </c>
      <c r="D3254" s="63">
        <f t="shared" si="489"/>
        <v>17.3022300469484</v>
      </c>
      <c r="E3254" t="str">
        <f t="shared" si="490"/>
        <v/>
      </c>
      <c r="F3254" t="str">
        <f t="shared" si="491"/>
        <v/>
      </c>
      <c r="G3254" t="str">
        <f t="shared" si="492"/>
        <v/>
      </c>
    </row>
    <row r="3255" spans="2:7">
      <c r="B3255" s="46"/>
      <c r="C3255" t="str">
        <f t="shared" si="488"/>
        <v/>
      </c>
      <c r="D3255" s="63">
        <f t="shared" si="489"/>
        <v>22.837441314554</v>
      </c>
      <c r="E3255" t="str">
        <f t="shared" si="490"/>
        <v/>
      </c>
      <c r="F3255" t="str">
        <f t="shared" si="491"/>
        <v/>
      </c>
      <c r="G3255" t="str">
        <f t="shared" si="492"/>
        <v/>
      </c>
    </row>
    <row r="3256" spans="2:7">
      <c r="B3256" s="46"/>
      <c r="C3256" t="str">
        <f t="shared" si="488"/>
        <v/>
      </c>
      <c r="D3256" s="63">
        <f t="shared" si="489"/>
        <v>23.7089201877934</v>
      </c>
      <c r="E3256" t="str">
        <f t="shared" si="490"/>
        <v/>
      </c>
      <c r="F3256" t="str">
        <f t="shared" si="491"/>
        <v/>
      </c>
      <c r="G3256" t="str">
        <f t="shared" si="492"/>
        <v/>
      </c>
    </row>
    <row r="3257" spans="2:7">
      <c r="B3257" s="46"/>
      <c r="C3257" t="str">
        <f t="shared" si="488"/>
        <v/>
      </c>
      <c r="D3257" s="63">
        <f t="shared" si="489"/>
        <v>24.3427230046948</v>
      </c>
      <c r="E3257" t="str">
        <f t="shared" si="490"/>
        <v/>
      </c>
      <c r="F3257" t="str">
        <f t="shared" si="491"/>
        <v/>
      </c>
      <c r="G3257" t="str">
        <f t="shared" si="492"/>
        <v/>
      </c>
    </row>
    <row r="3258" spans="2:7">
      <c r="B3258" s="46"/>
      <c r="C3258" t="str">
        <f t="shared" si="488"/>
        <v/>
      </c>
      <c r="D3258" s="63">
        <f t="shared" si="489"/>
        <v>27.5704225352113</v>
      </c>
      <c r="E3258" t="str">
        <f t="shared" si="490"/>
        <v/>
      </c>
      <c r="F3258" t="str">
        <f t="shared" si="491"/>
        <v/>
      </c>
      <c r="G3258" t="str">
        <f t="shared" si="492"/>
        <v/>
      </c>
    </row>
    <row r="3259" spans="2:7">
      <c r="B3259" s="46"/>
      <c r="C3259" t="str">
        <f t="shared" si="488"/>
        <v/>
      </c>
      <c r="D3259" s="63" t="str">
        <f t="shared" si="489"/>
        <v/>
      </c>
      <c r="E3259" t="str">
        <f t="shared" si="490"/>
        <v/>
      </c>
      <c r="F3259" t="str">
        <f t="shared" si="491"/>
        <v/>
      </c>
      <c r="G3259">
        <f t="shared" si="492"/>
        <v>19.1949685534591</v>
      </c>
    </row>
    <row r="3260" spans="2:7">
      <c r="B3260" s="46"/>
      <c r="C3260" t="str">
        <f t="shared" si="488"/>
        <v/>
      </c>
      <c r="D3260" s="63" t="str">
        <f t="shared" si="489"/>
        <v/>
      </c>
      <c r="E3260" t="str">
        <f t="shared" si="490"/>
        <v/>
      </c>
      <c r="F3260" t="str">
        <f t="shared" si="491"/>
        <v/>
      </c>
      <c r="G3260">
        <f t="shared" si="492"/>
        <v>21.9606918238994</v>
      </c>
    </row>
    <row r="3261" spans="2:7">
      <c r="B3261" s="46"/>
      <c r="C3261" t="str">
        <f t="shared" si="488"/>
        <v/>
      </c>
      <c r="D3261" s="63" t="str">
        <f t="shared" si="489"/>
        <v/>
      </c>
      <c r="E3261" t="str">
        <f t="shared" si="490"/>
        <v/>
      </c>
      <c r="F3261" t="str">
        <f t="shared" si="491"/>
        <v/>
      </c>
      <c r="G3261">
        <f t="shared" si="492"/>
        <v>21.9606918238994</v>
      </c>
    </row>
    <row r="3262" spans="2:7">
      <c r="B3262" s="46"/>
      <c r="C3262" t="str">
        <f t="shared" si="488"/>
        <v/>
      </c>
      <c r="D3262" s="63" t="str">
        <f t="shared" si="489"/>
        <v/>
      </c>
      <c r="E3262" t="str">
        <f t="shared" si="490"/>
        <v/>
      </c>
      <c r="F3262" t="str">
        <f t="shared" si="491"/>
        <v/>
      </c>
      <c r="G3262">
        <f t="shared" si="492"/>
        <v>25.2222222222222</v>
      </c>
    </row>
    <row r="3263" spans="2:7">
      <c r="B3263" s="46"/>
      <c r="C3263" t="str">
        <f t="shared" si="488"/>
        <v/>
      </c>
      <c r="D3263" s="63" t="str">
        <f t="shared" si="489"/>
        <v/>
      </c>
      <c r="E3263">
        <f t="shared" si="490"/>
        <v>22.268137254902</v>
      </c>
      <c r="F3263" t="str">
        <f t="shared" si="491"/>
        <v/>
      </c>
      <c r="G3263" t="str">
        <f t="shared" si="492"/>
        <v/>
      </c>
    </row>
    <row r="3264" spans="2:7">
      <c r="B3264" s="46"/>
      <c r="C3264" t="str">
        <f t="shared" si="488"/>
        <v/>
      </c>
      <c r="D3264" s="63" t="str">
        <f t="shared" si="489"/>
        <v/>
      </c>
      <c r="E3264">
        <f t="shared" si="490"/>
        <v>22.268137254902</v>
      </c>
      <c r="F3264" t="str">
        <f t="shared" si="491"/>
        <v/>
      </c>
      <c r="G3264" t="str">
        <f t="shared" si="492"/>
        <v/>
      </c>
    </row>
    <row r="3265" spans="2:7">
      <c r="B3265" s="46"/>
      <c r="C3265" t="str">
        <f t="shared" si="488"/>
        <v/>
      </c>
      <c r="D3265" s="63" t="str">
        <f t="shared" si="489"/>
        <v/>
      </c>
      <c r="E3265">
        <f t="shared" si="490"/>
        <v>24.6995098039216</v>
      </c>
      <c r="F3265" t="str">
        <f t="shared" si="491"/>
        <v/>
      </c>
      <c r="G3265" t="str">
        <f t="shared" si="492"/>
        <v/>
      </c>
    </row>
    <row r="3266" spans="2:7">
      <c r="B3266" s="46"/>
      <c r="C3266" t="str">
        <f t="shared" si="488"/>
        <v/>
      </c>
      <c r="D3266" s="63" t="str">
        <f t="shared" si="489"/>
        <v/>
      </c>
      <c r="E3266">
        <f t="shared" si="490"/>
        <v>25.3416666666667</v>
      </c>
      <c r="F3266" t="str">
        <f t="shared" si="491"/>
        <v/>
      </c>
      <c r="G3266" t="str">
        <f t="shared" si="492"/>
        <v/>
      </c>
    </row>
    <row r="3267" spans="2:7">
      <c r="B3267" s="46"/>
      <c r="C3267">
        <f t="shared" si="488"/>
        <v>19.5358796296296</v>
      </c>
      <c r="D3267" s="63" t="str">
        <f t="shared" si="489"/>
        <v/>
      </c>
      <c r="E3267" t="str">
        <f t="shared" si="490"/>
        <v/>
      </c>
      <c r="F3267" t="str">
        <f t="shared" si="491"/>
        <v/>
      </c>
      <c r="G3267" t="str">
        <f t="shared" si="492"/>
        <v/>
      </c>
    </row>
    <row r="3268" spans="2:7">
      <c r="B3268" s="46"/>
      <c r="C3268">
        <f t="shared" si="488"/>
        <v>20.1608796296296</v>
      </c>
      <c r="D3268" s="63" t="str">
        <f t="shared" si="489"/>
        <v/>
      </c>
      <c r="E3268" t="str">
        <f t="shared" si="490"/>
        <v/>
      </c>
      <c r="F3268" t="str">
        <f t="shared" si="491"/>
        <v/>
      </c>
      <c r="G3268" t="str">
        <f t="shared" si="492"/>
        <v/>
      </c>
    </row>
    <row r="3269" spans="2:7">
      <c r="B3269" s="46"/>
      <c r="C3269">
        <f t="shared" si="488"/>
        <v>21.7233796296296</v>
      </c>
      <c r="D3269" s="63" t="str">
        <f t="shared" si="489"/>
        <v/>
      </c>
      <c r="E3269" t="str">
        <f t="shared" si="490"/>
        <v/>
      </c>
      <c r="F3269" t="str">
        <f t="shared" si="491"/>
        <v/>
      </c>
      <c r="G3269" t="str">
        <f t="shared" si="492"/>
        <v/>
      </c>
    </row>
    <row r="3270" spans="2:7">
      <c r="B3270" s="46"/>
      <c r="C3270">
        <f t="shared" si="488"/>
        <v>22.7054398148148</v>
      </c>
      <c r="D3270" s="63" t="str">
        <f t="shared" si="489"/>
        <v/>
      </c>
      <c r="E3270" t="str">
        <f t="shared" si="490"/>
        <v/>
      </c>
      <c r="F3270" t="str">
        <f t="shared" si="491"/>
        <v/>
      </c>
      <c r="G3270" t="str">
        <f t="shared" si="492"/>
        <v/>
      </c>
    </row>
    <row r="3271" spans="2:7">
      <c r="B3271" s="46"/>
      <c r="C3271">
        <f t="shared" si="488"/>
        <v>22.7054398148148</v>
      </c>
      <c r="D3271" s="63" t="str">
        <f t="shared" si="489"/>
        <v/>
      </c>
      <c r="E3271" t="str">
        <f t="shared" si="490"/>
        <v/>
      </c>
      <c r="F3271" t="str">
        <f t="shared" si="491"/>
        <v/>
      </c>
      <c r="G3271" t="str">
        <f t="shared" si="492"/>
        <v/>
      </c>
    </row>
    <row r="3272" spans="2:7">
      <c r="B3272" s="46"/>
      <c r="C3272">
        <f t="shared" ref="C3272:C3281" si="493">IF(J72=1,S72,"")</f>
        <v>22.8512731481482</v>
      </c>
      <c r="D3272" s="63" t="str">
        <f t="shared" ref="D3272:D3281" si="494">IF(J72=2,S72,"")</f>
        <v/>
      </c>
      <c r="E3272" t="str">
        <f t="shared" ref="E3272:E3281" si="495">IF(J72=3,S72,"")</f>
        <v/>
      </c>
      <c r="F3272" t="str">
        <f t="shared" ref="F3272:F3281" si="496">IF(J72=4,S72,"")</f>
        <v/>
      </c>
      <c r="G3272" t="str">
        <f t="shared" ref="G3272:G3281" si="497">IF(J72=5,S72,"")</f>
        <v/>
      </c>
    </row>
    <row r="3273" spans="2:7">
      <c r="B3273" s="46"/>
      <c r="C3273">
        <f t="shared" si="493"/>
        <v>34.4068287037037</v>
      </c>
      <c r="D3273" s="63" t="str">
        <f t="shared" si="494"/>
        <v/>
      </c>
      <c r="E3273" t="str">
        <f t="shared" si="495"/>
        <v/>
      </c>
      <c r="F3273" t="str">
        <f t="shared" si="496"/>
        <v/>
      </c>
      <c r="G3273" t="str">
        <f t="shared" si="497"/>
        <v/>
      </c>
    </row>
    <row r="3274" spans="2:7">
      <c r="B3274" s="46"/>
      <c r="C3274">
        <f t="shared" si="493"/>
        <v>34.4068287037037</v>
      </c>
      <c r="D3274" s="63" t="str">
        <f t="shared" si="494"/>
        <v/>
      </c>
      <c r="E3274" t="str">
        <f t="shared" si="495"/>
        <v/>
      </c>
      <c r="F3274" t="str">
        <f t="shared" si="496"/>
        <v/>
      </c>
      <c r="G3274" t="str">
        <f t="shared" si="497"/>
        <v/>
      </c>
    </row>
    <row r="3275" spans="2:7">
      <c r="B3275" s="46"/>
      <c r="C3275">
        <f t="shared" si="493"/>
        <v>35.5827546296296</v>
      </c>
      <c r="D3275" s="63" t="str">
        <f t="shared" si="494"/>
        <v/>
      </c>
      <c r="E3275" t="str">
        <f t="shared" si="495"/>
        <v/>
      </c>
      <c r="F3275" t="str">
        <f t="shared" si="496"/>
        <v/>
      </c>
      <c r="G3275" t="str">
        <f t="shared" si="497"/>
        <v/>
      </c>
    </row>
    <row r="3276" spans="2:7">
      <c r="B3276" s="46"/>
      <c r="C3276">
        <f t="shared" si="493"/>
        <v>36.7893518518519</v>
      </c>
      <c r="D3276" s="63" t="str">
        <f t="shared" si="494"/>
        <v/>
      </c>
      <c r="E3276" t="str">
        <f t="shared" si="495"/>
        <v/>
      </c>
      <c r="F3276" t="str">
        <f t="shared" si="496"/>
        <v/>
      </c>
      <c r="G3276" t="str">
        <f t="shared" si="497"/>
        <v/>
      </c>
    </row>
    <row r="3277" spans="2:7">
      <c r="B3277" s="46"/>
      <c r="C3277" t="str">
        <f t="shared" si="493"/>
        <v/>
      </c>
      <c r="D3277" s="63" t="str">
        <f t="shared" si="494"/>
        <v/>
      </c>
      <c r="E3277" t="str">
        <f t="shared" si="495"/>
        <v/>
      </c>
      <c r="F3277">
        <f t="shared" si="496"/>
        <v>23.4404761904762</v>
      </c>
      <c r="G3277" t="str">
        <f t="shared" si="497"/>
        <v/>
      </c>
    </row>
    <row r="3278" spans="2:7">
      <c r="B3278" s="46"/>
      <c r="C3278" t="str">
        <f t="shared" si="493"/>
        <v/>
      </c>
      <c r="D3278" s="63" t="str">
        <f t="shared" si="494"/>
        <v/>
      </c>
      <c r="E3278" t="str">
        <f t="shared" si="495"/>
        <v/>
      </c>
      <c r="F3278">
        <f t="shared" si="496"/>
        <v>24.3616780045352</v>
      </c>
      <c r="G3278" t="str">
        <f t="shared" si="497"/>
        <v/>
      </c>
    </row>
    <row r="3279" spans="2:7">
      <c r="B3279" s="46"/>
      <c r="C3279" t="str">
        <f t="shared" si="493"/>
        <v/>
      </c>
      <c r="D3279" s="63" t="str">
        <f t="shared" si="494"/>
        <v/>
      </c>
      <c r="E3279" t="str">
        <f t="shared" si="495"/>
        <v/>
      </c>
      <c r="F3279">
        <f t="shared" si="496"/>
        <v>25.8378684807256</v>
      </c>
      <c r="G3279" t="str">
        <f t="shared" si="497"/>
        <v/>
      </c>
    </row>
    <row r="3280" spans="2:7">
      <c r="B3280" s="46"/>
      <c r="C3280" t="str">
        <f t="shared" si="493"/>
        <v/>
      </c>
      <c r="D3280" s="63" t="str">
        <f t="shared" si="494"/>
        <v/>
      </c>
      <c r="E3280" t="str">
        <f t="shared" si="495"/>
        <v/>
      </c>
      <c r="F3280">
        <f t="shared" si="496"/>
        <v>29.4625850340136</v>
      </c>
      <c r="G3280" t="str">
        <f t="shared" si="497"/>
        <v/>
      </c>
    </row>
    <row r="3281" ht="15.75" spans="2:7">
      <c r="B3281" s="46"/>
      <c r="C3281" t="str">
        <f t="shared" si="493"/>
        <v/>
      </c>
      <c r="D3281" s="63" t="str">
        <f t="shared" si="494"/>
        <v/>
      </c>
      <c r="E3281" t="str">
        <f t="shared" si="495"/>
        <v/>
      </c>
      <c r="F3281">
        <f t="shared" si="496"/>
        <v>30.092970521542</v>
      </c>
      <c r="G3281" t="str">
        <f t="shared" si="497"/>
        <v/>
      </c>
    </row>
    <row r="3282" spans="2:7">
      <c r="B3282" s="74" t="s">
        <v>269</v>
      </c>
      <c r="C3282" s="75">
        <f>MAX(C3208:C3281)</f>
        <v>36.7893518518519</v>
      </c>
      <c r="D3282" s="75">
        <f t="shared" ref="D3282:G3282" si="498">MAX(D3208:D3281)</f>
        <v>27.5704225352113</v>
      </c>
      <c r="E3282" s="75">
        <f t="shared" si="498"/>
        <v>25.3416666666667</v>
      </c>
      <c r="F3282" s="75">
        <f t="shared" si="498"/>
        <v>30.092970521542</v>
      </c>
      <c r="G3282" s="75">
        <f t="shared" si="498"/>
        <v>25.2222222222222</v>
      </c>
    </row>
    <row r="3283" spans="2:7">
      <c r="B3283" s="76" t="s">
        <v>270</v>
      </c>
      <c r="C3283" s="77">
        <v>1</v>
      </c>
      <c r="D3283" s="78">
        <v>2</v>
      </c>
      <c r="E3283">
        <v>3</v>
      </c>
      <c r="F3283">
        <v>4</v>
      </c>
      <c r="G3283">
        <v>5</v>
      </c>
    </row>
    <row r="3284" spans="2:7">
      <c r="B3284" s="79" t="s">
        <v>271</v>
      </c>
      <c r="C3284" s="72">
        <f>HLOOKUP(MIN(C3282:G3282),C3282:G3283,2,FALSE)</f>
        <v>5</v>
      </c>
      <c r="D3284" s="80"/>
    </row>
    <row r="3286" ht="15.75" spans="2:7">
      <c r="B3286" s="43" t="s">
        <v>345</v>
      </c>
      <c r="C3286" s="44"/>
      <c r="D3286" s="45"/>
    </row>
    <row r="3287" spans="2:7">
      <c r="B3287" s="46"/>
      <c r="C3287" s="61" t="s">
        <v>264</v>
      </c>
      <c r="D3287" s="61" t="s">
        <v>265</v>
      </c>
      <c r="E3287" s="62" t="s">
        <v>286</v>
      </c>
      <c r="F3287" s="62" t="s">
        <v>287</v>
      </c>
      <c r="G3287" s="62" t="s">
        <v>288</v>
      </c>
    </row>
    <row r="3288" spans="2:7">
      <c r="B3288" s="46"/>
      <c r="C3288">
        <f>IF(J8=1,S8,"")</f>
        <v>0.700231481481482</v>
      </c>
      <c r="D3288" s="63" t="str">
        <f>IF(J8=2,S8,"")</f>
        <v/>
      </c>
      <c r="E3288" t="str">
        <f>IF(J8=3,S8,"")</f>
        <v/>
      </c>
      <c r="F3288" t="str">
        <f>IF(J8=4,S8,"")</f>
        <v/>
      </c>
      <c r="G3288" t="str">
        <f>IF(J8=5,S8,"")</f>
        <v/>
      </c>
    </row>
    <row r="3289" spans="2:7">
      <c r="B3289" s="46"/>
      <c r="C3289" t="str">
        <f t="shared" ref="C3289:C3352" si="499">IF(J9=1,S9,"")</f>
        <v/>
      </c>
      <c r="D3289" s="63">
        <f t="shared" ref="D3289:D3352" si="500">IF(J9=2,S9,"")</f>
        <v>0.734154929577465</v>
      </c>
      <c r="E3289" t="str">
        <f t="shared" ref="E3289:E3352" si="501">IF(J9=3,S9,"")</f>
        <v/>
      </c>
      <c r="F3289" t="str">
        <f t="shared" ref="F3289:F3352" si="502">IF(J9=4,S9,"")</f>
        <v/>
      </c>
      <c r="G3289" t="str">
        <f t="shared" ref="G3289:G3352" si="503">IF(J9=5,S9,"")</f>
        <v/>
      </c>
    </row>
    <row r="3290" spans="2:7">
      <c r="B3290" s="46"/>
      <c r="C3290" t="str">
        <f t="shared" si="499"/>
        <v/>
      </c>
      <c r="D3290" s="63" t="str">
        <f t="shared" si="500"/>
        <v/>
      </c>
      <c r="E3290">
        <f t="shared" si="501"/>
        <v>1.83823529411765</v>
      </c>
      <c r="F3290" t="str">
        <f t="shared" si="502"/>
        <v/>
      </c>
      <c r="G3290" t="str">
        <f t="shared" si="503"/>
        <v/>
      </c>
    </row>
    <row r="3291" spans="2:7">
      <c r="B3291" s="46"/>
      <c r="C3291" t="str">
        <f t="shared" si="499"/>
        <v/>
      </c>
      <c r="D3291" s="63" t="str">
        <f t="shared" si="500"/>
        <v/>
      </c>
      <c r="E3291" t="str">
        <f t="shared" si="501"/>
        <v/>
      </c>
      <c r="F3291">
        <f t="shared" si="502"/>
        <v>4.28571428571429</v>
      </c>
      <c r="G3291" t="str">
        <f t="shared" si="503"/>
        <v/>
      </c>
    </row>
    <row r="3292" spans="2:7">
      <c r="B3292" s="46"/>
      <c r="C3292" t="str">
        <f t="shared" si="499"/>
        <v/>
      </c>
      <c r="D3292" s="63" t="str">
        <f t="shared" si="500"/>
        <v/>
      </c>
      <c r="E3292" t="str">
        <f t="shared" si="501"/>
        <v/>
      </c>
      <c r="F3292" t="str">
        <f t="shared" si="502"/>
        <v/>
      </c>
      <c r="G3292">
        <f t="shared" si="503"/>
        <v>3.43396226415094</v>
      </c>
    </row>
    <row r="3293" spans="2:7">
      <c r="B3293" s="46"/>
      <c r="C3293" t="str">
        <f t="shared" si="499"/>
        <v/>
      </c>
      <c r="D3293" s="63" t="str">
        <f t="shared" si="500"/>
        <v/>
      </c>
      <c r="E3293">
        <f t="shared" si="501"/>
        <v>14.5833333333333</v>
      </c>
      <c r="F3293" t="str">
        <f t="shared" si="502"/>
        <v/>
      </c>
      <c r="G3293" t="str">
        <f t="shared" si="503"/>
        <v/>
      </c>
    </row>
    <row r="3294" spans="2:7">
      <c r="B3294" s="46"/>
      <c r="C3294" t="str">
        <f t="shared" si="499"/>
        <v/>
      </c>
      <c r="D3294" s="63" t="str">
        <f t="shared" si="500"/>
        <v/>
      </c>
      <c r="E3294" t="str">
        <f t="shared" si="501"/>
        <v/>
      </c>
      <c r="F3294">
        <f t="shared" si="502"/>
        <v>6.42857142857143</v>
      </c>
      <c r="G3294" t="str">
        <f t="shared" si="503"/>
        <v/>
      </c>
    </row>
    <row r="3295" spans="2:7">
      <c r="B3295" s="46"/>
      <c r="C3295" t="str">
        <f t="shared" si="499"/>
        <v/>
      </c>
      <c r="D3295" s="63" t="str">
        <f t="shared" si="500"/>
        <v/>
      </c>
      <c r="E3295" t="str">
        <f t="shared" si="501"/>
        <v/>
      </c>
      <c r="F3295" t="str">
        <f t="shared" si="502"/>
        <v/>
      </c>
      <c r="G3295">
        <f t="shared" si="503"/>
        <v>3.84591194968553</v>
      </c>
    </row>
    <row r="3296" spans="2:7">
      <c r="B3296" s="46"/>
      <c r="C3296">
        <f t="shared" si="499"/>
        <v>0.844907407407407</v>
      </c>
      <c r="D3296" s="63" t="str">
        <f t="shared" si="500"/>
        <v/>
      </c>
      <c r="E3296" t="str">
        <f t="shared" si="501"/>
        <v/>
      </c>
      <c r="F3296" t="str">
        <f t="shared" si="502"/>
        <v/>
      </c>
      <c r="G3296" t="str">
        <f t="shared" si="503"/>
        <v/>
      </c>
    </row>
    <row r="3297" spans="2:7">
      <c r="B3297" s="46"/>
      <c r="C3297">
        <f t="shared" si="499"/>
        <v>6.79803240740741</v>
      </c>
      <c r="D3297" s="63" t="str">
        <f t="shared" si="500"/>
        <v/>
      </c>
      <c r="E3297" t="str">
        <f t="shared" si="501"/>
        <v/>
      </c>
      <c r="F3297" t="str">
        <f t="shared" si="502"/>
        <v/>
      </c>
      <c r="G3297" t="str">
        <f t="shared" si="503"/>
        <v/>
      </c>
    </row>
    <row r="3298" spans="2:7">
      <c r="B3298" s="46"/>
      <c r="C3298">
        <f t="shared" si="499"/>
        <v>6.79803240740741</v>
      </c>
      <c r="D3298" s="63" t="str">
        <f t="shared" si="500"/>
        <v/>
      </c>
      <c r="E3298" t="str">
        <f t="shared" si="501"/>
        <v/>
      </c>
      <c r="F3298" t="str">
        <f t="shared" si="502"/>
        <v/>
      </c>
      <c r="G3298" t="str">
        <f t="shared" si="503"/>
        <v/>
      </c>
    </row>
    <row r="3299" spans="2:7">
      <c r="B3299" s="46"/>
      <c r="C3299">
        <f t="shared" si="499"/>
        <v>7.52719907407408</v>
      </c>
      <c r="D3299" s="63" t="str">
        <f t="shared" si="500"/>
        <v/>
      </c>
      <c r="E3299" t="str">
        <f t="shared" si="501"/>
        <v/>
      </c>
      <c r="F3299" t="str">
        <f t="shared" si="502"/>
        <v/>
      </c>
      <c r="G3299" t="str">
        <f t="shared" si="503"/>
        <v/>
      </c>
    </row>
    <row r="3300" spans="2:7">
      <c r="B3300" s="46"/>
      <c r="C3300" t="str">
        <f t="shared" si="499"/>
        <v/>
      </c>
      <c r="D3300" s="63">
        <f t="shared" si="500"/>
        <v>2.7881455399061</v>
      </c>
      <c r="E3300" t="str">
        <f t="shared" si="501"/>
        <v/>
      </c>
      <c r="F3300" t="str">
        <f t="shared" si="502"/>
        <v/>
      </c>
      <c r="G3300" t="str">
        <f t="shared" si="503"/>
        <v/>
      </c>
    </row>
    <row r="3301" spans="2:7">
      <c r="B3301" s="46"/>
      <c r="C3301" t="str">
        <f t="shared" si="499"/>
        <v/>
      </c>
      <c r="D3301" s="63">
        <f t="shared" si="500"/>
        <v>4.47535211267606</v>
      </c>
      <c r="E3301" t="str">
        <f t="shared" si="501"/>
        <v/>
      </c>
      <c r="F3301" t="str">
        <f t="shared" si="502"/>
        <v/>
      </c>
      <c r="G3301" t="str">
        <f t="shared" si="503"/>
        <v/>
      </c>
    </row>
    <row r="3302" spans="2:7">
      <c r="B3302" s="46"/>
      <c r="C3302" t="str">
        <f t="shared" si="499"/>
        <v/>
      </c>
      <c r="D3302" s="63">
        <f t="shared" si="500"/>
        <v>6.10680751173709</v>
      </c>
      <c r="E3302" t="str">
        <f t="shared" si="501"/>
        <v/>
      </c>
      <c r="F3302" t="str">
        <f t="shared" si="502"/>
        <v/>
      </c>
      <c r="G3302" t="str">
        <f t="shared" si="503"/>
        <v/>
      </c>
    </row>
    <row r="3303" spans="2:7">
      <c r="B3303" s="46"/>
      <c r="C3303" t="str">
        <f t="shared" si="499"/>
        <v/>
      </c>
      <c r="D3303" s="63">
        <f t="shared" si="500"/>
        <v>8.50821596244131</v>
      </c>
      <c r="E3303" t="str">
        <f t="shared" si="501"/>
        <v/>
      </c>
      <c r="F3303" t="str">
        <f t="shared" si="502"/>
        <v/>
      </c>
      <c r="G3303" t="str">
        <f t="shared" si="503"/>
        <v/>
      </c>
    </row>
    <row r="3304" spans="2:7">
      <c r="B3304" s="46"/>
      <c r="C3304" t="str">
        <f t="shared" si="499"/>
        <v/>
      </c>
      <c r="D3304" s="63">
        <f t="shared" si="500"/>
        <v>10.268779342723</v>
      </c>
      <c r="E3304" t="str">
        <f t="shared" si="501"/>
        <v/>
      </c>
      <c r="F3304" t="str">
        <f t="shared" si="502"/>
        <v/>
      </c>
      <c r="G3304" t="str">
        <f t="shared" si="503"/>
        <v/>
      </c>
    </row>
    <row r="3305" spans="2:7">
      <c r="B3305" s="46"/>
      <c r="C3305" t="str">
        <f t="shared" si="499"/>
        <v/>
      </c>
      <c r="D3305" s="63" t="str">
        <f t="shared" si="500"/>
        <v/>
      </c>
      <c r="E3305" t="str">
        <f t="shared" si="501"/>
        <v/>
      </c>
      <c r="F3305" t="str">
        <f t="shared" si="502"/>
        <v/>
      </c>
      <c r="G3305">
        <f t="shared" si="503"/>
        <v>7.67610062893082</v>
      </c>
    </row>
    <row r="3306" spans="2:7">
      <c r="B3306" s="46"/>
      <c r="C3306" t="str">
        <f t="shared" si="499"/>
        <v/>
      </c>
      <c r="D3306" s="63" t="str">
        <f t="shared" si="500"/>
        <v/>
      </c>
      <c r="E3306" t="str">
        <f t="shared" si="501"/>
        <v/>
      </c>
      <c r="F3306" t="str">
        <f t="shared" si="502"/>
        <v/>
      </c>
      <c r="G3306">
        <f t="shared" si="503"/>
        <v>10.3836477987421</v>
      </c>
    </row>
    <row r="3307" spans="2:7">
      <c r="B3307" s="46"/>
      <c r="C3307" t="str">
        <f t="shared" si="499"/>
        <v/>
      </c>
      <c r="D3307" s="63" t="str">
        <f t="shared" si="500"/>
        <v/>
      </c>
      <c r="E3307" t="str">
        <f t="shared" si="501"/>
        <v/>
      </c>
      <c r="F3307" t="str">
        <f t="shared" si="502"/>
        <v/>
      </c>
      <c r="G3307">
        <f t="shared" si="503"/>
        <v>13.2138364779874</v>
      </c>
    </row>
    <row r="3308" spans="2:7">
      <c r="B3308" s="46"/>
      <c r="C3308" t="str">
        <f t="shared" si="499"/>
        <v/>
      </c>
      <c r="D3308" s="63" t="str">
        <f t="shared" si="500"/>
        <v/>
      </c>
      <c r="E3308" t="str">
        <f t="shared" si="501"/>
        <v/>
      </c>
      <c r="F3308" t="str">
        <f t="shared" si="502"/>
        <v/>
      </c>
      <c r="G3308">
        <f t="shared" si="503"/>
        <v>14.7243186582809</v>
      </c>
    </row>
    <row r="3309" spans="2:7">
      <c r="B3309" s="46"/>
      <c r="C3309" t="str">
        <f t="shared" si="499"/>
        <v/>
      </c>
      <c r="D3309" s="63" t="str">
        <f t="shared" si="500"/>
        <v/>
      </c>
      <c r="E3309" t="str">
        <f t="shared" si="501"/>
        <v/>
      </c>
      <c r="F3309">
        <f t="shared" si="502"/>
        <v>9.17630385487529</v>
      </c>
      <c r="G3309" t="str">
        <f t="shared" si="503"/>
        <v/>
      </c>
    </row>
    <row r="3310" spans="2:7">
      <c r="B3310" s="46"/>
      <c r="C3310" t="str">
        <f t="shared" si="499"/>
        <v/>
      </c>
      <c r="D3310" s="63" t="str">
        <f t="shared" si="500"/>
        <v/>
      </c>
      <c r="E3310" t="str">
        <f t="shared" si="501"/>
        <v/>
      </c>
      <c r="F3310">
        <f t="shared" si="502"/>
        <v>12.328231292517</v>
      </c>
      <c r="G3310" t="str">
        <f t="shared" si="503"/>
        <v/>
      </c>
    </row>
    <row r="3311" spans="2:7">
      <c r="B3311" s="46"/>
      <c r="C3311" t="str">
        <f t="shared" si="499"/>
        <v/>
      </c>
      <c r="D3311" s="63" t="str">
        <f t="shared" si="500"/>
        <v/>
      </c>
      <c r="E3311" t="str">
        <f t="shared" si="501"/>
        <v/>
      </c>
      <c r="F3311">
        <f t="shared" si="502"/>
        <v>15.0017006802721</v>
      </c>
      <c r="G3311" t="str">
        <f t="shared" si="503"/>
        <v/>
      </c>
    </row>
    <row r="3312" spans="2:7">
      <c r="B3312" s="46"/>
      <c r="C3312">
        <f t="shared" si="499"/>
        <v>10.328125</v>
      </c>
      <c r="D3312" s="63" t="str">
        <f t="shared" si="500"/>
        <v/>
      </c>
      <c r="E3312" t="str">
        <f t="shared" si="501"/>
        <v/>
      </c>
      <c r="F3312" t="str">
        <f t="shared" si="502"/>
        <v/>
      </c>
      <c r="G3312" t="str">
        <f t="shared" si="503"/>
        <v/>
      </c>
    </row>
    <row r="3313" spans="2:7">
      <c r="B3313" s="46"/>
      <c r="C3313">
        <f t="shared" si="499"/>
        <v>14.5908564814815</v>
      </c>
      <c r="D3313" s="63" t="str">
        <f t="shared" si="500"/>
        <v/>
      </c>
      <c r="E3313" t="str">
        <f t="shared" si="501"/>
        <v/>
      </c>
      <c r="F3313" t="str">
        <f t="shared" si="502"/>
        <v/>
      </c>
      <c r="G3313" t="str">
        <f t="shared" si="503"/>
        <v/>
      </c>
    </row>
    <row r="3314" spans="2:7">
      <c r="B3314" s="46"/>
      <c r="C3314">
        <f t="shared" si="499"/>
        <v>14.9409722222222</v>
      </c>
      <c r="D3314" s="63" t="str">
        <f t="shared" si="500"/>
        <v/>
      </c>
      <c r="E3314" t="str">
        <f t="shared" si="501"/>
        <v/>
      </c>
      <c r="F3314" t="str">
        <f t="shared" si="502"/>
        <v/>
      </c>
      <c r="G3314" t="str">
        <f t="shared" si="503"/>
        <v/>
      </c>
    </row>
    <row r="3315" spans="2:7">
      <c r="B3315" s="46"/>
      <c r="C3315">
        <f t="shared" si="499"/>
        <v>19.2465277777778</v>
      </c>
      <c r="D3315" s="63" t="str">
        <f t="shared" si="500"/>
        <v/>
      </c>
      <c r="E3315" t="str">
        <f t="shared" si="501"/>
        <v/>
      </c>
      <c r="F3315" t="str">
        <f t="shared" si="502"/>
        <v/>
      </c>
      <c r="G3315" t="str">
        <f t="shared" si="503"/>
        <v/>
      </c>
    </row>
    <row r="3316" spans="2:7">
      <c r="B3316" s="46"/>
      <c r="C3316" t="str">
        <f t="shared" si="499"/>
        <v/>
      </c>
      <c r="D3316" s="63">
        <f t="shared" si="500"/>
        <v>15.0340375586854</v>
      </c>
      <c r="E3316" t="str">
        <f t="shared" si="501"/>
        <v/>
      </c>
      <c r="F3316" t="str">
        <f t="shared" si="502"/>
        <v/>
      </c>
      <c r="G3316" t="str">
        <f t="shared" si="503"/>
        <v/>
      </c>
    </row>
    <row r="3317" spans="2:7">
      <c r="B3317" s="46"/>
      <c r="C3317" t="str">
        <f t="shared" si="499"/>
        <v/>
      </c>
      <c r="D3317" s="63">
        <f t="shared" si="500"/>
        <v>15.0340375586854</v>
      </c>
      <c r="E3317" t="str">
        <f t="shared" si="501"/>
        <v/>
      </c>
      <c r="F3317" t="str">
        <f t="shared" si="502"/>
        <v/>
      </c>
      <c r="G3317" t="str">
        <f t="shared" si="503"/>
        <v/>
      </c>
    </row>
    <row r="3318" spans="2:7">
      <c r="B3318" s="46"/>
      <c r="C3318" t="str">
        <f t="shared" si="499"/>
        <v/>
      </c>
      <c r="D3318" s="63">
        <f t="shared" si="500"/>
        <v>16.1343896713615</v>
      </c>
      <c r="E3318" t="str">
        <f t="shared" si="501"/>
        <v/>
      </c>
      <c r="F3318" t="str">
        <f t="shared" si="502"/>
        <v/>
      </c>
      <c r="G3318" t="str">
        <f t="shared" si="503"/>
        <v/>
      </c>
    </row>
    <row r="3319" spans="2:7">
      <c r="B3319" s="46"/>
      <c r="C3319" t="str">
        <f t="shared" si="499"/>
        <v/>
      </c>
      <c r="D3319" s="63">
        <f t="shared" si="500"/>
        <v>16.8620892018779</v>
      </c>
      <c r="E3319" t="str">
        <f t="shared" si="501"/>
        <v/>
      </c>
      <c r="F3319" t="str">
        <f t="shared" si="502"/>
        <v/>
      </c>
      <c r="G3319" t="str">
        <f t="shared" si="503"/>
        <v/>
      </c>
    </row>
    <row r="3320" spans="2:7">
      <c r="B3320" s="46"/>
      <c r="C3320" t="str">
        <f t="shared" si="499"/>
        <v/>
      </c>
      <c r="D3320" s="63" t="str">
        <f t="shared" si="500"/>
        <v/>
      </c>
      <c r="E3320">
        <f t="shared" si="501"/>
        <v>16.1245098039216</v>
      </c>
      <c r="F3320" t="str">
        <f t="shared" si="502"/>
        <v/>
      </c>
      <c r="G3320" t="str">
        <f t="shared" si="503"/>
        <v/>
      </c>
    </row>
    <row r="3321" spans="2:7">
      <c r="B3321" s="46"/>
      <c r="C3321" t="str">
        <f t="shared" si="499"/>
        <v/>
      </c>
      <c r="D3321" s="63" t="str">
        <f t="shared" si="500"/>
        <v/>
      </c>
      <c r="E3321">
        <f t="shared" si="501"/>
        <v>17.9225490196078</v>
      </c>
      <c r="F3321" t="str">
        <f t="shared" si="502"/>
        <v/>
      </c>
      <c r="G3321" t="str">
        <f t="shared" si="503"/>
        <v/>
      </c>
    </row>
    <row r="3322" spans="2:7">
      <c r="B3322" s="46"/>
      <c r="C3322" t="str">
        <f t="shared" si="499"/>
        <v/>
      </c>
      <c r="D3322" s="63" t="str">
        <f t="shared" si="500"/>
        <v/>
      </c>
      <c r="E3322">
        <f t="shared" si="501"/>
        <v>18.7166666666667</v>
      </c>
      <c r="F3322" t="str">
        <f t="shared" si="502"/>
        <v/>
      </c>
      <c r="G3322" t="str">
        <f t="shared" si="503"/>
        <v/>
      </c>
    </row>
    <row r="3323" spans="2:7">
      <c r="B3323" s="46"/>
      <c r="C3323" t="str">
        <f t="shared" si="499"/>
        <v/>
      </c>
      <c r="D3323" s="63" t="str">
        <f t="shared" si="500"/>
        <v/>
      </c>
      <c r="E3323">
        <f t="shared" si="501"/>
        <v>18.9539215686275</v>
      </c>
      <c r="F3323" t="str">
        <f t="shared" si="502"/>
        <v/>
      </c>
      <c r="G3323" t="str">
        <f t="shared" si="503"/>
        <v/>
      </c>
    </row>
    <row r="3324" spans="2:7">
      <c r="B3324" s="46"/>
      <c r="C3324" t="str">
        <f t="shared" si="499"/>
        <v/>
      </c>
      <c r="D3324" s="63" t="str">
        <f t="shared" si="500"/>
        <v/>
      </c>
      <c r="E3324" t="str">
        <f t="shared" si="501"/>
        <v/>
      </c>
      <c r="F3324" t="str">
        <f t="shared" si="502"/>
        <v/>
      </c>
      <c r="G3324">
        <f t="shared" si="503"/>
        <v>15.4449685534591</v>
      </c>
    </row>
    <row r="3325" spans="2:7">
      <c r="B3325" s="46"/>
      <c r="C3325" t="str">
        <f t="shared" si="499"/>
        <v/>
      </c>
      <c r="D3325" s="63" t="str">
        <f t="shared" si="500"/>
        <v/>
      </c>
      <c r="E3325" t="str">
        <f t="shared" si="501"/>
        <v/>
      </c>
      <c r="F3325" t="str">
        <f t="shared" si="502"/>
        <v/>
      </c>
      <c r="G3325">
        <f t="shared" si="503"/>
        <v>16.4669811320755</v>
      </c>
    </row>
    <row r="3326" spans="2:7">
      <c r="B3326" s="46"/>
      <c r="C3326" t="str">
        <f t="shared" si="499"/>
        <v/>
      </c>
      <c r="D3326" s="63" t="str">
        <f t="shared" si="500"/>
        <v/>
      </c>
      <c r="E3326" t="str">
        <f t="shared" si="501"/>
        <v/>
      </c>
      <c r="F3326" t="str">
        <f t="shared" si="502"/>
        <v/>
      </c>
      <c r="G3326">
        <f t="shared" si="503"/>
        <v>17.7877358490566</v>
      </c>
    </row>
    <row r="3327" spans="2:7">
      <c r="B3327" s="46"/>
      <c r="C3327" t="str">
        <f t="shared" si="499"/>
        <v/>
      </c>
      <c r="D3327" s="63" t="str">
        <f t="shared" si="500"/>
        <v/>
      </c>
      <c r="E3327" t="str">
        <f t="shared" si="501"/>
        <v/>
      </c>
      <c r="F3327" t="str">
        <f t="shared" si="502"/>
        <v/>
      </c>
      <c r="G3327">
        <f t="shared" si="503"/>
        <v>18.377358490566</v>
      </c>
    </row>
    <row r="3328" spans="2:7">
      <c r="B3328" s="46"/>
      <c r="C3328" t="str">
        <f t="shared" si="499"/>
        <v/>
      </c>
      <c r="D3328" s="63" t="str">
        <f t="shared" si="500"/>
        <v/>
      </c>
      <c r="E3328" t="str">
        <f t="shared" si="501"/>
        <v/>
      </c>
      <c r="F3328">
        <f t="shared" si="502"/>
        <v>15.4234693877551</v>
      </c>
      <c r="G3328" t="str">
        <f t="shared" si="503"/>
        <v/>
      </c>
    </row>
    <row r="3329" spans="2:7">
      <c r="B3329" s="46"/>
      <c r="C3329" t="str">
        <f t="shared" si="499"/>
        <v/>
      </c>
      <c r="D3329" s="63" t="str">
        <f t="shared" si="500"/>
        <v/>
      </c>
      <c r="E3329" t="str">
        <f t="shared" si="501"/>
        <v/>
      </c>
      <c r="F3329">
        <f t="shared" si="502"/>
        <v>16.7698412698413</v>
      </c>
      <c r="G3329" t="str">
        <f t="shared" si="503"/>
        <v/>
      </c>
    </row>
    <row r="3330" spans="2:7">
      <c r="B3330" s="46"/>
      <c r="C3330" t="str">
        <f t="shared" si="499"/>
        <v/>
      </c>
      <c r="D3330" s="63" t="str">
        <f t="shared" si="500"/>
        <v/>
      </c>
      <c r="E3330" t="str">
        <f t="shared" si="501"/>
        <v/>
      </c>
      <c r="F3330">
        <f t="shared" si="502"/>
        <v>18.109410430839</v>
      </c>
      <c r="G3330" t="str">
        <f t="shared" si="503"/>
        <v/>
      </c>
    </row>
    <row r="3331" spans="2:7">
      <c r="B3331" s="46"/>
      <c r="C3331" t="str">
        <f t="shared" si="499"/>
        <v/>
      </c>
      <c r="D3331" s="63" t="str">
        <f t="shared" si="500"/>
        <v/>
      </c>
      <c r="E3331" t="str">
        <f t="shared" si="501"/>
        <v/>
      </c>
      <c r="F3331">
        <f t="shared" si="502"/>
        <v>20.1581632653061</v>
      </c>
      <c r="G3331" t="str">
        <f t="shared" si="503"/>
        <v/>
      </c>
    </row>
    <row r="3332" spans="2:7">
      <c r="B3332" s="46"/>
      <c r="C3332" t="str">
        <f t="shared" si="499"/>
        <v/>
      </c>
      <c r="D3332" s="63" t="str">
        <f t="shared" si="500"/>
        <v/>
      </c>
      <c r="E3332" t="str">
        <f t="shared" si="501"/>
        <v/>
      </c>
      <c r="F3332">
        <f t="shared" si="502"/>
        <v>22.1581632653061</v>
      </c>
      <c r="G3332" t="str">
        <f t="shared" si="503"/>
        <v/>
      </c>
    </row>
    <row r="3333" spans="2:7">
      <c r="B3333" s="46"/>
      <c r="C3333" t="str">
        <f t="shared" si="499"/>
        <v/>
      </c>
      <c r="D3333" s="63" t="str">
        <f t="shared" si="500"/>
        <v/>
      </c>
      <c r="E3333" t="str">
        <f t="shared" si="501"/>
        <v/>
      </c>
      <c r="F3333">
        <f t="shared" si="502"/>
        <v>22.8781179138322</v>
      </c>
      <c r="G3333" t="str">
        <f t="shared" si="503"/>
        <v/>
      </c>
    </row>
    <row r="3334" spans="2:7">
      <c r="B3334" s="46"/>
      <c r="C3334" t="str">
        <f t="shared" si="499"/>
        <v/>
      </c>
      <c r="D3334" s="63">
        <f t="shared" si="500"/>
        <v>17.3022300469484</v>
      </c>
      <c r="E3334" t="str">
        <f t="shared" si="501"/>
        <v/>
      </c>
      <c r="F3334" t="str">
        <f t="shared" si="502"/>
        <v/>
      </c>
      <c r="G3334" t="str">
        <f t="shared" si="503"/>
        <v/>
      </c>
    </row>
    <row r="3335" spans="2:7">
      <c r="B3335" s="46"/>
      <c r="C3335" t="str">
        <f t="shared" si="499"/>
        <v/>
      </c>
      <c r="D3335" s="63">
        <f t="shared" si="500"/>
        <v>22.837441314554</v>
      </c>
      <c r="E3335" t="str">
        <f t="shared" si="501"/>
        <v/>
      </c>
      <c r="F3335" t="str">
        <f t="shared" si="502"/>
        <v/>
      </c>
      <c r="G3335" t="str">
        <f t="shared" si="503"/>
        <v/>
      </c>
    </row>
    <row r="3336" spans="2:7">
      <c r="B3336" s="46"/>
      <c r="C3336" t="str">
        <f t="shared" si="499"/>
        <v/>
      </c>
      <c r="D3336" s="63">
        <f t="shared" si="500"/>
        <v>23.7089201877934</v>
      </c>
      <c r="E3336" t="str">
        <f t="shared" si="501"/>
        <v/>
      </c>
      <c r="F3336" t="str">
        <f t="shared" si="502"/>
        <v/>
      </c>
      <c r="G3336" t="str">
        <f t="shared" si="503"/>
        <v/>
      </c>
    </row>
    <row r="3337" spans="2:7">
      <c r="B3337" s="46"/>
      <c r="C3337" t="str">
        <f t="shared" si="499"/>
        <v/>
      </c>
      <c r="D3337" s="63">
        <f t="shared" si="500"/>
        <v>24.3427230046948</v>
      </c>
      <c r="E3337" t="str">
        <f t="shared" si="501"/>
        <v/>
      </c>
      <c r="F3337" t="str">
        <f t="shared" si="502"/>
        <v/>
      </c>
      <c r="G3337" t="str">
        <f t="shared" si="503"/>
        <v/>
      </c>
    </row>
    <row r="3338" spans="2:7">
      <c r="B3338" s="46"/>
      <c r="C3338" t="str">
        <f t="shared" si="499"/>
        <v/>
      </c>
      <c r="D3338" s="63">
        <f t="shared" si="500"/>
        <v>27.5704225352113</v>
      </c>
      <c r="E3338" t="str">
        <f t="shared" si="501"/>
        <v/>
      </c>
      <c r="F3338" t="str">
        <f t="shared" si="502"/>
        <v/>
      </c>
      <c r="G3338" t="str">
        <f t="shared" si="503"/>
        <v/>
      </c>
    </row>
    <row r="3339" spans="2:7">
      <c r="B3339" s="46"/>
      <c r="C3339" t="str">
        <f t="shared" si="499"/>
        <v/>
      </c>
      <c r="D3339" s="63" t="str">
        <f t="shared" si="500"/>
        <v/>
      </c>
      <c r="E3339" t="str">
        <f t="shared" si="501"/>
        <v/>
      </c>
      <c r="F3339" t="str">
        <f t="shared" si="502"/>
        <v/>
      </c>
      <c r="G3339">
        <f t="shared" si="503"/>
        <v>19.1949685534591</v>
      </c>
    </row>
    <row r="3340" spans="2:7">
      <c r="B3340" s="46"/>
      <c r="C3340" t="str">
        <f t="shared" si="499"/>
        <v/>
      </c>
      <c r="D3340" s="63" t="str">
        <f t="shared" si="500"/>
        <v/>
      </c>
      <c r="E3340" t="str">
        <f t="shared" si="501"/>
        <v/>
      </c>
      <c r="F3340" t="str">
        <f t="shared" si="502"/>
        <v/>
      </c>
      <c r="G3340">
        <f t="shared" si="503"/>
        <v>21.9606918238994</v>
      </c>
    </row>
    <row r="3341" spans="2:7">
      <c r="B3341" s="46"/>
      <c r="C3341" t="str">
        <f t="shared" si="499"/>
        <v/>
      </c>
      <c r="D3341" s="63" t="str">
        <f t="shared" si="500"/>
        <v/>
      </c>
      <c r="E3341" t="str">
        <f t="shared" si="501"/>
        <v/>
      </c>
      <c r="F3341" t="str">
        <f t="shared" si="502"/>
        <v/>
      </c>
      <c r="G3341">
        <f t="shared" si="503"/>
        <v>21.9606918238994</v>
      </c>
    </row>
    <row r="3342" spans="2:7">
      <c r="B3342" s="46"/>
      <c r="C3342" t="str">
        <f t="shared" si="499"/>
        <v/>
      </c>
      <c r="D3342" s="63" t="str">
        <f t="shared" si="500"/>
        <v/>
      </c>
      <c r="E3342" t="str">
        <f t="shared" si="501"/>
        <v/>
      </c>
      <c r="F3342" t="str">
        <f t="shared" si="502"/>
        <v/>
      </c>
      <c r="G3342">
        <f t="shared" si="503"/>
        <v>25.2222222222222</v>
      </c>
    </row>
    <row r="3343" spans="2:7">
      <c r="B3343" s="46"/>
      <c r="C3343" t="str">
        <f t="shared" si="499"/>
        <v/>
      </c>
      <c r="D3343" s="63" t="str">
        <f t="shared" si="500"/>
        <v/>
      </c>
      <c r="E3343">
        <f t="shared" si="501"/>
        <v>22.268137254902</v>
      </c>
      <c r="F3343" t="str">
        <f t="shared" si="502"/>
        <v/>
      </c>
      <c r="G3343" t="str">
        <f t="shared" si="503"/>
        <v/>
      </c>
    </row>
    <row r="3344" spans="2:7">
      <c r="B3344" s="46"/>
      <c r="C3344" t="str">
        <f t="shared" si="499"/>
        <v/>
      </c>
      <c r="D3344" s="63" t="str">
        <f t="shared" si="500"/>
        <v/>
      </c>
      <c r="E3344">
        <f t="shared" si="501"/>
        <v>22.268137254902</v>
      </c>
      <c r="F3344" t="str">
        <f t="shared" si="502"/>
        <v/>
      </c>
      <c r="G3344" t="str">
        <f t="shared" si="503"/>
        <v/>
      </c>
    </row>
    <row r="3345" spans="2:7">
      <c r="B3345" s="46"/>
      <c r="C3345" t="str">
        <f t="shared" si="499"/>
        <v/>
      </c>
      <c r="D3345" s="63" t="str">
        <f t="shared" si="500"/>
        <v/>
      </c>
      <c r="E3345">
        <f t="shared" si="501"/>
        <v>24.6995098039216</v>
      </c>
      <c r="F3345" t="str">
        <f t="shared" si="502"/>
        <v/>
      </c>
      <c r="G3345" t="str">
        <f t="shared" si="503"/>
        <v/>
      </c>
    </row>
    <row r="3346" spans="2:7">
      <c r="B3346" s="46"/>
      <c r="C3346" t="str">
        <f t="shared" si="499"/>
        <v/>
      </c>
      <c r="D3346" s="63" t="str">
        <f t="shared" si="500"/>
        <v/>
      </c>
      <c r="E3346">
        <f t="shared" si="501"/>
        <v>25.3416666666667</v>
      </c>
      <c r="F3346" t="str">
        <f t="shared" si="502"/>
        <v/>
      </c>
      <c r="G3346" t="str">
        <f t="shared" si="503"/>
        <v/>
      </c>
    </row>
    <row r="3347" spans="2:7">
      <c r="B3347" s="46"/>
      <c r="C3347">
        <f t="shared" si="499"/>
        <v>19.5358796296296</v>
      </c>
      <c r="D3347" s="63" t="str">
        <f t="shared" si="500"/>
        <v/>
      </c>
      <c r="E3347" t="str">
        <f t="shared" si="501"/>
        <v/>
      </c>
      <c r="F3347" t="str">
        <f t="shared" si="502"/>
        <v/>
      </c>
      <c r="G3347" t="str">
        <f t="shared" si="503"/>
        <v/>
      </c>
    </row>
    <row r="3348" spans="2:7">
      <c r="B3348" s="46"/>
      <c r="C3348">
        <f t="shared" si="499"/>
        <v>20.1608796296296</v>
      </c>
      <c r="D3348" s="63" t="str">
        <f t="shared" si="500"/>
        <v/>
      </c>
      <c r="E3348" t="str">
        <f t="shared" si="501"/>
        <v/>
      </c>
      <c r="F3348" t="str">
        <f t="shared" si="502"/>
        <v/>
      </c>
      <c r="G3348" t="str">
        <f t="shared" si="503"/>
        <v/>
      </c>
    </row>
    <row r="3349" spans="2:7">
      <c r="B3349" s="46"/>
      <c r="C3349">
        <f t="shared" si="499"/>
        <v>21.7233796296296</v>
      </c>
      <c r="D3349" s="63" t="str">
        <f t="shared" si="500"/>
        <v/>
      </c>
      <c r="E3349" t="str">
        <f t="shared" si="501"/>
        <v/>
      </c>
      <c r="F3349" t="str">
        <f t="shared" si="502"/>
        <v/>
      </c>
      <c r="G3349" t="str">
        <f t="shared" si="503"/>
        <v/>
      </c>
    </row>
    <row r="3350" spans="2:7">
      <c r="B3350" s="46"/>
      <c r="C3350">
        <f t="shared" si="499"/>
        <v>22.7054398148148</v>
      </c>
      <c r="D3350" s="63" t="str">
        <f t="shared" si="500"/>
        <v/>
      </c>
      <c r="E3350" t="str">
        <f t="shared" si="501"/>
        <v/>
      </c>
      <c r="F3350" t="str">
        <f t="shared" si="502"/>
        <v/>
      </c>
      <c r="G3350" t="str">
        <f t="shared" si="503"/>
        <v/>
      </c>
    </row>
    <row r="3351" spans="2:7">
      <c r="B3351" s="46"/>
      <c r="C3351">
        <f t="shared" si="499"/>
        <v>22.7054398148148</v>
      </c>
      <c r="D3351" s="63" t="str">
        <f t="shared" si="500"/>
        <v/>
      </c>
      <c r="E3351" t="str">
        <f t="shared" si="501"/>
        <v/>
      </c>
      <c r="F3351" t="str">
        <f t="shared" si="502"/>
        <v/>
      </c>
      <c r="G3351" t="str">
        <f t="shared" si="503"/>
        <v/>
      </c>
    </row>
    <row r="3352" spans="2:7">
      <c r="B3352" s="46"/>
      <c r="C3352">
        <f t="shared" si="499"/>
        <v>22.8512731481482</v>
      </c>
      <c r="D3352" s="63" t="str">
        <f t="shared" si="500"/>
        <v/>
      </c>
      <c r="E3352" t="str">
        <f t="shared" si="501"/>
        <v/>
      </c>
      <c r="F3352" t="str">
        <f t="shared" si="502"/>
        <v/>
      </c>
      <c r="G3352" t="str">
        <f t="shared" si="503"/>
        <v/>
      </c>
    </row>
    <row r="3353" spans="2:7">
      <c r="B3353" s="46"/>
      <c r="C3353">
        <f t="shared" ref="C3353:C3362" si="504">IF(J73=1,S73,"")</f>
        <v>34.4068287037037</v>
      </c>
      <c r="D3353" s="63" t="str">
        <f t="shared" ref="D3353:D3362" si="505">IF(J73=2,S73,"")</f>
        <v/>
      </c>
      <c r="E3353" t="str">
        <f t="shared" ref="E3353:E3362" si="506">IF(J73=3,S73,"")</f>
        <v/>
      </c>
      <c r="F3353" t="str">
        <f t="shared" ref="F3353:F3362" si="507">IF(J73=4,S73,"")</f>
        <v/>
      </c>
      <c r="G3353" t="str">
        <f t="shared" ref="G3353:G3362" si="508">IF(J73=5,S73,"")</f>
        <v/>
      </c>
    </row>
    <row r="3354" spans="2:7">
      <c r="B3354" s="46"/>
      <c r="C3354">
        <f t="shared" si="504"/>
        <v>34.4068287037037</v>
      </c>
      <c r="D3354" s="63" t="str">
        <f t="shared" si="505"/>
        <v/>
      </c>
      <c r="E3354" t="str">
        <f t="shared" si="506"/>
        <v/>
      </c>
      <c r="F3354" t="str">
        <f t="shared" si="507"/>
        <v/>
      </c>
      <c r="G3354" t="str">
        <f t="shared" si="508"/>
        <v/>
      </c>
    </row>
    <row r="3355" spans="2:7">
      <c r="B3355" s="46"/>
      <c r="C3355">
        <f t="shared" si="504"/>
        <v>35.5827546296296</v>
      </c>
      <c r="D3355" s="63" t="str">
        <f t="shared" si="505"/>
        <v/>
      </c>
      <c r="E3355" t="str">
        <f t="shared" si="506"/>
        <v/>
      </c>
      <c r="F3355" t="str">
        <f t="shared" si="507"/>
        <v/>
      </c>
      <c r="G3355" t="str">
        <f t="shared" si="508"/>
        <v/>
      </c>
    </row>
    <row r="3356" spans="2:7">
      <c r="B3356" s="46"/>
      <c r="C3356">
        <f t="shared" si="504"/>
        <v>36.7893518518519</v>
      </c>
      <c r="D3356" s="63" t="str">
        <f t="shared" si="505"/>
        <v/>
      </c>
      <c r="E3356" t="str">
        <f t="shared" si="506"/>
        <v/>
      </c>
      <c r="F3356" t="str">
        <f t="shared" si="507"/>
        <v/>
      </c>
      <c r="G3356" t="str">
        <f t="shared" si="508"/>
        <v/>
      </c>
    </row>
    <row r="3357" spans="2:7">
      <c r="B3357" s="46"/>
      <c r="C3357" t="str">
        <f t="shared" si="504"/>
        <v/>
      </c>
      <c r="D3357" s="63" t="str">
        <f t="shared" si="505"/>
        <v/>
      </c>
      <c r="E3357" t="str">
        <f t="shared" si="506"/>
        <v/>
      </c>
      <c r="F3357">
        <f t="shared" si="507"/>
        <v>23.4404761904762</v>
      </c>
      <c r="G3357" t="str">
        <f t="shared" si="508"/>
        <v/>
      </c>
    </row>
    <row r="3358" spans="2:7">
      <c r="B3358" s="46"/>
      <c r="C3358" t="str">
        <f t="shared" si="504"/>
        <v/>
      </c>
      <c r="D3358" s="63" t="str">
        <f t="shared" si="505"/>
        <v/>
      </c>
      <c r="E3358" t="str">
        <f t="shared" si="506"/>
        <v/>
      </c>
      <c r="F3358">
        <f t="shared" si="507"/>
        <v>24.3616780045352</v>
      </c>
      <c r="G3358" t="str">
        <f t="shared" si="508"/>
        <v/>
      </c>
    </row>
    <row r="3359" spans="2:7">
      <c r="B3359" s="46"/>
      <c r="C3359" t="str">
        <f t="shared" si="504"/>
        <v/>
      </c>
      <c r="D3359" s="63" t="str">
        <f t="shared" si="505"/>
        <v/>
      </c>
      <c r="E3359" t="str">
        <f t="shared" si="506"/>
        <v/>
      </c>
      <c r="F3359">
        <f t="shared" si="507"/>
        <v>25.8378684807256</v>
      </c>
      <c r="G3359" t="str">
        <f t="shared" si="508"/>
        <v/>
      </c>
    </row>
    <row r="3360" spans="2:7">
      <c r="B3360" s="46"/>
      <c r="C3360" t="str">
        <f t="shared" si="504"/>
        <v/>
      </c>
      <c r="D3360" s="63" t="str">
        <f t="shared" si="505"/>
        <v/>
      </c>
      <c r="E3360" t="str">
        <f t="shared" si="506"/>
        <v/>
      </c>
      <c r="F3360">
        <f t="shared" si="507"/>
        <v>29.4625850340136</v>
      </c>
      <c r="G3360" t="str">
        <f t="shared" si="508"/>
        <v/>
      </c>
    </row>
    <row r="3361" spans="2:7">
      <c r="B3361" s="46"/>
      <c r="C3361" t="str">
        <f t="shared" si="504"/>
        <v/>
      </c>
      <c r="D3361" s="63" t="str">
        <f t="shared" si="505"/>
        <v/>
      </c>
      <c r="E3361" t="str">
        <f t="shared" si="506"/>
        <v/>
      </c>
      <c r="F3361">
        <f t="shared" si="507"/>
        <v>30.092970521542</v>
      </c>
      <c r="G3361" t="str">
        <f t="shared" si="508"/>
        <v/>
      </c>
    </row>
    <row r="3362" ht="15.75" spans="2:7">
      <c r="B3362" s="46"/>
      <c r="C3362" t="str">
        <f t="shared" si="504"/>
        <v/>
      </c>
      <c r="D3362" s="63" t="str">
        <f t="shared" si="505"/>
        <v/>
      </c>
      <c r="E3362" t="str">
        <f t="shared" si="506"/>
        <v/>
      </c>
      <c r="F3362">
        <f t="shared" si="507"/>
        <v>30.8809523809524</v>
      </c>
      <c r="G3362" t="str">
        <f t="shared" si="508"/>
        <v/>
      </c>
    </row>
    <row r="3363" spans="2:7">
      <c r="B3363" s="74" t="s">
        <v>269</v>
      </c>
      <c r="C3363" s="75">
        <f>MAX(C3288:C3362)</f>
        <v>36.7893518518519</v>
      </c>
      <c r="D3363" s="75">
        <f>MAX(D3288:D3362)</f>
        <v>27.5704225352113</v>
      </c>
      <c r="E3363" s="75">
        <f t="shared" ref="E3363:G3363" si="509">MAX(E3288:E3362)</f>
        <v>25.3416666666667</v>
      </c>
      <c r="F3363" s="75">
        <f t="shared" si="509"/>
        <v>30.8809523809524</v>
      </c>
      <c r="G3363" s="75">
        <f t="shared" si="509"/>
        <v>25.2222222222222</v>
      </c>
    </row>
    <row r="3364" spans="2:7">
      <c r="B3364" s="76" t="s">
        <v>270</v>
      </c>
      <c r="C3364" s="77">
        <v>1</v>
      </c>
      <c r="D3364" s="78">
        <v>2</v>
      </c>
      <c r="E3364">
        <v>3</v>
      </c>
      <c r="F3364">
        <v>4</v>
      </c>
      <c r="G3364">
        <v>5</v>
      </c>
    </row>
    <row r="3365" spans="2:7">
      <c r="B3365" s="79" t="s">
        <v>271</v>
      </c>
      <c r="C3365" s="72">
        <f>HLOOKUP(MIN(C3363:G3363),C3363:G3364,2,FALSE)</f>
        <v>5</v>
      </c>
      <c r="D3365" s="80"/>
    </row>
    <row r="3367" ht="15.75" spans="2:7">
      <c r="B3367" s="43" t="s">
        <v>346</v>
      </c>
      <c r="C3367" s="44"/>
      <c r="D3367" s="45"/>
    </row>
    <row r="3368" spans="2:7">
      <c r="B3368" s="46"/>
      <c r="C3368" s="61" t="s">
        <v>264</v>
      </c>
      <c r="D3368" s="61" t="s">
        <v>265</v>
      </c>
      <c r="E3368" s="62" t="s">
        <v>286</v>
      </c>
      <c r="F3368" s="62" t="s">
        <v>287</v>
      </c>
      <c r="G3368" s="62" t="s">
        <v>288</v>
      </c>
    </row>
    <row r="3369" spans="2:7">
      <c r="B3369" s="46"/>
      <c r="C3369">
        <f t="shared" ref="C3369:C3432" si="510">IF(J8=1,S8,"")</f>
        <v>0.700231481481482</v>
      </c>
      <c r="D3369" s="63" t="str">
        <f t="shared" ref="D3369:D3432" si="511">IF(J8=2,S8,"")</f>
        <v/>
      </c>
      <c r="E3369" t="str">
        <f t="shared" ref="E3369:E3432" si="512">IF(J8=3,S8,"")</f>
        <v/>
      </c>
      <c r="F3369" t="str">
        <f t="shared" ref="F3369:F3432" si="513">IF(J8=4,S8,"")</f>
        <v/>
      </c>
      <c r="G3369" t="str">
        <f t="shared" ref="G3369:G3432" si="514">IF(J8=5,S8,"")</f>
        <v/>
      </c>
    </row>
    <row r="3370" spans="2:7">
      <c r="B3370" s="46"/>
      <c r="C3370" t="str">
        <f t="shared" si="510"/>
        <v/>
      </c>
      <c r="D3370" s="63">
        <f t="shared" si="511"/>
        <v>0.734154929577465</v>
      </c>
      <c r="E3370" t="str">
        <f t="shared" si="512"/>
        <v/>
      </c>
      <c r="F3370" t="str">
        <f t="shared" si="513"/>
        <v/>
      </c>
      <c r="G3370" t="str">
        <f t="shared" si="514"/>
        <v/>
      </c>
    </row>
    <row r="3371" spans="2:7">
      <c r="B3371" s="46"/>
      <c r="C3371" t="str">
        <f t="shared" si="510"/>
        <v/>
      </c>
      <c r="D3371" s="63" t="str">
        <f t="shared" si="511"/>
        <v/>
      </c>
      <c r="E3371">
        <f t="shared" si="512"/>
        <v>1.83823529411765</v>
      </c>
      <c r="F3371" t="str">
        <f t="shared" si="513"/>
        <v/>
      </c>
      <c r="G3371" t="str">
        <f t="shared" si="514"/>
        <v/>
      </c>
    </row>
    <row r="3372" spans="2:7">
      <c r="B3372" s="46"/>
      <c r="C3372" t="str">
        <f t="shared" si="510"/>
        <v/>
      </c>
      <c r="D3372" s="63" t="str">
        <f t="shared" si="511"/>
        <v/>
      </c>
      <c r="E3372" t="str">
        <f t="shared" si="512"/>
        <v/>
      </c>
      <c r="F3372">
        <f t="shared" si="513"/>
        <v>4.28571428571429</v>
      </c>
      <c r="G3372" t="str">
        <f t="shared" si="514"/>
        <v/>
      </c>
    </row>
    <row r="3373" spans="2:7">
      <c r="B3373" s="46"/>
      <c r="C3373" t="str">
        <f t="shared" si="510"/>
        <v/>
      </c>
      <c r="D3373" s="63" t="str">
        <f t="shared" si="511"/>
        <v/>
      </c>
      <c r="E3373" t="str">
        <f t="shared" si="512"/>
        <v/>
      </c>
      <c r="F3373" t="str">
        <f t="shared" si="513"/>
        <v/>
      </c>
      <c r="G3373">
        <f t="shared" si="514"/>
        <v>3.43396226415094</v>
      </c>
    </row>
    <row r="3374" spans="2:7">
      <c r="B3374" s="46"/>
      <c r="C3374" t="str">
        <f t="shared" si="510"/>
        <v/>
      </c>
      <c r="D3374" s="63" t="str">
        <f t="shared" si="511"/>
        <v/>
      </c>
      <c r="E3374">
        <f t="shared" si="512"/>
        <v>14.5833333333333</v>
      </c>
      <c r="F3374" t="str">
        <f t="shared" si="513"/>
        <v/>
      </c>
      <c r="G3374" t="str">
        <f t="shared" si="514"/>
        <v/>
      </c>
    </row>
    <row r="3375" spans="2:7">
      <c r="B3375" s="46"/>
      <c r="C3375" t="str">
        <f t="shared" si="510"/>
        <v/>
      </c>
      <c r="D3375" s="63" t="str">
        <f t="shared" si="511"/>
        <v/>
      </c>
      <c r="E3375" t="str">
        <f t="shared" si="512"/>
        <v/>
      </c>
      <c r="F3375">
        <f t="shared" si="513"/>
        <v>6.42857142857143</v>
      </c>
      <c r="G3375" t="str">
        <f t="shared" si="514"/>
        <v/>
      </c>
    </row>
    <row r="3376" spans="2:7">
      <c r="B3376" s="46"/>
      <c r="C3376" t="str">
        <f t="shared" si="510"/>
        <v/>
      </c>
      <c r="D3376" s="63" t="str">
        <f t="shared" si="511"/>
        <v/>
      </c>
      <c r="E3376" t="str">
        <f t="shared" si="512"/>
        <v/>
      </c>
      <c r="F3376" t="str">
        <f t="shared" si="513"/>
        <v/>
      </c>
      <c r="G3376">
        <f t="shared" si="514"/>
        <v>3.84591194968553</v>
      </c>
    </row>
    <row r="3377" spans="2:7">
      <c r="B3377" s="46"/>
      <c r="C3377">
        <f t="shared" si="510"/>
        <v>0.844907407407407</v>
      </c>
      <c r="D3377" s="63" t="str">
        <f t="shared" si="511"/>
        <v/>
      </c>
      <c r="E3377" t="str">
        <f t="shared" si="512"/>
        <v/>
      </c>
      <c r="F3377" t="str">
        <f t="shared" si="513"/>
        <v/>
      </c>
      <c r="G3377" t="str">
        <f t="shared" si="514"/>
        <v/>
      </c>
    </row>
    <row r="3378" spans="2:7">
      <c r="B3378" s="46"/>
      <c r="C3378">
        <f t="shared" si="510"/>
        <v>6.79803240740741</v>
      </c>
      <c r="D3378" s="63" t="str">
        <f t="shared" si="511"/>
        <v/>
      </c>
      <c r="E3378" t="str">
        <f t="shared" si="512"/>
        <v/>
      </c>
      <c r="F3378" t="str">
        <f t="shared" si="513"/>
        <v/>
      </c>
      <c r="G3378" t="str">
        <f t="shared" si="514"/>
        <v/>
      </c>
    </row>
    <row r="3379" spans="2:7">
      <c r="B3379" s="46"/>
      <c r="C3379">
        <f t="shared" si="510"/>
        <v>6.79803240740741</v>
      </c>
      <c r="D3379" s="63" t="str">
        <f t="shared" si="511"/>
        <v/>
      </c>
      <c r="E3379" t="str">
        <f t="shared" si="512"/>
        <v/>
      </c>
      <c r="F3379" t="str">
        <f t="shared" si="513"/>
        <v/>
      </c>
      <c r="G3379" t="str">
        <f t="shared" si="514"/>
        <v/>
      </c>
    </row>
    <row r="3380" spans="2:7">
      <c r="B3380" s="46"/>
      <c r="C3380">
        <f t="shared" si="510"/>
        <v>7.52719907407408</v>
      </c>
      <c r="D3380" s="63" t="str">
        <f t="shared" si="511"/>
        <v/>
      </c>
      <c r="E3380" t="str">
        <f t="shared" si="512"/>
        <v/>
      </c>
      <c r="F3380" t="str">
        <f t="shared" si="513"/>
        <v/>
      </c>
      <c r="G3380" t="str">
        <f t="shared" si="514"/>
        <v/>
      </c>
    </row>
    <row r="3381" spans="2:7">
      <c r="B3381" s="46"/>
      <c r="C3381" t="str">
        <f t="shared" si="510"/>
        <v/>
      </c>
      <c r="D3381" s="63">
        <f t="shared" si="511"/>
        <v>2.7881455399061</v>
      </c>
      <c r="E3381" t="str">
        <f t="shared" si="512"/>
        <v/>
      </c>
      <c r="F3381" t="str">
        <f t="shared" si="513"/>
        <v/>
      </c>
      <c r="G3381" t="str">
        <f t="shared" si="514"/>
        <v/>
      </c>
    </row>
    <row r="3382" spans="2:7">
      <c r="B3382" s="46"/>
      <c r="C3382" t="str">
        <f t="shared" si="510"/>
        <v/>
      </c>
      <c r="D3382" s="63">
        <f t="shared" si="511"/>
        <v>4.47535211267606</v>
      </c>
      <c r="E3382" t="str">
        <f t="shared" si="512"/>
        <v/>
      </c>
      <c r="F3382" t="str">
        <f t="shared" si="513"/>
        <v/>
      </c>
      <c r="G3382" t="str">
        <f t="shared" si="514"/>
        <v/>
      </c>
    </row>
    <row r="3383" spans="2:7">
      <c r="B3383" s="46"/>
      <c r="C3383" t="str">
        <f t="shared" si="510"/>
        <v/>
      </c>
      <c r="D3383" s="63">
        <f t="shared" si="511"/>
        <v>6.10680751173709</v>
      </c>
      <c r="E3383" t="str">
        <f t="shared" si="512"/>
        <v/>
      </c>
      <c r="F3383" t="str">
        <f t="shared" si="513"/>
        <v/>
      </c>
      <c r="G3383" t="str">
        <f t="shared" si="514"/>
        <v/>
      </c>
    </row>
    <row r="3384" spans="2:7">
      <c r="B3384" s="46"/>
      <c r="C3384" t="str">
        <f t="shared" si="510"/>
        <v/>
      </c>
      <c r="D3384" s="63">
        <f t="shared" si="511"/>
        <v>8.50821596244131</v>
      </c>
      <c r="E3384" t="str">
        <f t="shared" si="512"/>
        <v/>
      </c>
      <c r="F3384" t="str">
        <f t="shared" si="513"/>
        <v/>
      </c>
      <c r="G3384" t="str">
        <f t="shared" si="514"/>
        <v/>
      </c>
    </row>
    <row r="3385" spans="2:7">
      <c r="B3385" s="46"/>
      <c r="C3385" t="str">
        <f t="shared" si="510"/>
        <v/>
      </c>
      <c r="D3385" s="63">
        <f t="shared" si="511"/>
        <v>10.268779342723</v>
      </c>
      <c r="E3385" t="str">
        <f t="shared" si="512"/>
        <v/>
      </c>
      <c r="F3385" t="str">
        <f t="shared" si="513"/>
        <v/>
      </c>
      <c r="G3385" t="str">
        <f t="shared" si="514"/>
        <v/>
      </c>
    </row>
    <row r="3386" spans="2:7">
      <c r="B3386" s="46"/>
      <c r="C3386" t="str">
        <f t="shared" si="510"/>
        <v/>
      </c>
      <c r="D3386" s="63" t="str">
        <f t="shared" si="511"/>
        <v/>
      </c>
      <c r="E3386" t="str">
        <f t="shared" si="512"/>
        <v/>
      </c>
      <c r="F3386" t="str">
        <f t="shared" si="513"/>
        <v/>
      </c>
      <c r="G3386">
        <f t="shared" si="514"/>
        <v>7.67610062893082</v>
      </c>
    </row>
    <row r="3387" spans="2:7">
      <c r="B3387" s="46"/>
      <c r="C3387" t="str">
        <f t="shared" si="510"/>
        <v/>
      </c>
      <c r="D3387" s="63" t="str">
        <f t="shared" si="511"/>
        <v/>
      </c>
      <c r="E3387" t="str">
        <f t="shared" si="512"/>
        <v/>
      </c>
      <c r="F3387" t="str">
        <f t="shared" si="513"/>
        <v/>
      </c>
      <c r="G3387">
        <f t="shared" si="514"/>
        <v>10.3836477987421</v>
      </c>
    </row>
    <row r="3388" spans="2:7">
      <c r="B3388" s="46"/>
      <c r="C3388" t="str">
        <f t="shared" si="510"/>
        <v/>
      </c>
      <c r="D3388" s="63" t="str">
        <f t="shared" si="511"/>
        <v/>
      </c>
      <c r="E3388" t="str">
        <f t="shared" si="512"/>
        <v/>
      </c>
      <c r="F3388" t="str">
        <f t="shared" si="513"/>
        <v/>
      </c>
      <c r="G3388">
        <f t="shared" si="514"/>
        <v>13.2138364779874</v>
      </c>
    </row>
    <row r="3389" spans="2:7">
      <c r="B3389" s="46"/>
      <c r="C3389" t="str">
        <f t="shared" si="510"/>
        <v/>
      </c>
      <c r="D3389" s="63" t="str">
        <f t="shared" si="511"/>
        <v/>
      </c>
      <c r="E3389" t="str">
        <f t="shared" si="512"/>
        <v/>
      </c>
      <c r="F3389" t="str">
        <f t="shared" si="513"/>
        <v/>
      </c>
      <c r="G3389">
        <f t="shared" si="514"/>
        <v>14.7243186582809</v>
      </c>
    </row>
    <row r="3390" spans="2:7">
      <c r="B3390" s="46"/>
      <c r="C3390" t="str">
        <f t="shared" si="510"/>
        <v/>
      </c>
      <c r="D3390" s="63" t="str">
        <f t="shared" si="511"/>
        <v/>
      </c>
      <c r="E3390" t="str">
        <f t="shared" si="512"/>
        <v/>
      </c>
      <c r="F3390">
        <f t="shared" si="513"/>
        <v>9.17630385487529</v>
      </c>
      <c r="G3390" t="str">
        <f t="shared" si="514"/>
        <v/>
      </c>
    </row>
    <row r="3391" spans="2:7">
      <c r="B3391" s="46"/>
      <c r="C3391" t="str">
        <f t="shared" si="510"/>
        <v/>
      </c>
      <c r="D3391" s="63" t="str">
        <f t="shared" si="511"/>
        <v/>
      </c>
      <c r="E3391" t="str">
        <f t="shared" si="512"/>
        <v/>
      </c>
      <c r="F3391">
        <f t="shared" si="513"/>
        <v>12.328231292517</v>
      </c>
      <c r="G3391" t="str">
        <f t="shared" si="514"/>
        <v/>
      </c>
    </row>
    <row r="3392" spans="2:7">
      <c r="B3392" s="46"/>
      <c r="C3392" t="str">
        <f t="shared" si="510"/>
        <v/>
      </c>
      <c r="D3392" s="63" t="str">
        <f t="shared" si="511"/>
        <v/>
      </c>
      <c r="E3392" t="str">
        <f t="shared" si="512"/>
        <v/>
      </c>
      <c r="F3392">
        <f t="shared" si="513"/>
        <v>15.0017006802721</v>
      </c>
      <c r="G3392" t="str">
        <f t="shared" si="514"/>
        <v/>
      </c>
    </row>
    <row r="3393" spans="2:7">
      <c r="B3393" s="46"/>
      <c r="C3393">
        <f t="shared" si="510"/>
        <v>10.328125</v>
      </c>
      <c r="D3393" s="63" t="str">
        <f t="shared" si="511"/>
        <v/>
      </c>
      <c r="E3393" t="str">
        <f t="shared" si="512"/>
        <v/>
      </c>
      <c r="F3393" t="str">
        <f t="shared" si="513"/>
        <v/>
      </c>
      <c r="G3393" t="str">
        <f t="shared" si="514"/>
        <v/>
      </c>
    </row>
    <row r="3394" spans="2:7">
      <c r="B3394" s="46"/>
      <c r="C3394">
        <f t="shared" si="510"/>
        <v>14.5908564814815</v>
      </c>
      <c r="D3394" s="63" t="str">
        <f t="shared" si="511"/>
        <v/>
      </c>
      <c r="E3394" t="str">
        <f t="shared" si="512"/>
        <v/>
      </c>
      <c r="F3394" t="str">
        <f t="shared" si="513"/>
        <v/>
      </c>
      <c r="G3394" t="str">
        <f t="shared" si="514"/>
        <v/>
      </c>
    </row>
    <row r="3395" spans="2:7">
      <c r="B3395" s="46"/>
      <c r="C3395">
        <f t="shared" si="510"/>
        <v>14.9409722222222</v>
      </c>
      <c r="D3395" s="63" t="str">
        <f t="shared" si="511"/>
        <v/>
      </c>
      <c r="E3395" t="str">
        <f t="shared" si="512"/>
        <v/>
      </c>
      <c r="F3395" t="str">
        <f t="shared" si="513"/>
        <v/>
      </c>
      <c r="G3395" t="str">
        <f t="shared" si="514"/>
        <v/>
      </c>
    </row>
    <row r="3396" spans="2:7">
      <c r="B3396" s="46"/>
      <c r="C3396">
        <f t="shared" si="510"/>
        <v>19.2465277777778</v>
      </c>
      <c r="D3396" s="63" t="str">
        <f t="shared" si="511"/>
        <v/>
      </c>
      <c r="E3396" t="str">
        <f t="shared" si="512"/>
        <v/>
      </c>
      <c r="F3396" t="str">
        <f t="shared" si="513"/>
        <v/>
      </c>
      <c r="G3396" t="str">
        <f t="shared" si="514"/>
        <v/>
      </c>
    </row>
    <row r="3397" spans="2:7">
      <c r="B3397" s="46"/>
      <c r="C3397" t="str">
        <f t="shared" si="510"/>
        <v/>
      </c>
      <c r="D3397" s="63">
        <f t="shared" si="511"/>
        <v>15.0340375586854</v>
      </c>
      <c r="E3397" t="str">
        <f t="shared" si="512"/>
        <v/>
      </c>
      <c r="F3397" t="str">
        <f t="shared" si="513"/>
        <v/>
      </c>
      <c r="G3397" t="str">
        <f t="shared" si="514"/>
        <v/>
      </c>
    </row>
    <row r="3398" spans="2:7">
      <c r="B3398" s="46"/>
      <c r="C3398" t="str">
        <f t="shared" si="510"/>
        <v/>
      </c>
      <c r="D3398" s="63">
        <f t="shared" si="511"/>
        <v>15.0340375586854</v>
      </c>
      <c r="E3398" t="str">
        <f t="shared" si="512"/>
        <v/>
      </c>
      <c r="F3398" t="str">
        <f t="shared" si="513"/>
        <v/>
      </c>
      <c r="G3398" t="str">
        <f t="shared" si="514"/>
        <v/>
      </c>
    </row>
    <row r="3399" spans="2:7">
      <c r="B3399" s="46"/>
      <c r="C3399" t="str">
        <f t="shared" si="510"/>
        <v/>
      </c>
      <c r="D3399" s="63">
        <f t="shared" si="511"/>
        <v>16.1343896713615</v>
      </c>
      <c r="E3399" t="str">
        <f t="shared" si="512"/>
        <v/>
      </c>
      <c r="F3399" t="str">
        <f t="shared" si="513"/>
        <v/>
      </c>
      <c r="G3399" t="str">
        <f t="shared" si="514"/>
        <v/>
      </c>
    </row>
    <row r="3400" spans="2:7">
      <c r="B3400" s="46"/>
      <c r="C3400" t="str">
        <f t="shared" si="510"/>
        <v/>
      </c>
      <c r="D3400" s="63">
        <f t="shared" si="511"/>
        <v>16.8620892018779</v>
      </c>
      <c r="E3400" t="str">
        <f t="shared" si="512"/>
        <v/>
      </c>
      <c r="F3400" t="str">
        <f t="shared" si="513"/>
        <v/>
      </c>
      <c r="G3400" t="str">
        <f t="shared" si="514"/>
        <v/>
      </c>
    </row>
    <row r="3401" spans="2:7">
      <c r="B3401" s="46"/>
      <c r="C3401" t="str">
        <f t="shared" si="510"/>
        <v/>
      </c>
      <c r="D3401" s="63" t="str">
        <f t="shared" si="511"/>
        <v/>
      </c>
      <c r="E3401">
        <f t="shared" si="512"/>
        <v>16.1245098039216</v>
      </c>
      <c r="F3401" t="str">
        <f t="shared" si="513"/>
        <v/>
      </c>
      <c r="G3401" t="str">
        <f t="shared" si="514"/>
        <v/>
      </c>
    </row>
    <row r="3402" spans="2:7">
      <c r="B3402" s="46"/>
      <c r="C3402" t="str">
        <f t="shared" si="510"/>
        <v/>
      </c>
      <c r="D3402" s="63" t="str">
        <f t="shared" si="511"/>
        <v/>
      </c>
      <c r="E3402">
        <f t="shared" si="512"/>
        <v>17.9225490196078</v>
      </c>
      <c r="F3402" t="str">
        <f t="shared" si="513"/>
        <v/>
      </c>
      <c r="G3402" t="str">
        <f t="shared" si="514"/>
        <v/>
      </c>
    </row>
    <row r="3403" spans="2:7">
      <c r="B3403" s="46"/>
      <c r="C3403" t="str">
        <f t="shared" si="510"/>
        <v/>
      </c>
      <c r="D3403" s="63" t="str">
        <f t="shared" si="511"/>
        <v/>
      </c>
      <c r="E3403">
        <f t="shared" si="512"/>
        <v>18.7166666666667</v>
      </c>
      <c r="F3403" t="str">
        <f t="shared" si="513"/>
        <v/>
      </c>
      <c r="G3403" t="str">
        <f t="shared" si="514"/>
        <v/>
      </c>
    </row>
    <row r="3404" spans="2:7">
      <c r="B3404" s="46"/>
      <c r="C3404" t="str">
        <f t="shared" si="510"/>
        <v/>
      </c>
      <c r="D3404" s="63" t="str">
        <f t="shared" si="511"/>
        <v/>
      </c>
      <c r="E3404">
        <f t="shared" si="512"/>
        <v>18.9539215686275</v>
      </c>
      <c r="F3404" t="str">
        <f t="shared" si="513"/>
        <v/>
      </c>
      <c r="G3404" t="str">
        <f t="shared" si="514"/>
        <v/>
      </c>
    </row>
    <row r="3405" spans="2:7">
      <c r="B3405" s="46"/>
      <c r="C3405" t="str">
        <f t="shared" si="510"/>
        <v/>
      </c>
      <c r="D3405" s="63" t="str">
        <f t="shared" si="511"/>
        <v/>
      </c>
      <c r="E3405" t="str">
        <f t="shared" si="512"/>
        <v/>
      </c>
      <c r="F3405" t="str">
        <f t="shared" si="513"/>
        <v/>
      </c>
      <c r="G3405">
        <f t="shared" si="514"/>
        <v>15.4449685534591</v>
      </c>
    </row>
    <row r="3406" spans="2:7">
      <c r="B3406" s="46"/>
      <c r="C3406" t="str">
        <f t="shared" si="510"/>
        <v/>
      </c>
      <c r="D3406" s="63" t="str">
        <f t="shared" si="511"/>
        <v/>
      </c>
      <c r="E3406" t="str">
        <f t="shared" si="512"/>
        <v/>
      </c>
      <c r="F3406" t="str">
        <f t="shared" si="513"/>
        <v/>
      </c>
      <c r="G3406">
        <f t="shared" si="514"/>
        <v>16.4669811320755</v>
      </c>
    </row>
    <row r="3407" spans="2:7">
      <c r="B3407" s="46"/>
      <c r="C3407" t="str">
        <f t="shared" si="510"/>
        <v/>
      </c>
      <c r="D3407" s="63" t="str">
        <f t="shared" si="511"/>
        <v/>
      </c>
      <c r="E3407" t="str">
        <f t="shared" si="512"/>
        <v/>
      </c>
      <c r="F3407" t="str">
        <f t="shared" si="513"/>
        <v/>
      </c>
      <c r="G3407">
        <f t="shared" si="514"/>
        <v>17.7877358490566</v>
      </c>
    </row>
    <row r="3408" spans="2:7">
      <c r="B3408" s="46"/>
      <c r="C3408" t="str">
        <f t="shared" si="510"/>
        <v/>
      </c>
      <c r="D3408" s="63" t="str">
        <f t="shared" si="511"/>
        <v/>
      </c>
      <c r="E3408" t="str">
        <f t="shared" si="512"/>
        <v/>
      </c>
      <c r="F3408" t="str">
        <f t="shared" si="513"/>
        <v/>
      </c>
      <c r="G3408">
        <f t="shared" si="514"/>
        <v>18.377358490566</v>
      </c>
    </row>
    <row r="3409" spans="2:7">
      <c r="B3409" s="46"/>
      <c r="C3409" t="str">
        <f t="shared" si="510"/>
        <v/>
      </c>
      <c r="D3409" s="63" t="str">
        <f t="shared" si="511"/>
        <v/>
      </c>
      <c r="E3409" t="str">
        <f t="shared" si="512"/>
        <v/>
      </c>
      <c r="F3409">
        <f t="shared" si="513"/>
        <v>15.4234693877551</v>
      </c>
      <c r="G3409" t="str">
        <f t="shared" si="514"/>
        <v/>
      </c>
    </row>
    <row r="3410" spans="2:7">
      <c r="B3410" s="46"/>
      <c r="C3410" t="str">
        <f t="shared" si="510"/>
        <v/>
      </c>
      <c r="D3410" s="63" t="str">
        <f t="shared" si="511"/>
        <v/>
      </c>
      <c r="E3410" t="str">
        <f t="shared" si="512"/>
        <v/>
      </c>
      <c r="F3410">
        <f t="shared" si="513"/>
        <v>16.7698412698413</v>
      </c>
      <c r="G3410" t="str">
        <f t="shared" si="514"/>
        <v/>
      </c>
    </row>
    <row r="3411" spans="2:7">
      <c r="B3411" s="46"/>
      <c r="C3411" t="str">
        <f t="shared" si="510"/>
        <v/>
      </c>
      <c r="D3411" s="63" t="str">
        <f t="shared" si="511"/>
        <v/>
      </c>
      <c r="E3411" t="str">
        <f t="shared" si="512"/>
        <v/>
      </c>
      <c r="F3411">
        <f t="shared" si="513"/>
        <v>18.109410430839</v>
      </c>
      <c r="G3411" t="str">
        <f t="shared" si="514"/>
        <v/>
      </c>
    </row>
    <row r="3412" spans="2:7">
      <c r="B3412" s="46"/>
      <c r="C3412" t="str">
        <f t="shared" si="510"/>
        <v/>
      </c>
      <c r="D3412" s="63" t="str">
        <f t="shared" si="511"/>
        <v/>
      </c>
      <c r="E3412" t="str">
        <f t="shared" si="512"/>
        <v/>
      </c>
      <c r="F3412">
        <f t="shared" si="513"/>
        <v>20.1581632653061</v>
      </c>
      <c r="G3412" t="str">
        <f t="shared" si="514"/>
        <v/>
      </c>
    </row>
    <row r="3413" spans="2:7">
      <c r="B3413" s="46"/>
      <c r="C3413" t="str">
        <f t="shared" si="510"/>
        <v/>
      </c>
      <c r="D3413" s="63" t="str">
        <f t="shared" si="511"/>
        <v/>
      </c>
      <c r="E3413" t="str">
        <f t="shared" si="512"/>
        <v/>
      </c>
      <c r="F3413">
        <f t="shared" si="513"/>
        <v>22.1581632653061</v>
      </c>
      <c r="G3413" t="str">
        <f t="shared" si="514"/>
        <v/>
      </c>
    </row>
    <row r="3414" spans="2:7">
      <c r="B3414" s="46"/>
      <c r="C3414" t="str">
        <f t="shared" si="510"/>
        <v/>
      </c>
      <c r="D3414" s="63" t="str">
        <f t="shared" si="511"/>
        <v/>
      </c>
      <c r="E3414" t="str">
        <f t="shared" si="512"/>
        <v/>
      </c>
      <c r="F3414">
        <f t="shared" si="513"/>
        <v>22.8781179138322</v>
      </c>
      <c r="G3414" t="str">
        <f t="shared" si="514"/>
        <v/>
      </c>
    </row>
    <row r="3415" spans="2:7">
      <c r="B3415" s="46"/>
      <c r="C3415" t="str">
        <f t="shared" si="510"/>
        <v/>
      </c>
      <c r="D3415" s="63">
        <f t="shared" si="511"/>
        <v>17.3022300469484</v>
      </c>
      <c r="E3415" t="str">
        <f t="shared" si="512"/>
        <v/>
      </c>
      <c r="F3415" t="str">
        <f t="shared" si="513"/>
        <v/>
      </c>
      <c r="G3415" t="str">
        <f t="shared" si="514"/>
        <v/>
      </c>
    </row>
    <row r="3416" spans="2:7">
      <c r="B3416" s="46"/>
      <c r="C3416" t="str">
        <f t="shared" si="510"/>
        <v/>
      </c>
      <c r="D3416" s="63">
        <f t="shared" si="511"/>
        <v>22.837441314554</v>
      </c>
      <c r="E3416" t="str">
        <f t="shared" si="512"/>
        <v/>
      </c>
      <c r="F3416" t="str">
        <f t="shared" si="513"/>
        <v/>
      </c>
      <c r="G3416" t="str">
        <f t="shared" si="514"/>
        <v/>
      </c>
    </row>
    <row r="3417" spans="2:7">
      <c r="B3417" s="46"/>
      <c r="C3417" t="str">
        <f t="shared" si="510"/>
        <v/>
      </c>
      <c r="D3417" s="63">
        <f t="shared" si="511"/>
        <v>23.7089201877934</v>
      </c>
      <c r="E3417" t="str">
        <f t="shared" si="512"/>
        <v/>
      </c>
      <c r="F3417" t="str">
        <f t="shared" si="513"/>
        <v/>
      </c>
      <c r="G3417" t="str">
        <f t="shared" si="514"/>
        <v/>
      </c>
    </row>
    <row r="3418" spans="2:7">
      <c r="B3418" s="46"/>
      <c r="C3418" t="str">
        <f t="shared" si="510"/>
        <v/>
      </c>
      <c r="D3418" s="63">
        <f t="shared" si="511"/>
        <v>24.3427230046948</v>
      </c>
      <c r="E3418" t="str">
        <f t="shared" si="512"/>
        <v/>
      </c>
      <c r="F3418" t="str">
        <f t="shared" si="513"/>
        <v/>
      </c>
      <c r="G3418" t="str">
        <f t="shared" si="514"/>
        <v/>
      </c>
    </row>
    <row r="3419" spans="2:7">
      <c r="B3419" s="46"/>
      <c r="C3419" t="str">
        <f t="shared" si="510"/>
        <v/>
      </c>
      <c r="D3419" s="63">
        <f t="shared" si="511"/>
        <v>27.5704225352113</v>
      </c>
      <c r="E3419" t="str">
        <f t="shared" si="512"/>
        <v/>
      </c>
      <c r="F3419" t="str">
        <f t="shared" si="513"/>
        <v/>
      </c>
      <c r="G3419" t="str">
        <f t="shared" si="514"/>
        <v/>
      </c>
    </row>
    <row r="3420" spans="2:7">
      <c r="B3420" s="46"/>
      <c r="C3420" t="str">
        <f t="shared" si="510"/>
        <v/>
      </c>
      <c r="D3420" s="63" t="str">
        <f t="shared" si="511"/>
        <v/>
      </c>
      <c r="E3420" t="str">
        <f t="shared" si="512"/>
        <v/>
      </c>
      <c r="F3420" t="str">
        <f t="shared" si="513"/>
        <v/>
      </c>
      <c r="G3420">
        <f t="shared" si="514"/>
        <v>19.1949685534591</v>
      </c>
    </row>
    <row r="3421" spans="2:7">
      <c r="B3421" s="46"/>
      <c r="C3421" t="str">
        <f t="shared" si="510"/>
        <v/>
      </c>
      <c r="D3421" s="63" t="str">
        <f t="shared" si="511"/>
        <v/>
      </c>
      <c r="E3421" t="str">
        <f t="shared" si="512"/>
        <v/>
      </c>
      <c r="F3421" t="str">
        <f t="shared" si="513"/>
        <v/>
      </c>
      <c r="G3421">
        <f t="shared" si="514"/>
        <v>21.9606918238994</v>
      </c>
    </row>
    <row r="3422" spans="2:7">
      <c r="B3422" s="46"/>
      <c r="C3422" t="str">
        <f t="shared" si="510"/>
        <v/>
      </c>
      <c r="D3422" s="63" t="str">
        <f t="shared" si="511"/>
        <v/>
      </c>
      <c r="E3422" t="str">
        <f t="shared" si="512"/>
        <v/>
      </c>
      <c r="F3422" t="str">
        <f t="shared" si="513"/>
        <v/>
      </c>
      <c r="G3422">
        <f t="shared" si="514"/>
        <v>21.9606918238994</v>
      </c>
    </row>
    <row r="3423" spans="2:7">
      <c r="B3423" s="46"/>
      <c r="C3423" t="str">
        <f t="shared" si="510"/>
        <v/>
      </c>
      <c r="D3423" s="63" t="str">
        <f t="shared" si="511"/>
        <v/>
      </c>
      <c r="E3423" t="str">
        <f t="shared" si="512"/>
        <v/>
      </c>
      <c r="F3423" t="str">
        <f t="shared" si="513"/>
        <v/>
      </c>
      <c r="G3423">
        <f t="shared" si="514"/>
        <v>25.2222222222222</v>
      </c>
    </row>
    <row r="3424" spans="2:7">
      <c r="B3424" s="46"/>
      <c r="C3424" t="str">
        <f t="shared" si="510"/>
        <v/>
      </c>
      <c r="D3424" s="63" t="str">
        <f t="shared" si="511"/>
        <v/>
      </c>
      <c r="E3424">
        <f t="shared" si="512"/>
        <v>22.268137254902</v>
      </c>
      <c r="F3424" t="str">
        <f t="shared" si="513"/>
        <v/>
      </c>
      <c r="G3424" t="str">
        <f t="shared" si="514"/>
        <v/>
      </c>
    </row>
    <row r="3425" spans="2:7">
      <c r="B3425" s="46"/>
      <c r="C3425" t="str">
        <f t="shared" si="510"/>
        <v/>
      </c>
      <c r="D3425" s="63" t="str">
        <f t="shared" si="511"/>
        <v/>
      </c>
      <c r="E3425">
        <f t="shared" si="512"/>
        <v>22.268137254902</v>
      </c>
      <c r="F3425" t="str">
        <f t="shared" si="513"/>
        <v/>
      </c>
      <c r="G3425" t="str">
        <f t="shared" si="514"/>
        <v/>
      </c>
    </row>
    <row r="3426" spans="2:7">
      <c r="B3426" s="46"/>
      <c r="C3426" t="str">
        <f t="shared" si="510"/>
        <v/>
      </c>
      <c r="D3426" s="63" t="str">
        <f t="shared" si="511"/>
        <v/>
      </c>
      <c r="E3426">
        <f t="shared" si="512"/>
        <v>24.6995098039216</v>
      </c>
      <c r="F3426" t="str">
        <f t="shared" si="513"/>
        <v/>
      </c>
      <c r="G3426" t="str">
        <f t="shared" si="514"/>
        <v/>
      </c>
    </row>
    <row r="3427" spans="2:7">
      <c r="B3427" s="46"/>
      <c r="C3427" t="str">
        <f t="shared" si="510"/>
        <v/>
      </c>
      <c r="D3427" s="63" t="str">
        <f t="shared" si="511"/>
        <v/>
      </c>
      <c r="E3427">
        <f t="shared" si="512"/>
        <v>25.3416666666667</v>
      </c>
      <c r="F3427" t="str">
        <f t="shared" si="513"/>
        <v/>
      </c>
      <c r="G3427" t="str">
        <f t="shared" si="514"/>
        <v/>
      </c>
    </row>
    <row r="3428" spans="2:7">
      <c r="B3428" s="46"/>
      <c r="C3428">
        <f t="shared" si="510"/>
        <v>19.5358796296296</v>
      </c>
      <c r="D3428" s="63" t="str">
        <f t="shared" si="511"/>
        <v/>
      </c>
      <c r="E3428" t="str">
        <f t="shared" si="512"/>
        <v/>
      </c>
      <c r="F3428" t="str">
        <f t="shared" si="513"/>
        <v/>
      </c>
      <c r="G3428" t="str">
        <f t="shared" si="514"/>
        <v/>
      </c>
    </row>
    <row r="3429" spans="2:7">
      <c r="B3429" s="46"/>
      <c r="C3429">
        <f t="shared" si="510"/>
        <v>20.1608796296296</v>
      </c>
      <c r="D3429" s="63" t="str">
        <f t="shared" si="511"/>
        <v/>
      </c>
      <c r="E3429" t="str">
        <f t="shared" si="512"/>
        <v/>
      </c>
      <c r="F3429" t="str">
        <f t="shared" si="513"/>
        <v/>
      </c>
      <c r="G3429" t="str">
        <f t="shared" si="514"/>
        <v/>
      </c>
    </row>
    <row r="3430" spans="2:7">
      <c r="B3430" s="46"/>
      <c r="C3430">
        <f t="shared" si="510"/>
        <v>21.7233796296296</v>
      </c>
      <c r="D3430" s="63" t="str">
        <f t="shared" si="511"/>
        <v/>
      </c>
      <c r="E3430" t="str">
        <f t="shared" si="512"/>
        <v/>
      </c>
      <c r="F3430" t="str">
        <f t="shared" si="513"/>
        <v/>
      </c>
      <c r="G3430" t="str">
        <f t="shared" si="514"/>
        <v/>
      </c>
    </row>
    <row r="3431" spans="2:7">
      <c r="B3431" s="46"/>
      <c r="C3431">
        <f t="shared" si="510"/>
        <v>22.7054398148148</v>
      </c>
      <c r="D3431" s="63" t="str">
        <f t="shared" si="511"/>
        <v/>
      </c>
      <c r="E3431" t="str">
        <f t="shared" si="512"/>
        <v/>
      </c>
      <c r="F3431" t="str">
        <f t="shared" si="513"/>
        <v/>
      </c>
      <c r="G3431" t="str">
        <f t="shared" si="514"/>
        <v/>
      </c>
    </row>
    <row r="3432" spans="2:7">
      <c r="B3432" s="46"/>
      <c r="C3432">
        <f t="shared" si="510"/>
        <v>22.7054398148148</v>
      </c>
      <c r="D3432" s="63" t="str">
        <f t="shared" si="511"/>
        <v/>
      </c>
      <c r="E3432" t="str">
        <f t="shared" si="512"/>
        <v/>
      </c>
      <c r="F3432" t="str">
        <f t="shared" si="513"/>
        <v/>
      </c>
      <c r="G3432" t="str">
        <f t="shared" si="514"/>
        <v/>
      </c>
    </row>
    <row r="3433" spans="2:7">
      <c r="B3433" s="46"/>
      <c r="C3433">
        <f t="shared" ref="C3433:C3444" si="515">IF(J72=1,S72,"")</f>
        <v>22.8512731481482</v>
      </c>
      <c r="D3433" s="63" t="str">
        <f t="shared" ref="D3433:D3444" si="516">IF(J72=2,S72,"")</f>
        <v/>
      </c>
      <c r="E3433" t="str">
        <f t="shared" ref="E3433:E3444" si="517">IF(J72=3,S72,"")</f>
        <v/>
      </c>
      <c r="F3433" t="str">
        <f t="shared" ref="F3433:F3444" si="518">IF(J72=4,S72,"")</f>
        <v/>
      </c>
      <c r="G3433" t="str">
        <f t="shared" ref="G3433:G3444" si="519">IF(J72=5,S72,"")</f>
        <v/>
      </c>
    </row>
    <row r="3434" spans="2:7">
      <c r="B3434" s="46"/>
      <c r="C3434">
        <f t="shared" si="515"/>
        <v>34.4068287037037</v>
      </c>
      <c r="D3434" s="63" t="str">
        <f t="shared" si="516"/>
        <v/>
      </c>
      <c r="E3434" t="str">
        <f t="shared" si="517"/>
        <v/>
      </c>
      <c r="F3434" t="str">
        <f t="shared" si="518"/>
        <v/>
      </c>
      <c r="G3434" t="str">
        <f t="shared" si="519"/>
        <v/>
      </c>
    </row>
    <row r="3435" spans="2:7">
      <c r="B3435" s="46"/>
      <c r="C3435">
        <f t="shared" si="515"/>
        <v>34.4068287037037</v>
      </c>
      <c r="D3435" s="63" t="str">
        <f t="shared" si="516"/>
        <v/>
      </c>
      <c r="E3435" t="str">
        <f t="shared" si="517"/>
        <v/>
      </c>
      <c r="F3435" t="str">
        <f t="shared" si="518"/>
        <v/>
      </c>
      <c r="G3435" t="str">
        <f t="shared" si="519"/>
        <v/>
      </c>
    </row>
    <row r="3436" spans="2:7">
      <c r="B3436" s="46"/>
      <c r="C3436">
        <f t="shared" si="515"/>
        <v>35.5827546296296</v>
      </c>
      <c r="D3436" s="63" t="str">
        <f t="shared" si="516"/>
        <v/>
      </c>
      <c r="E3436" t="str">
        <f t="shared" si="517"/>
        <v/>
      </c>
      <c r="F3436" t="str">
        <f t="shared" si="518"/>
        <v/>
      </c>
      <c r="G3436" t="str">
        <f t="shared" si="519"/>
        <v/>
      </c>
    </row>
    <row r="3437" spans="2:7">
      <c r="B3437" s="46"/>
      <c r="C3437">
        <f t="shared" si="515"/>
        <v>36.7893518518519</v>
      </c>
      <c r="D3437" s="63" t="str">
        <f t="shared" si="516"/>
        <v/>
      </c>
      <c r="E3437" t="str">
        <f t="shared" si="517"/>
        <v/>
      </c>
      <c r="F3437" t="str">
        <f t="shared" si="518"/>
        <v/>
      </c>
      <c r="G3437" t="str">
        <f t="shared" si="519"/>
        <v/>
      </c>
    </row>
    <row r="3438" spans="2:7">
      <c r="B3438" s="46"/>
      <c r="C3438" t="str">
        <f t="shared" si="515"/>
        <v/>
      </c>
      <c r="D3438" s="63" t="str">
        <f t="shared" si="516"/>
        <v/>
      </c>
      <c r="E3438" t="str">
        <f t="shared" si="517"/>
        <v/>
      </c>
      <c r="F3438">
        <f t="shared" si="518"/>
        <v>23.4404761904762</v>
      </c>
      <c r="G3438" t="str">
        <f t="shared" si="519"/>
        <v/>
      </c>
    </row>
    <row r="3439" spans="2:7">
      <c r="B3439" s="46"/>
      <c r="C3439" t="str">
        <f t="shared" si="515"/>
        <v/>
      </c>
      <c r="D3439" s="63" t="str">
        <f t="shared" si="516"/>
        <v/>
      </c>
      <c r="E3439" t="str">
        <f t="shared" si="517"/>
        <v/>
      </c>
      <c r="F3439">
        <f t="shared" si="518"/>
        <v>24.3616780045352</v>
      </c>
      <c r="G3439" t="str">
        <f t="shared" si="519"/>
        <v/>
      </c>
    </row>
    <row r="3440" spans="2:7">
      <c r="B3440" s="46"/>
      <c r="C3440" t="str">
        <f t="shared" si="515"/>
        <v/>
      </c>
      <c r="D3440" s="63" t="str">
        <f t="shared" si="516"/>
        <v/>
      </c>
      <c r="E3440" t="str">
        <f t="shared" si="517"/>
        <v/>
      </c>
      <c r="F3440">
        <f t="shared" si="518"/>
        <v>25.8378684807256</v>
      </c>
      <c r="G3440" t="str">
        <f t="shared" si="519"/>
        <v/>
      </c>
    </row>
    <row r="3441" spans="2:7">
      <c r="B3441" s="46"/>
      <c r="C3441" t="str">
        <f t="shared" si="515"/>
        <v/>
      </c>
      <c r="D3441" s="63" t="str">
        <f t="shared" si="516"/>
        <v/>
      </c>
      <c r="E3441" t="str">
        <f t="shared" si="517"/>
        <v/>
      </c>
      <c r="F3441">
        <f t="shared" si="518"/>
        <v>29.4625850340136</v>
      </c>
      <c r="G3441" t="str">
        <f t="shared" si="519"/>
        <v/>
      </c>
    </row>
    <row r="3442" spans="2:7">
      <c r="B3442" s="46"/>
      <c r="C3442" t="str">
        <f t="shared" si="515"/>
        <v/>
      </c>
      <c r="D3442" s="63" t="str">
        <f t="shared" si="516"/>
        <v/>
      </c>
      <c r="E3442" t="str">
        <f t="shared" si="517"/>
        <v/>
      </c>
      <c r="F3442">
        <f t="shared" si="518"/>
        <v>30.092970521542</v>
      </c>
      <c r="G3442" t="str">
        <f t="shared" si="519"/>
        <v/>
      </c>
    </row>
    <row r="3443" spans="2:7">
      <c r="B3443" s="46"/>
      <c r="C3443" t="str">
        <f t="shared" si="515"/>
        <v/>
      </c>
      <c r="D3443" s="63" t="str">
        <f t="shared" si="516"/>
        <v/>
      </c>
      <c r="E3443" t="str">
        <f t="shared" si="517"/>
        <v/>
      </c>
      <c r="F3443">
        <f t="shared" si="518"/>
        <v>30.8809523809524</v>
      </c>
      <c r="G3443" t="str">
        <f t="shared" si="519"/>
        <v/>
      </c>
    </row>
    <row r="3444" ht="15.75" spans="2:7">
      <c r="B3444" s="46"/>
      <c r="C3444" t="str">
        <f t="shared" si="515"/>
        <v/>
      </c>
      <c r="D3444" s="63" t="str">
        <f t="shared" si="516"/>
        <v/>
      </c>
      <c r="E3444" t="str">
        <f t="shared" si="517"/>
        <v/>
      </c>
      <c r="F3444" t="str">
        <f t="shared" si="518"/>
        <v/>
      </c>
      <c r="G3444">
        <f t="shared" si="519"/>
        <v>26.0235849056604</v>
      </c>
    </row>
    <row r="3445" spans="2:7">
      <c r="B3445" s="74" t="s">
        <v>269</v>
      </c>
      <c r="C3445" s="75">
        <f>MAX(C3369:C3444)</f>
        <v>36.7893518518519</v>
      </c>
      <c r="D3445" s="75">
        <f t="shared" ref="D3445:G3445" si="520">MAX(D3369:D3444)</f>
        <v>27.5704225352113</v>
      </c>
      <c r="E3445" s="75">
        <f t="shared" si="520"/>
        <v>25.3416666666667</v>
      </c>
      <c r="F3445" s="75">
        <f t="shared" si="520"/>
        <v>30.8809523809524</v>
      </c>
      <c r="G3445" s="75">
        <f t="shared" si="520"/>
        <v>26.0235849056604</v>
      </c>
    </row>
    <row r="3446" spans="2:7">
      <c r="B3446" s="76" t="s">
        <v>270</v>
      </c>
      <c r="C3446" s="77">
        <v>1</v>
      </c>
      <c r="D3446" s="78">
        <v>2</v>
      </c>
      <c r="E3446">
        <v>3</v>
      </c>
      <c r="F3446">
        <v>4</v>
      </c>
      <c r="G3446">
        <v>5</v>
      </c>
    </row>
    <row r="3447" spans="2:7">
      <c r="B3447" s="79" t="s">
        <v>271</v>
      </c>
      <c r="C3447" s="72">
        <f>HLOOKUP(MIN(C3445:G3445),C3445:G3446,2,FALSE)</f>
        <v>3</v>
      </c>
      <c r="D3447" s="80"/>
    </row>
    <row r="3450" ht="15.75" spans="2:7">
      <c r="B3450" s="43" t="s">
        <v>347</v>
      </c>
      <c r="C3450" s="44"/>
      <c r="D3450" s="45"/>
    </row>
    <row r="3451" spans="2:7">
      <c r="B3451" s="46"/>
      <c r="C3451" s="61" t="s">
        <v>264</v>
      </c>
      <c r="D3451" s="61" t="s">
        <v>265</v>
      </c>
      <c r="E3451" s="62" t="s">
        <v>286</v>
      </c>
      <c r="F3451" s="62" t="s">
        <v>287</v>
      </c>
      <c r="G3451" s="62" t="s">
        <v>288</v>
      </c>
    </row>
    <row r="3452" spans="2:7">
      <c r="B3452" s="46"/>
      <c r="C3452">
        <f t="shared" ref="C3452:C3515" si="521">IF(J8=1,S8,"")</f>
        <v>0.700231481481482</v>
      </c>
      <c r="D3452" s="63" t="str">
        <f t="shared" ref="D3452:D3515" si="522">IF(J8=2,S8,"")</f>
        <v/>
      </c>
      <c r="E3452" t="str">
        <f t="shared" ref="E3452:E3515" si="523">IF(J8=3,S8,"")</f>
        <v/>
      </c>
      <c r="F3452" t="str">
        <f t="shared" ref="F3452:F3515" si="524">IF(J8=4,S8,"")</f>
        <v/>
      </c>
      <c r="G3452" t="str">
        <f t="shared" ref="G3452:G3515" si="525">IF(J8=5,S8,"")</f>
        <v/>
      </c>
    </row>
    <row r="3453" spans="2:7">
      <c r="B3453" s="46"/>
      <c r="C3453" t="str">
        <f t="shared" si="521"/>
        <v/>
      </c>
      <c r="D3453" s="63">
        <f t="shared" si="522"/>
        <v>0.734154929577465</v>
      </c>
      <c r="E3453" t="str">
        <f t="shared" si="523"/>
        <v/>
      </c>
      <c r="F3453" t="str">
        <f t="shared" si="524"/>
        <v/>
      </c>
      <c r="G3453" t="str">
        <f t="shared" si="525"/>
        <v/>
      </c>
    </row>
    <row r="3454" spans="2:7">
      <c r="B3454" s="46"/>
      <c r="C3454" t="str">
        <f t="shared" si="521"/>
        <v/>
      </c>
      <c r="D3454" s="63" t="str">
        <f t="shared" si="522"/>
        <v/>
      </c>
      <c r="E3454">
        <f t="shared" si="523"/>
        <v>1.83823529411765</v>
      </c>
      <c r="F3454" t="str">
        <f t="shared" si="524"/>
        <v/>
      </c>
      <c r="G3454" t="str">
        <f t="shared" si="525"/>
        <v/>
      </c>
    </row>
    <row r="3455" spans="2:7">
      <c r="B3455" s="46"/>
      <c r="C3455" t="str">
        <f t="shared" si="521"/>
        <v/>
      </c>
      <c r="D3455" s="63" t="str">
        <f t="shared" si="522"/>
        <v/>
      </c>
      <c r="E3455" t="str">
        <f t="shared" si="523"/>
        <v/>
      </c>
      <c r="F3455">
        <f t="shared" si="524"/>
        <v>4.28571428571429</v>
      </c>
      <c r="G3455" t="str">
        <f t="shared" si="525"/>
        <v/>
      </c>
    </row>
    <row r="3456" spans="2:7">
      <c r="B3456" s="46"/>
      <c r="C3456" t="str">
        <f t="shared" si="521"/>
        <v/>
      </c>
      <c r="D3456" s="63" t="str">
        <f t="shared" si="522"/>
        <v/>
      </c>
      <c r="E3456" t="str">
        <f t="shared" si="523"/>
        <v/>
      </c>
      <c r="F3456" t="str">
        <f t="shared" si="524"/>
        <v/>
      </c>
      <c r="G3456">
        <f t="shared" si="525"/>
        <v>3.43396226415094</v>
      </c>
    </row>
    <row r="3457" spans="2:7">
      <c r="B3457" s="46"/>
      <c r="C3457" t="str">
        <f t="shared" si="521"/>
        <v/>
      </c>
      <c r="D3457" s="63" t="str">
        <f t="shared" si="522"/>
        <v/>
      </c>
      <c r="E3457">
        <f t="shared" si="523"/>
        <v>14.5833333333333</v>
      </c>
      <c r="F3457" t="str">
        <f t="shared" si="524"/>
        <v/>
      </c>
      <c r="G3457" t="str">
        <f t="shared" si="525"/>
        <v/>
      </c>
    </row>
    <row r="3458" spans="2:7">
      <c r="B3458" s="46"/>
      <c r="C3458" t="str">
        <f t="shared" si="521"/>
        <v/>
      </c>
      <c r="D3458" s="63" t="str">
        <f t="shared" si="522"/>
        <v/>
      </c>
      <c r="E3458" t="str">
        <f t="shared" si="523"/>
        <v/>
      </c>
      <c r="F3458">
        <f t="shared" si="524"/>
        <v>6.42857142857143</v>
      </c>
      <c r="G3458" t="str">
        <f t="shared" si="525"/>
        <v/>
      </c>
    </row>
    <row r="3459" spans="2:7">
      <c r="B3459" s="46"/>
      <c r="C3459" t="str">
        <f t="shared" si="521"/>
        <v/>
      </c>
      <c r="D3459" s="63" t="str">
        <f t="shared" si="522"/>
        <v/>
      </c>
      <c r="E3459" t="str">
        <f t="shared" si="523"/>
        <v/>
      </c>
      <c r="F3459" t="str">
        <f t="shared" si="524"/>
        <v/>
      </c>
      <c r="G3459">
        <f t="shared" si="525"/>
        <v>3.84591194968553</v>
      </c>
    </row>
    <row r="3460" spans="2:7">
      <c r="B3460" s="46"/>
      <c r="C3460">
        <f t="shared" si="521"/>
        <v>0.844907407407407</v>
      </c>
      <c r="D3460" s="63" t="str">
        <f t="shared" si="522"/>
        <v/>
      </c>
      <c r="E3460" t="str">
        <f t="shared" si="523"/>
        <v/>
      </c>
      <c r="F3460" t="str">
        <f t="shared" si="524"/>
        <v/>
      </c>
      <c r="G3460" t="str">
        <f t="shared" si="525"/>
        <v/>
      </c>
    </row>
    <row r="3461" spans="2:7">
      <c r="B3461" s="46"/>
      <c r="C3461">
        <f t="shared" si="521"/>
        <v>6.79803240740741</v>
      </c>
      <c r="D3461" s="63" t="str">
        <f t="shared" si="522"/>
        <v/>
      </c>
      <c r="E3461" t="str">
        <f t="shared" si="523"/>
        <v/>
      </c>
      <c r="F3461" t="str">
        <f t="shared" si="524"/>
        <v/>
      </c>
      <c r="G3461" t="str">
        <f t="shared" si="525"/>
        <v/>
      </c>
    </row>
    <row r="3462" spans="2:7">
      <c r="B3462" s="46"/>
      <c r="C3462">
        <f t="shared" si="521"/>
        <v>6.79803240740741</v>
      </c>
      <c r="D3462" s="63" t="str">
        <f t="shared" si="522"/>
        <v/>
      </c>
      <c r="E3462" t="str">
        <f t="shared" si="523"/>
        <v/>
      </c>
      <c r="F3462" t="str">
        <f t="shared" si="524"/>
        <v/>
      </c>
      <c r="G3462" t="str">
        <f t="shared" si="525"/>
        <v/>
      </c>
    </row>
    <row r="3463" spans="2:7">
      <c r="B3463" s="46"/>
      <c r="C3463">
        <f t="shared" si="521"/>
        <v>7.52719907407408</v>
      </c>
      <c r="D3463" s="63" t="str">
        <f t="shared" si="522"/>
        <v/>
      </c>
      <c r="E3463" t="str">
        <f t="shared" si="523"/>
        <v/>
      </c>
      <c r="F3463" t="str">
        <f t="shared" si="524"/>
        <v/>
      </c>
      <c r="G3463" t="str">
        <f t="shared" si="525"/>
        <v/>
      </c>
    </row>
    <row r="3464" spans="2:7">
      <c r="B3464" s="46"/>
      <c r="C3464" t="str">
        <f t="shared" si="521"/>
        <v/>
      </c>
      <c r="D3464" s="63">
        <f t="shared" si="522"/>
        <v>2.7881455399061</v>
      </c>
      <c r="E3464" t="str">
        <f t="shared" si="523"/>
        <v/>
      </c>
      <c r="F3464" t="str">
        <f t="shared" si="524"/>
        <v/>
      </c>
      <c r="G3464" t="str">
        <f t="shared" si="525"/>
        <v/>
      </c>
    </row>
    <row r="3465" spans="2:7">
      <c r="B3465" s="46"/>
      <c r="C3465" t="str">
        <f t="shared" si="521"/>
        <v/>
      </c>
      <c r="D3465" s="63">
        <f t="shared" si="522"/>
        <v>4.47535211267606</v>
      </c>
      <c r="E3465" t="str">
        <f t="shared" si="523"/>
        <v/>
      </c>
      <c r="F3465" t="str">
        <f t="shared" si="524"/>
        <v/>
      </c>
      <c r="G3465" t="str">
        <f t="shared" si="525"/>
        <v/>
      </c>
    </row>
    <row r="3466" spans="2:7">
      <c r="B3466" s="46"/>
      <c r="C3466" t="str">
        <f t="shared" si="521"/>
        <v/>
      </c>
      <c r="D3466" s="63">
        <f t="shared" si="522"/>
        <v>6.10680751173709</v>
      </c>
      <c r="E3466" t="str">
        <f t="shared" si="523"/>
        <v/>
      </c>
      <c r="F3466" t="str">
        <f t="shared" si="524"/>
        <v/>
      </c>
      <c r="G3466" t="str">
        <f t="shared" si="525"/>
        <v/>
      </c>
    </row>
    <row r="3467" spans="2:7">
      <c r="B3467" s="46"/>
      <c r="C3467" t="str">
        <f t="shared" si="521"/>
        <v/>
      </c>
      <c r="D3467" s="63">
        <f t="shared" si="522"/>
        <v>8.50821596244131</v>
      </c>
      <c r="E3467" t="str">
        <f t="shared" si="523"/>
        <v/>
      </c>
      <c r="F3467" t="str">
        <f t="shared" si="524"/>
        <v/>
      </c>
      <c r="G3467" t="str">
        <f t="shared" si="525"/>
        <v/>
      </c>
    </row>
    <row r="3468" spans="2:7">
      <c r="B3468" s="46"/>
      <c r="C3468" t="str">
        <f t="shared" si="521"/>
        <v/>
      </c>
      <c r="D3468" s="63">
        <f t="shared" si="522"/>
        <v>10.268779342723</v>
      </c>
      <c r="E3468" t="str">
        <f t="shared" si="523"/>
        <v/>
      </c>
      <c r="F3468" t="str">
        <f t="shared" si="524"/>
        <v/>
      </c>
      <c r="G3468" t="str">
        <f t="shared" si="525"/>
        <v/>
      </c>
    </row>
    <row r="3469" spans="2:7">
      <c r="B3469" s="46"/>
      <c r="C3469" t="str">
        <f t="shared" si="521"/>
        <v/>
      </c>
      <c r="D3469" s="63" t="str">
        <f t="shared" si="522"/>
        <v/>
      </c>
      <c r="E3469" t="str">
        <f t="shared" si="523"/>
        <v/>
      </c>
      <c r="F3469" t="str">
        <f t="shared" si="524"/>
        <v/>
      </c>
      <c r="G3469">
        <f t="shared" si="525"/>
        <v>7.67610062893082</v>
      </c>
    </row>
    <row r="3470" spans="2:7">
      <c r="B3470" s="46"/>
      <c r="C3470" t="str">
        <f t="shared" si="521"/>
        <v/>
      </c>
      <c r="D3470" s="63" t="str">
        <f t="shared" si="522"/>
        <v/>
      </c>
      <c r="E3470" t="str">
        <f t="shared" si="523"/>
        <v/>
      </c>
      <c r="F3470" t="str">
        <f t="shared" si="524"/>
        <v/>
      </c>
      <c r="G3470">
        <f t="shared" si="525"/>
        <v>10.3836477987421</v>
      </c>
    </row>
    <row r="3471" spans="2:7">
      <c r="B3471" s="46"/>
      <c r="C3471" t="str">
        <f t="shared" si="521"/>
        <v/>
      </c>
      <c r="D3471" s="63" t="str">
        <f t="shared" si="522"/>
        <v/>
      </c>
      <c r="E3471" t="str">
        <f t="shared" si="523"/>
        <v/>
      </c>
      <c r="F3471" t="str">
        <f t="shared" si="524"/>
        <v/>
      </c>
      <c r="G3471">
        <f t="shared" si="525"/>
        <v>13.2138364779874</v>
      </c>
    </row>
    <row r="3472" spans="2:7">
      <c r="B3472" s="46"/>
      <c r="C3472" t="str">
        <f t="shared" si="521"/>
        <v/>
      </c>
      <c r="D3472" s="63" t="str">
        <f t="shared" si="522"/>
        <v/>
      </c>
      <c r="E3472" t="str">
        <f t="shared" si="523"/>
        <v/>
      </c>
      <c r="F3472" t="str">
        <f t="shared" si="524"/>
        <v/>
      </c>
      <c r="G3472">
        <f t="shared" si="525"/>
        <v>14.7243186582809</v>
      </c>
    </row>
    <row r="3473" spans="2:7">
      <c r="B3473" s="46"/>
      <c r="C3473" t="str">
        <f t="shared" si="521"/>
        <v/>
      </c>
      <c r="D3473" s="63" t="str">
        <f t="shared" si="522"/>
        <v/>
      </c>
      <c r="E3473" t="str">
        <f t="shared" si="523"/>
        <v/>
      </c>
      <c r="F3473">
        <f t="shared" si="524"/>
        <v>9.17630385487529</v>
      </c>
      <c r="G3473" t="str">
        <f t="shared" si="525"/>
        <v/>
      </c>
    </row>
    <row r="3474" spans="2:7">
      <c r="B3474" s="46"/>
      <c r="C3474" t="str">
        <f t="shared" si="521"/>
        <v/>
      </c>
      <c r="D3474" s="63" t="str">
        <f t="shared" si="522"/>
        <v/>
      </c>
      <c r="E3474" t="str">
        <f t="shared" si="523"/>
        <v/>
      </c>
      <c r="F3474">
        <f t="shared" si="524"/>
        <v>12.328231292517</v>
      </c>
      <c r="G3474" t="str">
        <f t="shared" si="525"/>
        <v/>
      </c>
    </row>
    <row r="3475" spans="2:7">
      <c r="B3475" s="46"/>
      <c r="C3475" t="str">
        <f t="shared" si="521"/>
        <v/>
      </c>
      <c r="D3475" s="63" t="str">
        <f t="shared" si="522"/>
        <v/>
      </c>
      <c r="E3475" t="str">
        <f t="shared" si="523"/>
        <v/>
      </c>
      <c r="F3475">
        <f t="shared" si="524"/>
        <v>15.0017006802721</v>
      </c>
      <c r="G3475" t="str">
        <f t="shared" si="525"/>
        <v/>
      </c>
    </row>
    <row r="3476" spans="2:7">
      <c r="B3476" s="46"/>
      <c r="C3476">
        <f t="shared" si="521"/>
        <v>10.328125</v>
      </c>
      <c r="D3476" s="63" t="str">
        <f t="shared" si="522"/>
        <v/>
      </c>
      <c r="E3476" t="str">
        <f t="shared" si="523"/>
        <v/>
      </c>
      <c r="F3476" t="str">
        <f t="shared" si="524"/>
        <v/>
      </c>
      <c r="G3476" t="str">
        <f t="shared" si="525"/>
        <v/>
      </c>
    </row>
    <row r="3477" spans="2:7">
      <c r="B3477" s="46"/>
      <c r="C3477">
        <f t="shared" si="521"/>
        <v>14.5908564814815</v>
      </c>
      <c r="D3477" s="63" t="str">
        <f t="shared" si="522"/>
        <v/>
      </c>
      <c r="E3477" t="str">
        <f t="shared" si="523"/>
        <v/>
      </c>
      <c r="F3477" t="str">
        <f t="shared" si="524"/>
        <v/>
      </c>
      <c r="G3477" t="str">
        <f t="shared" si="525"/>
        <v/>
      </c>
    </row>
    <row r="3478" spans="2:7">
      <c r="B3478" s="46"/>
      <c r="C3478">
        <f t="shared" si="521"/>
        <v>14.9409722222222</v>
      </c>
      <c r="D3478" s="63" t="str">
        <f t="shared" si="522"/>
        <v/>
      </c>
      <c r="E3478" t="str">
        <f t="shared" si="523"/>
        <v/>
      </c>
      <c r="F3478" t="str">
        <f t="shared" si="524"/>
        <v/>
      </c>
      <c r="G3478" t="str">
        <f t="shared" si="525"/>
        <v/>
      </c>
    </row>
    <row r="3479" spans="2:7">
      <c r="B3479" s="46"/>
      <c r="C3479">
        <f t="shared" si="521"/>
        <v>19.2465277777778</v>
      </c>
      <c r="D3479" s="63" t="str">
        <f t="shared" si="522"/>
        <v/>
      </c>
      <c r="E3479" t="str">
        <f t="shared" si="523"/>
        <v/>
      </c>
      <c r="F3479" t="str">
        <f t="shared" si="524"/>
        <v/>
      </c>
      <c r="G3479" t="str">
        <f t="shared" si="525"/>
        <v/>
      </c>
    </row>
    <row r="3480" spans="2:7">
      <c r="B3480" s="46"/>
      <c r="C3480" t="str">
        <f t="shared" si="521"/>
        <v/>
      </c>
      <c r="D3480" s="63">
        <f t="shared" si="522"/>
        <v>15.0340375586854</v>
      </c>
      <c r="E3480" t="str">
        <f t="shared" si="523"/>
        <v/>
      </c>
      <c r="F3480" t="str">
        <f t="shared" si="524"/>
        <v/>
      </c>
      <c r="G3480" t="str">
        <f t="shared" si="525"/>
        <v/>
      </c>
    </row>
    <row r="3481" spans="2:7">
      <c r="B3481" s="46"/>
      <c r="C3481" t="str">
        <f t="shared" si="521"/>
        <v/>
      </c>
      <c r="D3481" s="63">
        <f t="shared" si="522"/>
        <v>15.0340375586854</v>
      </c>
      <c r="E3481" t="str">
        <f t="shared" si="523"/>
        <v/>
      </c>
      <c r="F3481" t="str">
        <f t="shared" si="524"/>
        <v/>
      </c>
      <c r="G3481" t="str">
        <f t="shared" si="525"/>
        <v/>
      </c>
    </row>
    <row r="3482" spans="2:7">
      <c r="B3482" s="46"/>
      <c r="C3482" t="str">
        <f t="shared" si="521"/>
        <v/>
      </c>
      <c r="D3482" s="63">
        <f t="shared" si="522"/>
        <v>16.1343896713615</v>
      </c>
      <c r="E3482" t="str">
        <f t="shared" si="523"/>
        <v/>
      </c>
      <c r="F3482" t="str">
        <f t="shared" si="524"/>
        <v/>
      </c>
      <c r="G3482" t="str">
        <f t="shared" si="525"/>
        <v/>
      </c>
    </row>
    <row r="3483" spans="2:7">
      <c r="B3483" s="46"/>
      <c r="C3483" t="str">
        <f t="shared" si="521"/>
        <v/>
      </c>
      <c r="D3483" s="63">
        <f t="shared" si="522"/>
        <v>16.8620892018779</v>
      </c>
      <c r="E3483" t="str">
        <f t="shared" si="523"/>
        <v/>
      </c>
      <c r="F3483" t="str">
        <f t="shared" si="524"/>
        <v/>
      </c>
      <c r="G3483" t="str">
        <f t="shared" si="525"/>
        <v/>
      </c>
    </row>
    <row r="3484" spans="2:7">
      <c r="B3484" s="46"/>
      <c r="C3484" t="str">
        <f t="shared" si="521"/>
        <v/>
      </c>
      <c r="D3484" s="63" t="str">
        <f t="shared" si="522"/>
        <v/>
      </c>
      <c r="E3484">
        <f t="shared" si="523"/>
        <v>16.1245098039216</v>
      </c>
      <c r="F3484" t="str">
        <f t="shared" si="524"/>
        <v/>
      </c>
      <c r="G3484" t="str">
        <f t="shared" si="525"/>
        <v/>
      </c>
    </row>
    <row r="3485" spans="2:7">
      <c r="B3485" s="46"/>
      <c r="C3485" t="str">
        <f t="shared" si="521"/>
        <v/>
      </c>
      <c r="D3485" s="63" t="str">
        <f t="shared" si="522"/>
        <v/>
      </c>
      <c r="E3485">
        <f t="shared" si="523"/>
        <v>17.9225490196078</v>
      </c>
      <c r="F3485" t="str">
        <f t="shared" si="524"/>
        <v/>
      </c>
      <c r="G3485" t="str">
        <f t="shared" si="525"/>
        <v/>
      </c>
    </row>
    <row r="3486" spans="2:7">
      <c r="B3486" s="46"/>
      <c r="C3486" t="str">
        <f t="shared" si="521"/>
        <v/>
      </c>
      <c r="D3486" s="63" t="str">
        <f t="shared" si="522"/>
        <v/>
      </c>
      <c r="E3486">
        <f t="shared" si="523"/>
        <v>18.7166666666667</v>
      </c>
      <c r="F3486" t="str">
        <f t="shared" si="524"/>
        <v/>
      </c>
      <c r="G3486" t="str">
        <f t="shared" si="525"/>
        <v/>
      </c>
    </row>
    <row r="3487" spans="2:7">
      <c r="B3487" s="46"/>
      <c r="C3487" t="str">
        <f t="shared" si="521"/>
        <v/>
      </c>
      <c r="D3487" s="63" t="str">
        <f t="shared" si="522"/>
        <v/>
      </c>
      <c r="E3487">
        <f t="shared" si="523"/>
        <v>18.9539215686275</v>
      </c>
      <c r="F3487" t="str">
        <f t="shared" si="524"/>
        <v/>
      </c>
      <c r="G3487" t="str">
        <f t="shared" si="525"/>
        <v/>
      </c>
    </row>
    <row r="3488" spans="2:7">
      <c r="B3488" s="46"/>
      <c r="C3488" t="str">
        <f t="shared" si="521"/>
        <v/>
      </c>
      <c r="D3488" s="63" t="str">
        <f t="shared" si="522"/>
        <v/>
      </c>
      <c r="E3488" t="str">
        <f t="shared" si="523"/>
        <v/>
      </c>
      <c r="F3488" t="str">
        <f t="shared" si="524"/>
        <v/>
      </c>
      <c r="G3488">
        <f t="shared" si="525"/>
        <v>15.4449685534591</v>
      </c>
    </row>
    <row r="3489" spans="2:7">
      <c r="B3489" s="46"/>
      <c r="C3489" t="str">
        <f t="shared" si="521"/>
        <v/>
      </c>
      <c r="D3489" s="63" t="str">
        <f t="shared" si="522"/>
        <v/>
      </c>
      <c r="E3489" t="str">
        <f t="shared" si="523"/>
        <v/>
      </c>
      <c r="F3489" t="str">
        <f t="shared" si="524"/>
        <v/>
      </c>
      <c r="G3489">
        <f t="shared" si="525"/>
        <v>16.4669811320755</v>
      </c>
    </row>
    <row r="3490" spans="2:7">
      <c r="B3490" s="46"/>
      <c r="C3490" t="str">
        <f t="shared" si="521"/>
        <v/>
      </c>
      <c r="D3490" s="63" t="str">
        <f t="shared" si="522"/>
        <v/>
      </c>
      <c r="E3490" t="str">
        <f t="shared" si="523"/>
        <v/>
      </c>
      <c r="F3490" t="str">
        <f t="shared" si="524"/>
        <v/>
      </c>
      <c r="G3490">
        <f t="shared" si="525"/>
        <v>17.7877358490566</v>
      </c>
    </row>
    <row r="3491" spans="2:7">
      <c r="B3491" s="46"/>
      <c r="C3491" t="str">
        <f t="shared" si="521"/>
        <v/>
      </c>
      <c r="D3491" s="63" t="str">
        <f t="shared" si="522"/>
        <v/>
      </c>
      <c r="E3491" t="str">
        <f t="shared" si="523"/>
        <v/>
      </c>
      <c r="F3491" t="str">
        <f t="shared" si="524"/>
        <v/>
      </c>
      <c r="G3491">
        <f t="shared" si="525"/>
        <v>18.377358490566</v>
      </c>
    </row>
    <row r="3492" spans="2:7">
      <c r="B3492" s="46"/>
      <c r="C3492" t="str">
        <f t="shared" si="521"/>
        <v/>
      </c>
      <c r="D3492" s="63" t="str">
        <f t="shared" si="522"/>
        <v/>
      </c>
      <c r="E3492" t="str">
        <f t="shared" si="523"/>
        <v/>
      </c>
      <c r="F3492">
        <f t="shared" si="524"/>
        <v>15.4234693877551</v>
      </c>
      <c r="G3492" t="str">
        <f t="shared" si="525"/>
        <v/>
      </c>
    </row>
    <row r="3493" spans="2:7">
      <c r="B3493" s="46"/>
      <c r="C3493" t="str">
        <f t="shared" si="521"/>
        <v/>
      </c>
      <c r="D3493" s="63" t="str">
        <f t="shared" si="522"/>
        <v/>
      </c>
      <c r="E3493" t="str">
        <f t="shared" si="523"/>
        <v/>
      </c>
      <c r="F3493">
        <f t="shared" si="524"/>
        <v>16.7698412698413</v>
      </c>
      <c r="G3493" t="str">
        <f t="shared" si="525"/>
        <v/>
      </c>
    </row>
    <row r="3494" spans="2:7">
      <c r="B3494" s="46"/>
      <c r="C3494" t="str">
        <f t="shared" si="521"/>
        <v/>
      </c>
      <c r="D3494" s="63" t="str">
        <f t="shared" si="522"/>
        <v/>
      </c>
      <c r="E3494" t="str">
        <f t="shared" si="523"/>
        <v/>
      </c>
      <c r="F3494">
        <f t="shared" si="524"/>
        <v>18.109410430839</v>
      </c>
      <c r="G3494" t="str">
        <f t="shared" si="525"/>
        <v/>
      </c>
    </row>
    <row r="3495" spans="2:7">
      <c r="B3495" s="46"/>
      <c r="C3495" t="str">
        <f t="shared" si="521"/>
        <v/>
      </c>
      <c r="D3495" s="63" t="str">
        <f t="shared" si="522"/>
        <v/>
      </c>
      <c r="E3495" t="str">
        <f t="shared" si="523"/>
        <v/>
      </c>
      <c r="F3495">
        <f t="shared" si="524"/>
        <v>20.1581632653061</v>
      </c>
      <c r="G3495" t="str">
        <f t="shared" si="525"/>
        <v/>
      </c>
    </row>
    <row r="3496" spans="2:7">
      <c r="B3496" s="46"/>
      <c r="C3496" t="str">
        <f t="shared" si="521"/>
        <v/>
      </c>
      <c r="D3496" s="63" t="str">
        <f t="shared" si="522"/>
        <v/>
      </c>
      <c r="E3496" t="str">
        <f t="shared" si="523"/>
        <v/>
      </c>
      <c r="F3496">
        <f t="shared" si="524"/>
        <v>22.1581632653061</v>
      </c>
      <c r="G3496" t="str">
        <f t="shared" si="525"/>
        <v/>
      </c>
    </row>
    <row r="3497" spans="2:7">
      <c r="B3497" s="46"/>
      <c r="C3497" t="str">
        <f t="shared" si="521"/>
        <v/>
      </c>
      <c r="D3497" s="63" t="str">
        <f t="shared" si="522"/>
        <v/>
      </c>
      <c r="E3497" t="str">
        <f t="shared" si="523"/>
        <v/>
      </c>
      <c r="F3497">
        <f t="shared" si="524"/>
        <v>22.8781179138322</v>
      </c>
      <c r="G3497" t="str">
        <f t="shared" si="525"/>
        <v/>
      </c>
    </row>
    <row r="3498" spans="2:7">
      <c r="B3498" s="46"/>
      <c r="C3498" t="str">
        <f t="shared" si="521"/>
        <v/>
      </c>
      <c r="D3498" s="63">
        <f t="shared" si="522"/>
        <v>17.3022300469484</v>
      </c>
      <c r="E3498" t="str">
        <f t="shared" si="523"/>
        <v/>
      </c>
      <c r="F3498" t="str">
        <f t="shared" si="524"/>
        <v/>
      </c>
      <c r="G3498" t="str">
        <f t="shared" si="525"/>
        <v/>
      </c>
    </row>
    <row r="3499" spans="2:7">
      <c r="B3499" s="46"/>
      <c r="C3499" t="str">
        <f t="shared" si="521"/>
        <v/>
      </c>
      <c r="D3499" s="63">
        <f t="shared" si="522"/>
        <v>22.837441314554</v>
      </c>
      <c r="E3499" t="str">
        <f t="shared" si="523"/>
        <v/>
      </c>
      <c r="F3499" t="str">
        <f t="shared" si="524"/>
        <v/>
      </c>
      <c r="G3499" t="str">
        <f t="shared" si="525"/>
        <v/>
      </c>
    </row>
    <row r="3500" spans="2:7">
      <c r="B3500" s="46"/>
      <c r="C3500" t="str">
        <f t="shared" si="521"/>
        <v/>
      </c>
      <c r="D3500" s="63">
        <f t="shared" si="522"/>
        <v>23.7089201877934</v>
      </c>
      <c r="E3500" t="str">
        <f t="shared" si="523"/>
        <v/>
      </c>
      <c r="F3500" t="str">
        <f t="shared" si="524"/>
        <v/>
      </c>
      <c r="G3500" t="str">
        <f t="shared" si="525"/>
        <v/>
      </c>
    </row>
    <row r="3501" spans="2:7">
      <c r="B3501" s="46"/>
      <c r="C3501" t="str">
        <f t="shared" si="521"/>
        <v/>
      </c>
      <c r="D3501" s="63">
        <f t="shared" si="522"/>
        <v>24.3427230046948</v>
      </c>
      <c r="E3501" t="str">
        <f t="shared" si="523"/>
        <v/>
      </c>
      <c r="F3501" t="str">
        <f t="shared" si="524"/>
        <v/>
      </c>
      <c r="G3501" t="str">
        <f t="shared" si="525"/>
        <v/>
      </c>
    </row>
    <row r="3502" spans="2:7">
      <c r="B3502" s="46"/>
      <c r="C3502" t="str">
        <f t="shared" si="521"/>
        <v/>
      </c>
      <c r="D3502" s="63">
        <f t="shared" si="522"/>
        <v>27.5704225352113</v>
      </c>
      <c r="E3502" t="str">
        <f t="shared" si="523"/>
        <v/>
      </c>
      <c r="F3502" t="str">
        <f t="shared" si="524"/>
        <v/>
      </c>
      <c r="G3502" t="str">
        <f t="shared" si="525"/>
        <v/>
      </c>
    </row>
    <row r="3503" spans="2:7">
      <c r="B3503" s="46"/>
      <c r="C3503" t="str">
        <f t="shared" si="521"/>
        <v/>
      </c>
      <c r="D3503" s="63" t="str">
        <f t="shared" si="522"/>
        <v/>
      </c>
      <c r="E3503" t="str">
        <f t="shared" si="523"/>
        <v/>
      </c>
      <c r="F3503" t="str">
        <f t="shared" si="524"/>
        <v/>
      </c>
      <c r="G3503">
        <f t="shared" si="525"/>
        <v>19.1949685534591</v>
      </c>
    </row>
    <row r="3504" spans="2:7">
      <c r="B3504" s="46"/>
      <c r="C3504" t="str">
        <f t="shared" si="521"/>
        <v/>
      </c>
      <c r="D3504" s="63" t="str">
        <f t="shared" si="522"/>
        <v/>
      </c>
      <c r="E3504" t="str">
        <f t="shared" si="523"/>
        <v/>
      </c>
      <c r="F3504" t="str">
        <f t="shared" si="524"/>
        <v/>
      </c>
      <c r="G3504">
        <f t="shared" si="525"/>
        <v>21.9606918238994</v>
      </c>
    </row>
    <row r="3505" spans="2:7">
      <c r="B3505" s="46"/>
      <c r="C3505" t="str">
        <f t="shared" si="521"/>
        <v/>
      </c>
      <c r="D3505" s="63" t="str">
        <f t="shared" si="522"/>
        <v/>
      </c>
      <c r="E3505" t="str">
        <f t="shared" si="523"/>
        <v/>
      </c>
      <c r="F3505" t="str">
        <f t="shared" si="524"/>
        <v/>
      </c>
      <c r="G3505">
        <f t="shared" si="525"/>
        <v>21.9606918238994</v>
      </c>
    </row>
    <row r="3506" spans="2:7">
      <c r="B3506" s="46"/>
      <c r="C3506" t="str">
        <f t="shared" si="521"/>
        <v/>
      </c>
      <c r="D3506" s="63" t="str">
        <f t="shared" si="522"/>
        <v/>
      </c>
      <c r="E3506" t="str">
        <f t="shared" si="523"/>
        <v/>
      </c>
      <c r="F3506" t="str">
        <f t="shared" si="524"/>
        <v/>
      </c>
      <c r="G3506">
        <f t="shared" si="525"/>
        <v>25.2222222222222</v>
      </c>
    </row>
    <row r="3507" spans="2:7">
      <c r="B3507" s="46"/>
      <c r="C3507" t="str">
        <f t="shared" si="521"/>
        <v/>
      </c>
      <c r="D3507" s="63" t="str">
        <f t="shared" si="522"/>
        <v/>
      </c>
      <c r="E3507">
        <f t="shared" si="523"/>
        <v>22.268137254902</v>
      </c>
      <c r="F3507" t="str">
        <f t="shared" si="524"/>
        <v/>
      </c>
      <c r="G3507" t="str">
        <f t="shared" si="525"/>
        <v/>
      </c>
    </row>
    <row r="3508" spans="2:7">
      <c r="B3508" s="46"/>
      <c r="C3508" t="str">
        <f t="shared" si="521"/>
        <v/>
      </c>
      <c r="D3508" s="63" t="str">
        <f t="shared" si="522"/>
        <v/>
      </c>
      <c r="E3508">
        <f t="shared" si="523"/>
        <v>22.268137254902</v>
      </c>
      <c r="F3508" t="str">
        <f t="shared" si="524"/>
        <v/>
      </c>
      <c r="G3508" t="str">
        <f t="shared" si="525"/>
        <v/>
      </c>
    </row>
    <row r="3509" spans="2:7">
      <c r="B3509" s="46"/>
      <c r="C3509" t="str">
        <f t="shared" si="521"/>
        <v/>
      </c>
      <c r="D3509" s="63" t="str">
        <f t="shared" si="522"/>
        <v/>
      </c>
      <c r="E3509">
        <f t="shared" si="523"/>
        <v>24.6995098039216</v>
      </c>
      <c r="F3509" t="str">
        <f t="shared" si="524"/>
        <v/>
      </c>
      <c r="G3509" t="str">
        <f t="shared" si="525"/>
        <v/>
      </c>
    </row>
    <row r="3510" spans="2:7">
      <c r="B3510" s="46"/>
      <c r="C3510" t="str">
        <f t="shared" si="521"/>
        <v/>
      </c>
      <c r="D3510" s="63" t="str">
        <f t="shared" si="522"/>
        <v/>
      </c>
      <c r="E3510">
        <f t="shared" si="523"/>
        <v>25.3416666666667</v>
      </c>
      <c r="F3510" t="str">
        <f t="shared" si="524"/>
        <v/>
      </c>
      <c r="G3510" t="str">
        <f t="shared" si="525"/>
        <v/>
      </c>
    </row>
    <row r="3511" spans="2:7">
      <c r="B3511" s="46"/>
      <c r="C3511">
        <f t="shared" si="521"/>
        <v>19.5358796296296</v>
      </c>
      <c r="D3511" s="63" t="str">
        <f t="shared" si="522"/>
        <v/>
      </c>
      <c r="E3511" t="str">
        <f t="shared" si="523"/>
        <v/>
      </c>
      <c r="F3511" t="str">
        <f t="shared" si="524"/>
        <v/>
      </c>
      <c r="G3511" t="str">
        <f t="shared" si="525"/>
        <v/>
      </c>
    </row>
    <row r="3512" spans="2:7">
      <c r="B3512" s="46"/>
      <c r="C3512">
        <f t="shared" si="521"/>
        <v>20.1608796296296</v>
      </c>
      <c r="D3512" s="63" t="str">
        <f t="shared" si="522"/>
        <v/>
      </c>
      <c r="E3512" t="str">
        <f t="shared" si="523"/>
        <v/>
      </c>
      <c r="F3512" t="str">
        <f t="shared" si="524"/>
        <v/>
      </c>
      <c r="G3512" t="str">
        <f t="shared" si="525"/>
        <v/>
      </c>
    </row>
    <row r="3513" spans="2:7">
      <c r="B3513" s="46"/>
      <c r="C3513">
        <f t="shared" si="521"/>
        <v>21.7233796296296</v>
      </c>
      <c r="D3513" s="63" t="str">
        <f t="shared" si="522"/>
        <v/>
      </c>
      <c r="E3513" t="str">
        <f t="shared" si="523"/>
        <v/>
      </c>
      <c r="F3513" t="str">
        <f t="shared" si="524"/>
        <v/>
      </c>
      <c r="G3513" t="str">
        <f t="shared" si="525"/>
        <v/>
      </c>
    </row>
    <row r="3514" spans="2:7">
      <c r="B3514" s="46"/>
      <c r="C3514">
        <f t="shared" si="521"/>
        <v>22.7054398148148</v>
      </c>
      <c r="D3514" s="63" t="str">
        <f t="shared" si="522"/>
        <v/>
      </c>
      <c r="E3514" t="str">
        <f t="shared" si="523"/>
        <v/>
      </c>
      <c r="F3514" t="str">
        <f t="shared" si="524"/>
        <v/>
      </c>
      <c r="G3514" t="str">
        <f t="shared" si="525"/>
        <v/>
      </c>
    </row>
    <row r="3515" spans="2:7">
      <c r="B3515" s="46"/>
      <c r="C3515">
        <f t="shared" si="521"/>
        <v>22.7054398148148</v>
      </c>
      <c r="D3515" s="63" t="str">
        <f t="shared" si="522"/>
        <v/>
      </c>
      <c r="E3515" t="str">
        <f t="shared" si="523"/>
        <v/>
      </c>
      <c r="F3515" t="str">
        <f t="shared" si="524"/>
        <v/>
      </c>
      <c r="G3515" t="str">
        <f t="shared" si="525"/>
        <v/>
      </c>
    </row>
    <row r="3516" spans="2:7">
      <c r="B3516" s="46"/>
      <c r="C3516">
        <f t="shared" ref="C3516:C3528" si="526">IF(J72=1,S72,"")</f>
        <v>22.8512731481482</v>
      </c>
      <c r="D3516" s="63" t="str">
        <f t="shared" ref="D3516:D3528" si="527">IF(J72=2,S72,"")</f>
        <v/>
      </c>
      <c r="E3516" t="str">
        <f t="shared" ref="E3516:E3528" si="528">IF(J72=3,S72,"")</f>
        <v/>
      </c>
      <c r="F3516" t="str">
        <f t="shared" ref="F3516:F3528" si="529">IF(J72=4,S72,"")</f>
        <v/>
      </c>
      <c r="G3516" t="str">
        <f t="shared" ref="G3516:G3528" si="530">IF(J72=5,S72,"")</f>
        <v/>
      </c>
    </row>
    <row r="3517" spans="2:7">
      <c r="B3517" s="46"/>
      <c r="C3517">
        <f t="shared" si="526"/>
        <v>34.4068287037037</v>
      </c>
      <c r="D3517" s="63" t="str">
        <f t="shared" si="527"/>
        <v/>
      </c>
      <c r="E3517" t="str">
        <f t="shared" si="528"/>
        <v/>
      </c>
      <c r="F3517" t="str">
        <f t="shared" si="529"/>
        <v/>
      </c>
      <c r="G3517" t="str">
        <f t="shared" si="530"/>
        <v/>
      </c>
    </row>
    <row r="3518" spans="2:7">
      <c r="B3518" s="46"/>
      <c r="C3518">
        <f t="shared" si="526"/>
        <v>34.4068287037037</v>
      </c>
      <c r="D3518" s="63" t="str">
        <f t="shared" si="527"/>
        <v/>
      </c>
      <c r="E3518" t="str">
        <f t="shared" si="528"/>
        <v/>
      </c>
      <c r="F3518" t="str">
        <f t="shared" si="529"/>
        <v/>
      </c>
      <c r="G3518" t="str">
        <f t="shared" si="530"/>
        <v/>
      </c>
    </row>
    <row r="3519" spans="2:7">
      <c r="B3519" s="46"/>
      <c r="C3519">
        <f t="shared" si="526"/>
        <v>35.5827546296296</v>
      </c>
      <c r="D3519" s="63" t="str">
        <f t="shared" si="527"/>
        <v/>
      </c>
      <c r="E3519" t="str">
        <f t="shared" si="528"/>
        <v/>
      </c>
      <c r="F3519" t="str">
        <f t="shared" si="529"/>
        <v/>
      </c>
      <c r="G3519" t="str">
        <f t="shared" si="530"/>
        <v/>
      </c>
    </row>
    <row r="3520" spans="2:7">
      <c r="B3520" s="46"/>
      <c r="C3520">
        <f t="shared" si="526"/>
        <v>36.7893518518519</v>
      </c>
      <c r="D3520" s="63" t="str">
        <f t="shared" si="527"/>
        <v/>
      </c>
      <c r="E3520" t="str">
        <f t="shared" si="528"/>
        <v/>
      </c>
      <c r="F3520" t="str">
        <f t="shared" si="529"/>
        <v/>
      </c>
      <c r="G3520" t="str">
        <f t="shared" si="530"/>
        <v/>
      </c>
    </row>
    <row r="3521" spans="2:7">
      <c r="B3521" s="46"/>
      <c r="C3521" t="str">
        <f t="shared" si="526"/>
        <v/>
      </c>
      <c r="D3521" s="63" t="str">
        <f t="shared" si="527"/>
        <v/>
      </c>
      <c r="E3521" t="str">
        <f t="shared" si="528"/>
        <v/>
      </c>
      <c r="F3521">
        <f t="shared" si="529"/>
        <v>23.4404761904762</v>
      </c>
      <c r="G3521" t="str">
        <f t="shared" si="530"/>
        <v/>
      </c>
    </row>
    <row r="3522" spans="2:7">
      <c r="B3522" s="46"/>
      <c r="C3522" t="str">
        <f t="shared" si="526"/>
        <v/>
      </c>
      <c r="D3522" s="63" t="str">
        <f t="shared" si="527"/>
        <v/>
      </c>
      <c r="E3522" t="str">
        <f t="shared" si="528"/>
        <v/>
      </c>
      <c r="F3522">
        <f t="shared" si="529"/>
        <v>24.3616780045352</v>
      </c>
      <c r="G3522" t="str">
        <f t="shared" si="530"/>
        <v/>
      </c>
    </row>
    <row r="3523" spans="2:7">
      <c r="B3523" s="46"/>
      <c r="C3523" t="str">
        <f t="shared" si="526"/>
        <v/>
      </c>
      <c r="D3523" s="63" t="str">
        <f t="shared" si="527"/>
        <v/>
      </c>
      <c r="E3523" t="str">
        <f t="shared" si="528"/>
        <v/>
      </c>
      <c r="F3523">
        <f t="shared" si="529"/>
        <v>25.8378684807256</v>
      </c>
      <c r="G3523" t="str">
        <f t="shared" si="530"/>
        <v/>
      </c>
    </row>
    <row r="3524" spans="2:7">
      <c r="B3524" s="46"/>
      <c r="C3524" t="str">
        <f t="shared" si="526"/>
        <v/>
      </c>
      <c r="D3524" s="63" t="str">
        <f t="shared" si="527"/>
        <v/>
      </c>
      <c r="E3524" t="str">
        <f t="shared" si="528"/>
        <v/>
      </c>
      <c r="F3524">
        <f t="shared" si="529"/>
        <v>29.4625850340136</v>
      </c>
      <c r="G3524" t="str">
        <f t="shared" si="530"/>
        <v/>
      </c>
    </row>
    <row r="3525" spans="2:7">
      <c r="B3525" s="46"/>
      <c r="C3525" t="str">
        <f t="shared" si="526"/>
        <v/>
      </c>
      <c r="D3525" s="63" t="str">
        <f t="shared" si="527"/>
        <v/>
      </c>
      <c r="E3525" t="str">
        <f t="shared" si="528"/>
        <v/>
      </c>
      <c r="F3525">
        <f t="shared" si="529"/>
        <v>30.092970521542</v>
      </c>
      <c r="G3525" t="str">
        <f t="shared" si="530"/>
        <v/>
      </c>
    </row>
    <row r="3526" spans="2:7">
      <c r="B3526" s="46"/>
      <c r="C3526" t="str">
        <f t="shared" si="526"/>
        <v/>
      </c>
      <c r="D3526" s="63" t="str">
        <f t="shared" si="527"/>
        <v/>
      </c>
      <c r="E3526" t="str">
        <f t="shared" si="528"/>
        <v/>
      </c>
      <c r="F3526">
        <f t="shared" si="529"/>
        <v>30.8809523809524</v>
      </c>
      <c r="G3526" t="str">
        <f t="shared" si="530"/>
        <v/>
      </c>
    </row>
    <row r="3527" spans="2:7">
      <c r="B3527" s="46"/>
      <c r="C3527" t="str">
        <f t="shared" si="526"/>
        <v/>
      </c>
      <c r="D3527" s="63" t="str">
        <f t="shared" si="527"/>
        <v/>
      </c>
      <c r="E3527" t="str">
        <f t="shared" si="528"/>
        <v/>
      </c>
      <c r="F3527" t="str">
        <f t="shared" si="529"/>
        <v/>
      </c>
      <c r="G3527">
        <f t="shared" si="530"/>
        <v>26.0235849056604</v>
      </c>
    </row>
    <row r="3528" ht="15.75" spans="2:7">
      <c r="B3528" s="46"/>
      <c r="C3528" t="str">
        <f t="shared" si="526"/>
        <v/>
      </c>
      <c r="D3528" s="63" t="str">
        <f t="shared" si="527"/>
        <v/>
      </c>
      <c r="E3528" t="str">
        <f t="shared" si="528"/>
        <v/>
      </c>
      <c r="F3528" t="str">
        <f t="shared" si="529"/>
        <v/>
      </c>
      <c r="G3528">
        <f t="shared" si="530"/>
        <v>26.8977987421384</v>
      </c>
    </row>
    <row r="3529" spans="2:7">
      <c r="B3529" s="74" t="s">
        <v>269</v>
      </c>
      <c r="C3529" s="75">
        <f>MAX(C3452:C3528)</f>
        <v>36.7893518518519</v>
      </c>
      <c r="D3529" s="75">
        <f>MAX(D3452:D3528)</f>
        <v>27.5704225352113</v>
      </c>
      <c r="E3529" s="75">
        <f t="shared" ref="E3529:G3529" si="531">MAX(E3452:E3528)</f>
        <v>25.3416666666667</v>
      </c>
      <c r="F3529" s="75">
        <f t="shared" si="531"/>
        <v>30.8809523809524</v>
      </c>
      <c r="G3529" s="75">
        <f t="shared" si="531"/>
        <v>26.8977987421384</v>
      </c>
    </row>
    <row r="3530" spans="2:7">
      <c r="B3530" s="76" t="s">
        <v>270</v>
      </c>
      <c r="C3530" s="77">
        <v>1</v>
      </c>
      <c r="D3530" s="78">
        <v>2</v>
      </c>
      <c r="E3530">
        <v>3</v>
      </c>
      <c r="F3530">
        <v>4</v>
      </c>
      <c r="G3530">
        <v>5</v>
      </c>
    </row>
    <row r="3531" spans="2:7">
      <c r="B3531" s="79" t="s">
        <v>271</v>
      </c>
      <c r="C3531" s="72">
        <f>HLOOKUP(MIN(C3529:G3529),C3529:G3530,2,FALSE)</f>
        <v>3</v>
      </c>
      <c r="D3531" s="80"/>
    </row>
    <row r="3533" ht="15.75" spans="2:7">
      <c r="B3533" s="43" t="s">
        <v>348</v>
      </c>
      <c r="C3533" s="44"/>
      <c r="D3533" s="45"/>
    </row>
    <row r="3534" spans="2:7">
      <c r="B3534" s="46"/>
      <c r="C3534" s="61" t="s">
        <v>264</v>
      </c>
      <c r="D3534" s="61" t="s">
        <v>265</v>
      </c>
      <c r="E3534" s="62" t="s">
        <v>286</v>
      </c>
      <c r="F3534" s="62" t="s">
        <v>287</v>
      </c>
      <c r="G3534" s="62" t="s">
        <v>288</v>
      </c>
    </row>
    <row r="3535" spans="2:7">
      <c r="B3535" s="46"/>
      <c r="C3535">
        <f t="shared" ref="C3535:C3598" si="532">IF(J8=1,S8,"")</f>
        <v>0.700231481481482</v>
      </c>
      <c r="D3535" s="63" t="str">
        <f t="shared" ref="D3535:D3598" si="533">IF(J8=2,S8,"")</f>
        <v/>
      </c>
      <c r="E3535" t="str">
        <f t="shared" ref="E3535:E3598" si="534">IF(J8=3,S8,"")</f>
        <v/>
      </c>
      <c r="F3535" t="str">
        <f t="shared" ref="F3535:F3598" si="535">IF(J8=4,S8,"")</f>
        <v/>
      </c>
      <c r="G3535" t="str">
        <f t="shared" ref="G3535:G3598" si="536">IF(J8=5,S8,"")</f>
        <v/>
      </c>
    </row>
    <row r="3536" spans="2:7">
      <c r="B3536" s="46"/>
      <c r="C3536" t="str">
        <f t="shared" si="532"/>
        <v/>
      </c>
      <c r="D3536" s="63">
        <f t="shared" si="533"/>
        <v>0.734154929577465</v>
      </c>
      <c r="E3536" t="str">
        <f t="shared" si="534"/>
        <v/>
      </c>
      <c r="F3536" t="str">
        <f t="shared" si="535"/>
        <v/>
      </c>
      <c r="G3536" t="str">
        <f t="shared" si="536"/>
        <v/>
      </c>
    </row>
    <row r="3537" spans="2:7">
      <c r="B3537" s="46"/>
      <c r="C3537" t="str">
        <f t="shared" si="532"/>
        <v/>
      </c>
      <c r="D3537" s="63" t="str">
        <f t="shared" si="533"/>
        <v/>
      </c>
      <c r="E3537">
        <f t="shared" si="534"/>
        <v>1.83823529411765</v>
      </c>
      <c r="F3537" t="str">
        <f t="shared" si="535"/>
        <v/>
      </c>
      <c r="G3537" t="str">
        <f t="shared" si="536"/>
        <v/>
      </c>
    </row>
    <row r="3538" spans="2:7">
      <c r="B3538" s="46"/>
      <c r="C3538" t="str">
        <f t="shared" si="532"/>
        <v/>
      </c>
      <c r="D3538" s="63" t="str">
        <f t="shared" si="533"/>
        <v/>
      </c>
      <c r="E3538" t="str">
        <f t="shared" si="534"/>
        <v/>
      </c>
      <c r="F3538">
        <f t="shared" si="535"/>
        <v>4.28571428571429</v>
      </c>
      <c r="G3538" t="str">
        <f t="shared" si="536"/>
        <v/>
      </c>
    </row>
    <row r="3539" spans="2:7">
      <c r="B3539" s="46"/>
      <c r="C3539" t="str">
        <f t="shared" si="532"/>
        <v/>
      </c>
      <c r="D3539" s="63" t="str">
        <f t="shared" si="533"/>
        <v/>
      </c>
      <c r="E3539" t="str">
        <f t="shared" si="534"/>
        <v/>
      </c>
      <c r="F3539" t="str">
        <f t="shared" si="535"/>
        <v/>
      </c>
      <c r="G3539">
        <f t="shared" si="536"/>
        <v>3.43396226415094</v>
      </c>
    </row>
    <row r="3540" spans="2:7">
      <c r="B3540" s="46"/>
      <c r="C3540" t="str">
        <f t="shared" si="532"/>
        <v/>
      </c>
      <c r="D3540" s="63" t="str">
        <f t="shared" si="533"/>
        <v/>
      </c>
      <c r="E3540">
        <f t="shared" si="534"/>
        <v>14.5833333333333</v>
      </c>
      <c r="F3540" t="str">
        <f t="shared" si="535"/>
        <v/>
      </c>
      <c r="G3540" t="str">
        <f t="shared" si="536"/>
        <v/>
      </c>
    </row>
    <row r="3541" spans="2:7">
      <c r="B3541" s="46"/>
      <c r="C3541" t="str">
        <f t="shared" si="532"/>
        <v/>
      </c>
      <c r="D3541" s="63" t="str">
        <f t="shared" si="533"/>
        <v/>
      </c>
      <c r="E3541" t="str">
        <f t="shared" si="534"/>
        <v/>
      </c>
      <c r="F3541">
        <f t="shared" si="535"/>
        <v>6.42857142857143</v>
      </c>
      <c r="G3541" t="str">
        <f t="shared" si="536"/>
        <v/>
      </c>
    </row>
    <row r="3542" spans="2:7">
      <c r="B3542" s="46"/>
      <c r="C3542" t="str">
        <f t="shared" si="532"/>
        <v/>
      </c>
      <c r="D3542" s="63" t="str">
        <f t="shared" si="533"/>
        <v/>
      </c>
      <c r="E3542" t="str">
        <f t="shared" si="534"/>
        <v/>
      </c>
      <c r="F3542" t="str">
        <f t="shared" si="535"/>
        <v/>
      </c>
      <c r="G3542">
        <f t="shared" si="536"/>
        <v>3.84591194968553</v>
      </c>
    </row>
    <row r="3543" spans="2:7">
      <c r="B3543" s="46"/>
      <c r="C3543">
        <f t="shared" si="532"/>
        <v>0.844907407407407</v>
      </c>
      <c r="D3543" s="63" t="str">
        <f t="shared" si="533"/>
        <v/>
      </c>
      <c r="E3543" t="str">
        <f t="shared" si="534"/>
        <v/>
      </c>
      <c r="F3543" t="str">
        <f t="shared" si="535"/>
        <v/>
      </c>
      <c r="G3543" t="str">
        <f t="shared" si="536"/>
        <v/>
      </c>
    </row>
    <row r="3544" spans="2:7">
      <c r="B3544" s="46"/>
      <c r="C3544">
        <f t="shared" si="532"/>
        <v>6.79803240740741</v>
      </c>
      <c r="D3544" s="63" t="str">
        <f t="shared" si="533"/>
        <v/>
      </c>
      <c r="E3544" t="str">
        <f t="shared" si="534"/>
        <v/>
      </c>
      <c r="F3544" t="str">
        <f t="shared" si="535"/>
        <v/>
      </c>
      <c r="G3544" t="str">
        <f t="shared" si="536"/>
        <v/>
      </c>
    </row>
    <row r="3545" spans="2:7">
      <c r="B3545" s="46"/>
      <c r="C3545">
        <f t="shared" si="532"/>
        <v>6.79803240740741</v>
      </c>
      <c r="D3545" s="63" t="str">
        <f t="shared" si="533"/>
        <v/>
      </c>
      <c r="E3545" t="str">
        <f t="shared" si="534"/>
        <v/>
      </c>
      <c r="F3545" t="str">
        <f t="shared" si="535"/>
        <v/>
      </c>
      <c r="G3545" t="str">
        <f t="shared" si="536"/>
        <v/>
      </c>
    </row>
    <row r="3546" spans="2:7">
      <c r="B3546" s="46"/>
      <c r="C3546">
        <f t="shared" si="532"/>
        <v>7.52719907407408</v>
      </c>
      <c r="D3546" s="63" t="str">
        <f t="shared" si="533"/>
        <v/>
      </c>
      <c r="E3546" t="str">
        <f t="shared" si="534"/>
        <v/>
      </c>
      <c r="F3546" t="str">
        <f t="shared" si="535"/>
        <v/>
      </c>
      <c r="G3546" t="str">
        <f t="shared" si="536"/>
        <v/>
      </c>
    </row>
    <row r="3547" spans="2:7">
      <c r="B3547" s="46"/>
      <c r="C3547" t="str">
        <f t="shared" si="532"/>
        <v/>
      </c>
      <c r="D3547" s="63">
        <f t="shared" si="533"/>
        <v>2.7881455399061</v>
      </c>
      <c r="E3547" t="str">
        <f t="shared" si="534"/>
        <v/>
      </c>
      <c r="F3547" t="str">
        <f t="shared" si="535"/>
        <v/>
      </c>
      <c r="G3547" t="str">
        <f t="shared" si="536"/>
        <v/>
      </c>
    </row>
    <row r="3548" spans="2:7">
      <c r="B3548" s="46"/>
      <c r="C3548" t="str">
        <f t="shared" si="532"/>
        <v/>
      </c>
      <c r="D3548" s="63">
        <f t="shared" si="533"/>
        <v>4.47535211267606</v>
      </c>
      <c r="E3548" t="str">
        <f t="shared" si="534"/>
        <v/>
      </c>
      <c r="F3548" t="str">
        <f t="shared" si="535"/>
        <v/>
      </c>
      <c r="G3548" t="str">
        <f t="shared" si="536"/>
        <v/>
      </c>
    </row>
    <row r="3549" spans="2:7">
      <c r="B3549" s="46"/>
      <c r="C3549" t="str">
        <f t="shared" si="532"/>
        <v/>
      </c>
      <c r="D3549" s="63">
        <f t="shared" si="533"/>
        <v>6.10680751173709</v>
      </c>
      <c r="E3549" t="str">
        <f t="shared" si="534"/>
        <v/>
      </c>
      <c r="F3549" t="str">
        <f t="shared" si="535"/>
        <v/>
      </c>
      <c r="G3549" t="str">
        <f t="shared" si="536"/>
        <v/>
      </c>
    </row>
    <row r="3550" spans="2:7">
      <c r="B3550" s="46"/>
      <c r="C3550" t="str">
        <f t="shared" si="532"/>
        <v/>
      </c>
      <c r="D3550" s="63">
        <f t="shared" si="533"/>
        <v>8.50821596244131</v>
      </c>
      <c r="E3550" t="str">
        <f t="shared" si="534"/>
        <v/>
      </c>
      <c r="F3550" t="str">
        <f t="shared" si="535"/>
        <v/>
      </c>
      <c r="G3550" t="str">
        <f t="shared" si="536"/>
        <v/>
      </c>
    </row>
    <row r="3551" spans="2:7">
      <c r="B3551" s="46"/>
      <c r="C3551" t="str">
        <f t="shared" si="532"/>
        <v/>
      </c>
      <c r="D3551" s="63">
        <f t="shared" si="533"/>
        <v>10.268779342723</v>
      </c>
      <c r="E3551" t="str">
        <f t="shared" si="534"/>
        <v/>
      </c>
      <c r="F3551" t="str">
        <f t="shared" si="535"/>
        <v/>
      </c>
      <c r="G3551" t="str">
        <f t="shared" si="536"/>
        <v/>
      </c>
    </row>
    <row r="3552" spans="2:7">
      <c r="B3552" s="46"/>
      <c r="C3552" t="str">
        <f t="shared" si="532"/>
        <v/>
      </c>
      <c r="D3552" s="63" t="str">
        <f t="shared" si="533"/>
        <v/>
      </c>
      <c r="E3552" t="str">
        <f t="shared" si="534"/>
        <v/>
      </c>
      <c r="F3552" t="str">
        <f t="shared" si="535"/>
        <v/>
      </c>
      <c r="G3552">
        <f t="shared" si="536"/>
        <v>7.67610062893082</v>
      </c>
    </row>
    <row r="3553" spans="2:7">
      <c r="B3553" s="46"/>
      <c r="C3553" t="str">
        <f t="shared" si="532"/>
        <v/>
      </c>
      <c r="D3553" s="63" t="str">
        <f t="shared" si="533"/>
        <v/>
      </c>
      <c r="E3553" t="str">
        <f t="shared" si="534"/>
        <v/>
      </c>
      <c r="F3553" t="str">
        <f t="shared" si="535"/>
        <v/>
      </c>
      <c r="G3553">
        <f t="shared" si="536"/>
        <v>10.3836477987421</v>
      </c>
    </row>
    <row r="3554" spans="2:7">
      <c r="B3554" s="46"/>
      <c r="C3554" t="str">
        <f t="shared" si="532"/>
        <v/>
      </c>
      <c r="D3554" s="63" t="str">
        <f t="shared" si="533"/>
        <v/>
      </c>
      <c r="E3554" t="str">
        <f t="shared" si="534"/>
        <v/>
      </c>
      <c r="F3554" t="str">
        <f t="shared" si="535"/>
        <v/>
      </c>
      <c r="G3554">
        <f t="shared" si="536"/>
        <v>13.2138364779874</v>
      </c>
    </row>
    <row r="3555" spans="2:7">
      <c r="B3555" s="46"/>
      <c r="C3555" t="str">
        <f t="shared" si="532"/>
        <v/>
      </c>
      <c r="D3555" s="63" t="str">
        <f t="shared" si="533"/>
        <v/>
      </c>
      <c r="E3555" t="str">
        <f t="shared" si="534"/>
        <v/>
      </c>
      <c r="F3555" t="str">
        <f t="shared" si="535"/>
        <v/>
      </c>
      <c r="G3555">
        <f t="shared" si="536"/>
        <v>14.7243186582809</v>
      </c>
    </row>
    <row r="3556" spans="2:7">
      <c r="B3556" s="46"/>
      <c r="C3556" t="str">
        <f t="shared" si="532"/>
        <v/>
      </c>
      <c r="D3556" s="63" t="str">
        <f t="shared" si="533"/>
        <v/>
      </c>
      <c r="E3556" t="str">
        <f t="shared" si="534"/>
        <v/>
      </c>
      <c r="F3556">
        <f t="shared" si="535"/>
        <v>9.17630385487529</v>
      </c>
      <c r="G3556" t="str">
        <f t="shared" si="536"/>
        <v/>
      </c>
    </row>
    <row r="3557" spans="2:7">
      <c r="B3557" s="46"/>
      <c r="C3557" t="str">
        <f t="shared" si="532"/>
        <v/>
      </c>
      <c r="D3557" s="63" t="str">
        <f t="shared" si="533"/>
        <v/>
      </c>
      <c r="E3557" t="str">
        <f t="shared" si="534"/>
        <v/>
      </c>
      <c r="F3557">
        <f t="shared" si="535"/>
        <v>12.328231292517</v>
      </c>
      <c r="G3557" t="str">
        <f t="shared" si="536"/>
        <v/>
      </c>
    </row>
    <row r="3558" spans="2:7">
      <c r="B3558" s="46"/>
      <c r="C3558" t="str">
        <f t="shared" si="532"/>
        <v/>
      </c>
      <c r="D3558" s="63" t="str">
        <f t="shared" si="533"/>
        <v/>
      </c>
      <c r="E3558" t="str">
        <f t="shared" si="534"/>
        <v/>
      </c>
      <c r="F3558">
        <f t="shared" si="535"/>
        <v>15.0017006802721</v>
      </c>
      <c r="G3558" t="str">
        <f t="shared" si="536"/>
        <v/>
      </c>
    </row>
    <row r="3559" spans="2:7">
      <c r="B3559" s="46"/>
      <c r="C3559">
        <f t="shared" si="532"/>
        <v>10.328125</v>
      </c>
      <c r="D3559" s="63" t="str">
        <f t="shared" si="533"/>
        <v/>
      </c>
      <c r="E3559" t="str">
        <f t="shared" si="534"/>
        <v/>
      </c>
      <c r="F3559" t="str">
        <f t="shared" si="535"/>
        <v/>
      </c>
      <c r="G3559" t="str">
        <f t="shared" si="536"/>
        <v/>
      </c>
    </row>
    <row r="3560" spans="2:7">
      <c r="B3560" s="46"/>
      <c r="C3560">
        <f t="shared" si="532"/>
        <v>14.5908564814815</v>
      </c>
      <c r="D3560" s="63" t="str">
        <f t="shared" si="533"/>
        <v/>
      </c>
      <c r="E3560" t="str">
        <f t="shared" si="534"/>
        <v/>
      </c>
      <c r="F3560" t="str">
        <f t="shared" si="535"/>
        <v/>
      </c>
      <c r="G3560" t="str">
        <f t="shared" si="536"/>
        <v/>
      </c>
    </row>
    <row r="3561" spans="2:7">
      <c r="B3561" s="46"/>
      <c r="C3561">
        <f t="shared" si="532"/>
        <v>14.9409722222222</v>
      </c>
      <c r="D3561" s="63" t="str">
        <f t="shared" si="533"/>
        <v/>
      </c>
      <c r="E3561" t="str">
        <f t="shared" si="534"/>
        <v/>
      </c>
      <c r="F3561" t="str">
        <f t="shared" si="535"/>
        <v/>
      </c>
      <c r="G3561" t="str">
        <f t="shared" si="536"/>
        <v/>
      </c>
    </row>
    <row r="3562" spans="2:7">
      <c r="B3562" s="46"/>
      <c r="C3562">
        <f t="shared" si="532"/>
        <v>19.2465277777778</v>
      </c>
      <c r="D3562" s="63" t="str">
        <f t="shared" si="533"/>
        <v/>
      </c>
      <c r="E3562" t="str">
        <f t="shared" si="534"/>
        <v/>
      </c>
      <c r="F3562" t="str">
        <f t="shared" si="535"/>
        <v/>
      </c>
      <c r="G3562" t="str">
        <f t="shared" si="536"/>
        <v/>
      </c>
    </row>
    <row r="3563" spans="2:7">
      <c r="B3563" s="46"/>
      <c r="C3563" t="str">
        <f t="shared" si="532"/>
        <v/>
      </c>
      <c r="D3563" s="63">
        <f t="shared" si="533"/>
        <v>15.0340375586854</v>
      </c>
      <c r="E3563" t="str">
        <f t="shared" si="534"/>
        <v/>
      </c>
      <c r="F3563" t="str">
        <f t="shared" si="535"/>
        <v/>
      </c>
      <c r="G3563" t="str">
        <f t="shared" si="536"/>
        <v/>
      </c>
    </row>
    <row r="3564" spans="2:7">
      <c r="B3564" s="46"/>
      <c r="C3564" t="str">
        <f t="shared" si="532"/>
        <v/>
      </c>
      <c r="D3564" s="63">
        <f t="shared" si="533"/>
        <v>15.0340375586854</v>
      </c>
      <c r="E3564" t="str">
        <f t="shared" si="534"/>
        <v/>
      </c>
      <c r="F3564" t="str">
        <f t="shared" si="535"/>
        <v/>
      </c>
      <c r="G3564" t="str">
        <f t="shared" si="536"/>
        <v/>
      </c>
    </row>
    <row r="3565" spans="2:7">
      <c r="B3565" s="46"/>
      <c r="C3565" t="str">
        <f t="shared" si="532"/>
        <v/>
      </c>
      <c r="D3565" s="63">
        <f t="shared" si="533"/>
        <v>16.1343896713615</v>
      </c>
      <c r="E3565" t="str">
        <f t="shared" si="534"/>
        <v/>
      </c>
      <c r="F3565" t="str">
        <f t="shared" si="535"/>
        <v/>
      </c>
      <c r="G3565" t="str">
        <f t="shared" si="536"/>
        <v/>
      </c>
    </row>
    <row r="3566" spans="2:7">
      <c r="B3566" s="46"/>
      <c r="C3566" t="str">
        <f t="shared" si="532"/>
        <v/>
      </c>
      <c r="D3566" s="63">
        <f t="shared" si="533"/>
        <v>16.8620892018779</v>
      </c>
      <c r="E3566" t="str">
        <f t="shared" si="534"/>
        <v/>
      </c>
      <c r="F3566" t="str">
        <f t="shared" si="535"/>
        <v/>
      </c>
      <c r="G3566" t="str">
        <f t="shared" si="536"/>
        <v/>
      </c>
    </row>
    <row r="3567" spans="2:7">
      <c r="B3567" s="46"/>
      <c r="C3567" t="str">
        <f t="shared" si="532"/>
        <v/>
      </c>
      <c r="D3567" s="63" t="str">
        <f t="shared" si="533"/>
        <v/>
      </c>
      <c r="E3567">
        <f t="shared" si="534"/>
        <v>16.1245098039216</v>
      </c>
      <c r="F3567" t="str">
        <f t="shared" si="535"/>
        <v/>
      </c>
      <c r="G3567" t="str">
        <f t="shared" si="536"/>
        <v/>
      </c>
    </row>
    <row r="3568" spans="2:7">
      <c r="B3568" s="46"/>
      <c r="C3568" t="str">
        <f t="shared" si="532"/>
        <v/>
      </c>
      <c r="D3568" s="63" t="str">
        <f t="shared" si="533"/>
        <v/>
      </c>
      <c r="E3568">
        <f t="shared" si="534"/>
        <v>17.9225490196078</v>
      </c>
      <c r="F3568" t="str">
        <f t="shared" si="535"/>
        <v/>
      </c>
      <c r="G3568" t="str">
        <f t="shared" si="536"/>
        <v/>
      </c>
    </row>
    <row r="3569" spans="2:7">
      <c r="B3569" s="46"/>
      <c r="C3569" t="str">
        <f t="shared" si="532"/>
        <v/>
      </c>
      <c r="D3569" s="63" t="str">
        <f t="shared" si="533"/>
        <v/>
      </c>
      <c r="E3569">
        <f t="shared" si="534"/>
        <v>18.7166666666667</v>
      </c>
      <c r="F3569" t="str">
        <f t="shared" si="535"/>
        <v/>
      </c>
      <c r="G3569" t="str">
        <f t="shared" si="536"/>
        <v/>
      </c>
    </row>
    <row r="3570" spans="2:7">
      <c r="B3570" s="46"/>
      <c r="C3570" t="str">
        <f t="shared" si="532"/>
        <v/>
      </c>
      <c r="D3570" s="63" t="str">
        <f t="shared" si="533"/>
        <v/>
      </c>
      <c r="E3570">
        <f t="shared" si="534"/>
        <v>18.9539215686275</v>
      </c>
      <c r="F3570" t="str">
        <f t="shared" si="535"/>
        <v/>
      </c>
      <c r="G3570" t="str">
        <f t="shared" si="536"/>
        <v/>
      </c>
    </row>
    <row r="3571" spans="2:7">
      <c r="B3571" s="46"/>
      <c r="C3571" t="str">
        <f t="shared" si="532"/>
        <v/>
      </c>
      <c r="D3571" s="63" t="str">
        <f t="shared" si="533"/>
        <v/>
      </c>
      <c r="E3571" t="str">
        <f t="shared" si="534"/>
        <v/>
      </c>
      <c r="F3571" t="str">
        <f t="shared" si="535"/>
        <v/>
      </c>
      <c r="G3571">
        <f t="shared" si="536"/>
        <v>15.4449685534591</v>
      </c>
    </row>
    <row r="3572" spans="2:7">
      <c r="B3572" s="46"/>
      <c r="C3572" t="str">
        <f t="shared" si="532"/>
        <v/>
      </c>
      <c r="D3572" s="63" t="str">
        <f t="shared" si="533"/>
        <v/>
      </c>
      <c r="E3572" t="str">
        <f t="shared" si="534"/>
        <v/>
      </c>
      <c r="F3572" t="str">
        <f t="shared" si="535"/>
        <v/>
      </c>
      <c r="G3572">
        <f t="shared" si="536"/>
        <v>16.4669811320755</v>
      </c>
    </row>
    <row r="3573" spans="2:7">
      <c r="B3573" s="46"/>
      <c r="C3573" t="str">
        <f t="shared" si="532"/>
        <v/>
      </c>
      <c r="D3573" s="63" t="str">
        <f t="shared" si="533"/>
        <v/>
      </c>
      <c r="E3573" t="str">
        <f t="shared" si="534"/>
        <v/>
      </c>
      <c r="F3573" t="str">
        <f t="shared" si="535"/>
        <v/>
      </c>
      <c r="G3573">
        <f t="shared" si="536"/>
        <v>17.7877358490566</v>
      </c>
    </row>
    <row r="3574" spans="2:7">
      <c r="B3574" s="46"/>
      <c r="C3574" t="str">
        <f t="shared" si="532"/>
        <v/>
      </c>
      <c r="D3574" s="63" t="str">
        <f t="shared" si="533"/>
        <v/>
      </c>
      <c r="E3574" t="str">
        <f t="shared" si="534"/>
        <v/>
      </c>
      <c r="F3574" t="str">
        <f t="shared" si="535"/>
        <v/>
      </c>
      <c r="G3574">
        <f t="shared" si="536"/>
        <v>18.377358490566</v>
      </c>
    </row>
    <row r="3575" spans="2:7">
      <c r="B3575" s="46"/>
      <c r="C3575" t="str">
        <f t="shared" si="532"/>
        <v/>
      </c>
      <c r="D3575" s="63" t="str">
        <f t="shared" si="533"/>
        <v/>
      </c>
      <c r="E3575" t="str">
        <f t="shared" si="534"/>
        <v/>
      </c>
      <c r="F3575">
        <f t="shared" si="535"/>
        <v>15.4234693877551</v>
      </c>
      <c r="G3575" t="str">
        <f t="shared" si="536"/>
        <v/>
      </c>
    </row>
    <row r="3576" spans="2:7">
      <c r="B3576" s="46"/>
      <c r="C3576" t="str">
        <f t="shared" si="532"/>
        <v/>
      </c>
      <c r="D3576" s="63" t="str">
        <f t="shared" si="533"/>
        <v/>
      </c>
      <c r="E3576" t="str">
        <f t="shared" si="534"/>
        <v/>
      </c>
      <c r="F3576">
        <f t="shared" si="535"/>
        <v>16.7698412698413</v>
      </c>
      <c r="G3576" t="str">
        <f t="shared" si="536"/>
        <v/>
      </c>
    </row>
    <row r="3577" spans="2:7">
      <c r="B3577" s="46"/>
      <c r="C3577" t="str">
        <f t="shared" si="532"/>
        <v/>
      </c>
      <c r="D3577" s="63" t="str">
        <f t="shared" si="533"/>
        <v/>
      </c>
      <c r="E3577" t="str">
        <f t="shared" si="534"/>
        <v/>
      </c>
      <c r="F3577">
        <f t="shared" si="535"/>
        <v>18.109410430839</v>
      </c>
      <c r="G3577" t="str">
        <f t="shared" si="536"/>
        <v/>
      </c>
    </row>
    <row r="3578" spans="2:7">
      <c r="B3578" s="46"/>
      <c r="C3578" t="str">
        <f t="shared" si="532"/>
        <v/>
      </c>
      <c r="D3578" s="63" t="str">
        <f t="shared" si="533"/>
        <v/>
      </c>
      <c r="E3578" t="str">
        <f t="shared" si="534"/>
        <v/>
      </c>
      <c r="F3578">
        <f t="shared" si="535"/>
        <v>20.1581632653061</v>
      </c>
      <c r="G3578" t="str">
        <f t="shared" si="536"/>
        <v/>
      </c>
    </row>
    <row r="3579" spans="2:7">
      <c r="B3579" s="46"/>
      <c r="C3579" t="str">
        <f t="shared" si="532"/>
        <v/>
      </c>
      <c r="D3579" s="63" t="str">
        <f t="shared" si="533"/>
        <v/>
      </c>
      <c r="E3579" t="str">
        <f t="shared" si="534"/>
        <v/>
      </c>
      <c r="F3579">
        <f t="shared" si="535"/>
        <v>22.1581632653061</v>
      </c>
      <c r="G3579" t="str">
        <f t="shared" si="536"/>
        <v/>
      </c>
    </row>
    <row r="3580" spans="2:7">
      <c r="B3580" s="46"/>
      <c r="C3580" t="str">
        <f t="shared" si="532"/>
        <v/>
      </c>
      <c r="D3580" s="63" t="str">
        <f t="shared" si="533"/>
        <v/>
      </c>
      <c r="E3580" t="str">
        <f t="shared" si="534"/>
        <v/>
      </c>
      <c r="F3580">
        <f t="shared" si="535"/>
        <v>22.8781179138322</v>
      </c>
      <c r="G3580" t="str">
        <f t="shared" si="536"/>
        <v/>
      </c>
    </row>
    <row r="3581" spans="2:7">
      <c r="B3581" s="46"/>
      <c r="C3581" t="str">
        <f t="shared" si="532"/>
        <v/>
      </c>
      <c r="D3581" s="63">
        <f t="shared" si="533"/>
        <v>17.3022300469484</v>
      </c>
      <c r="E3581" t="str">
        <f t="shared" si="534"/>
        <v/>
      </c>
      <c r="F3581" t="str">
        <f t="shared" si="535"/>
        <v/>
      </c>
      <c r="G3581" t="str">
        <f t="shared" si="536"/>
        <v/>
      </c>
    </row>
    <row r="3582" spans="2:7">
      <c r="B3582" s="46"/>
      <c r="C3582" t="str">
        <f t="shared" si="532"/>
        <v/>
      </c>
      <c r="D3582" s="63">
        <f t="shared" si="533"/>
        <v>22.837441314554</v>
      </c>
      <c r="E3582" t="str">
        <f t="shared" si="534"/>
        <v/>
      </c>
      <c r="F3582" t="str">
        <f t="shared" si="535"/>
        <v/>
      </c>
      <c r="G3582" t="str">
        <f t="shared" si="536"/>
        <v/>
      </c>
    </row>
    <row r="3583" spans="2:7">
      <c r="B3583" s="46"/>
      <c r="C3583" t="str">
        <f t="shared" si="532"/>
        <v/>
      </c>
      <c r="D3583" s="63">
        <f t="shared" si="533"/>
        <v>23.7089201877934</v>
      </c>
      <c r="E3583" t="str">
        <f t="shared" si="534"/>
        <v/>
      </c>
      <c r="F3583" t="str">
        <f t="shared" si="535"/>
        <v/>
      </c>
      <c r="G3583" t="str">
        <f t="shared" si="536"/>
        <v/>
      </c>
    </row>
    <row r="3584" spans="2:7">
      <c r="B3584" s="46"/>
      <c r="C3584" t="str">
        <f t="shared" si="532"/>
        <v/>
      </c>
      <c r="D3584" s="63">
        <f t="shared" si="533"/>
        <v>24.3427230046948</v>
      </c>
      <c r="E3584" t="str">
        <f t="shared" si="534"/>
        <v/>
      </c>
      <c r="F3584" t="str">
        <f t="shared" si="535"/>
        <v/>
      </c>
      <c r="G3584" t="str">
        <f t="shared" si="536"/>
        <v/>
      </c>
    </row>
    <row r="3585" spans="2:7">
      <c r="B3585" s="46"/>
      <c r="C3585" t="str">
        <f t="shared" si="532"/>
        <v/>
      </c>
      <c r="D3585" s="63">
        <f t="shared" si="533"/>
        <v>27.5704225352113</v>
      </c>
      <c r="E3585" t="str">
        <f t="shared" si="534"/>
        <v/>
      </c>
      <c r="F3585" t="str">
        <f t="shared" si="535"/>
        <v/>
      </c>
      <c r="G3585" t="str">
        <f t="shared" si="536"/>
        <v/>
      </c>
    </row>
    <row r="3586" spans="2:7">
      <c r="B3586" s="46"/>
      <c r="C3586" t="str">
        <f t="shared" si="532"/>
        <v/>
      </c>
      <c r="D3586" s="63" t="str">
        <f t="shared" si="533"/>
        <v/>
      </c>
      <c r="E3586" t="str">
        <f t="shared" si="534"/>
        <v/>
      </c>
      <c r="F3586" t="str">
        <f t="shared" si="535"/>
        <v/>
      </c>
      <c r="G3586">
        <f t="shared" si="536"/>
        <v>19.1949685534591</v>
      </c>
    </row>
    <row r="3587" spans="2:7">
      <c r="B3587" s="46"/>
      <c r="C3587" t="str">
        <f t="shared" si="532"/>
        <v/>
      </c>
      <c r="D3587" s="63" t="str">
        <f t="shared" si="533"/>
        <v/>
      </c>
      <c r="E3587" t="str">
        <f t="shared" si="534"/>
        <v/>
      </c>
      <c r="F3587" t="str">
        <f t="shared" si="535"/>
        <v/>
      </c>
      <c r="G3587">
        <f t="shared" si="536"/>
        <v>21.9606918238994</v>
      </c>
    </row>
    <row r="3588" spans="2:7">
      <c r="B3588" s="46"/>
      <c r="C3588" t="str">
        <f t="shared" si="532"/>
        <v/>
      </c>
      <c r="D3588" s="63" t="str">
        <f t="shared" si="533"/>
        <v/>
      </c>
      <c r="E3588" t="str">
        <f t="shared" si="534"/>
        <v/>
      </c>
      <c r="F3588" t="str">
        <f t="shared" si="535"/>
        <v/>
      </c>
      <c r="G3588">
        <f t="shared" si="536"/>
        <v>21.9606918238994</v>
      </c>
    </row>
    <row r="3589" spans="2:7">
      <c r="B3589" s="46"/>
      <c r="C3589" t="str">
        <f t="shared" si="532"/>
        <v/>
      </c>
      <c r="D3589" s="63" t="str">
        <f t="shared" si="533"/>
        <v/>
      </c>
      <c r="E3589" t="str">
        <f t="shared" si="534"/>
        <v/>
      </c>
      <c r="F3589" t="str">
        <f t="shared" si="535"/>
        <v/>
      </c>
      <c r="G3589">
        <f t="shared" si="536"/>
        <v>25.2222222222222</v>
      </c>
    </row>
    <row r="3590" spans="2:7">
      <c r="B3590" s="46"/>
      <c r="C3590" t="str">
        <f t="shared" si="532"/>
        <v/>
      </c>
      <c r="D3590" s="63" t="str">
        <f t="shared" si="533"/>
        <v/>
      </c>
      <c r="E3590">
        <f t="shared" si="534"/>
        <v>22.268137254902</v>
      </c>
      <c r="F3590" t="str">
        <f t="shared" si="535"/>
        <v/>
      </c>
      <c r="G3590" t="str">
        <f t="shared" si="536"/>
        <v/>
      </c>
    </row>
    <row r="3591" spans="2:7">
      <c r="B3591" s="46"/>
      <c r="C3591" t="str">
        <f t="shared" si="532"/>
        <v/>
      </c>
      <c r="D3591" s="63" t="str">
        <f t="shared" si="533"/>
        <v/>
      </c>
      <c r="E3591">
        <f t="shared" si="534"/>
        <v>22.268137254902</v>
      </c>
      <c r="F3591" t="str">
        <f t="shared" si="535"/>
        <v/>
      </c>
      <c r="G3591" t="str">
        <f t="shared" si="536"/>
        <v/>
      </c>
    </row>
    <row r="3592" spans="2:7">
      <c r="B3592" s="46"/>
      <c r="C3592" t="str">
        <f t="shared" si="532"/>
        <v/>
      </c>
      <c r="D3592" s="63" t="str">
        <f t="shared" si="533"/>
        <v/>
      </c>
      <c r="E3592">
        <f t="shared" si="534"/>
        <v>24.6995098039216</v>
      </c>
      <c r="F3592" t="str">
        <f t="shared" si="535"/>
        <v/>
      </c>
      <c r="G3592" t="str">
        <f t="shared" si="536"/>
        <v/>
      </c>
    </row>
    <row r="3593" spans="2:7">
      <c r="B3593" s="46"/>
      <c r="C3593" t="str">
        <f t="shared" si="532"/>
        <v/>
      </c>
      <c r="D3593" s="63" t="str">
        <f t="shared" si="533"/>
        <v/>
      </c>
      <c r="E3593">
        <f t="shared" si="534"/>
        <v>25.3416666666667</v>
      </c>
      <c r="F3593" t="str">
        <f t="shared" si="535"/>
        <v/>
      </c>
      <c r="G3593" t="str">
        <f t="shared" si="536"/>
        <v/>
      </c>
    </row>
    <row r="3594" spans="2:7">
      <c r="B3594" s="46"/>
      <c r="C3594">
        <f t="shared" si="532"/>
        <v>19.5358796296296</v>
      </c>
      <c r="D3594" s="63" t="str">
        <f t="shared" si="533"/>
        <v/>
      </c>
      <c r="E3594" t="str">
        <f t="shared" si="534"/>
        <v/>
      </c>
      <c r="F3594" t="str">
        <f t="shared" si="535"/>
        <v/>
      </c>
      <c r="G3594" t="str">
        <f t="shared" si="536"/>
        <v/>
      </c>
    </row>
    <row r="3595" spans="2:7">
      <c r="B3595" s="46"/>
      <c r="C3595">
        <f t="shared" si="532"/>
        <v>20.1608796296296</v>
      </c>
      <c r="D3595" s="63" t="str">
        <f t="shared" si="533"/>
        <v/>
      </c>
      <c r="E3595" t="str">
        <f t="shared" si="534"/>
        <v/>
      </c>
      <c r="F3595" t="str">
        <f t="shared" si="535"/>
        <v/>
      </c>
      <c r="G3595" t="str">
        <f t="shared" si="536"/>
        <v/>
      </c>
    </row>
    <row r="3596" spans="2:7">
      <c r="B3596" s="46"/>
      <c r="C3596">
        <f t="shared" si="532"/>
        <v>21.7233796296296</v>
      </c>
      <c r="D3596" s="63" t="str">
        <f t="shared" si="533"/>
        <v/>
      </c>
      <c r="E3596" t="str">
        <f t="shared" si="534"/>
        <v/>
      </c>
      <c r="F3596" t="str">
        <f t="shared" si="535"/>
        <v/>
      </c>
      <c r="G3596" t="str">
        <f t="shared" si="536"/>
        <v/>
      </c>
    </row>
    <row r="3597" spans="2:7">
      <c r="B3597" s="46"/>
      <c r="C3597">
        <f t="shared" si="532"/>
        <v>22.7054398148148</v>
      </c>
      <c r="D3597" s="63" t="str">
        <f t="shared" si="533"/>
        <v/>
      </c>
      <c r="E3597" t="str">
        <f t="shared" si="534"/>
        <v/>
      </c>
      <c r="F3597" t="str">
        <f t="shared" si="535"/>
        <v/>
      </c>
      <c r="G3597" t="str">
        <f t="shared" si="536"/>
        <v/>
      </c>
    </row>
    <row r="3598" spans="2:7">
      <c r="B3598" s="46"/>
      <c r="C3598">
        <f t="shared" si="532"/>
        <v>22.7054398148148</v>
      </c>
      <c r="D3598" s="63" t="str">
        <f t="shared" si="533"/>
        <v/>
      </c>
      <c r="E3598" t="str">
        <f t="shared" si="534"/>
        <v/>
      </c>
      <c r="F3598" t="str">
        <f t="shared" si="535"/>
        <v/>
      </c>
      <c r="G3598" t="str">
        <f t="shared" si="536"/>
        <v/>
      </c>
    </row>
    <row r="3599" spans="2:7">
      <c r="B3599" s="46"/>
      <c r="C3599">
        <f t="shared" ref="C3599:C3612" si="537">IF(J72=1,S72,"")</f>
        <v>22.8512731481482</v>
      </c>
      <c r="D3599" s="63" t="str">
        <f t="shared" ref="D3599:D3612" si="538">IF(J72=2,S72,"")</f>
        <v/>
      </c>
      <c r="E3599" t="str">
        <f t="shared" ref="E3599:E3612" si="539">IF(J72=3,S72,"")</f>
        <v/>
      </c>
      <c r="F3599" t="str">
        <f t="shared" ref="F3599:F3612" si="540">IF(J72=4,S72,"")</f>
        <v/>
      </c>
      <c r="G3599" t="str">
        <f t="shared" ref="G3599:G3612" si="541">IF(J72=5,S72,"")</f>
        <v/>
      </c>
    </row>
    <row r="3600" spans="2:7">
      <c r="B3600" s="46"/>
      <c r="C3600">
        <f t="shared" si="537"/>
        <v>34.4068287037037</v>
      </c>
      <c r="D3600" s="63" t="str">
        <f t="shared" si="538"/>
        <v/>
      </c>
      <c r="E3600" t="str">
        <f t="shared" si="539"/>
        <v/>
      </c>
      <c r="F3600" t="str">
        <f t="shared" si="540"/>
        <v/>
      </c>
      <c r="G3600" t="str">
        <f t="shared" si="541"/>
        <v/>
      </c>
    </row>
    <row r="3601" spans="2:7">
      <c r="B3601" s="46"/>
      <c r="C3601">
        <f t="shared" si="537"/>
        <v>34.4068287037037</v>
      </c>
      <c r="D3601" s="63" t="str">
        <f t="shared" si="538"/>
        <v/>
      </c>
      <c r="E3601" t="str">
        <f t="shared" si="539"/>
        <v/>
      </c>
      <c r="F3601" t="str">
        <f t="shared" si="540"/>
        <v/>
      </c>
      <c r="G3601" t="str">
        <f t="shared" si="541"/>
        <v/>
      </c>
    </row>
    <row r="3602" spans="2:7">
      <c r="B3602" s="46"/>
      <c r="C3602">
        <f t="shared" si="537"/>
        <v>35.5827546296296</v>
      </c>
      <c r="D3602" s="63" t="str">
        <f t="shared" si="538"/>
        <v/>
      </c>
      <c r="E3602" t="str">
        <f t="shared" si="539"/>
        <v/>
      </c>
      <c r="F3602" t="str">
        <f t="shared" si="540"/>
        <v/>
      </c>
      <c r="G3602" t="str">
        <f t="shared" si="541"/>
        <v/>
      </c>
    </row>
    <row r="3603" spans="2:7">
      <c r="B3603" s="46"/>
      <c r="C3603">
        <f t="shared" si="537"/>
        <v>36.7893518518519</v>
      </c>
      <c r="D3603" s="63" t="str">
        <f t="shared" si="538"/>
        <v/>
      </c>
      <c r="E3603" t="str">
        <f t="shared" si="539"/>
        <v/>
      </c>
      <c r="F3603" t="str">
        <f t="shared" si="540"/>
        <v/>
      </c>
      <c r="G3603" t="str">
        <f t="shared" si="541"/>
        <v/>
      </c>
    </row>
    <row r="3604" spans="2:7">
      <c r="B3604" s="46"/>
      <c r="C3604" t="str">
        <f t="shared" si="537"/>
        <v/>
      </c>
      <c r="D3604" s="63" t="str">
        <f t="shared" si="538"/>
        <v/>
      </c>
      <c r="E3604" t="str">
        <f t="shared" si="539"/>
        <v/>
      </c>
      <c r="F3604">
        <f t="shared" si="540"/>
        <v>23.4404761904762</v>
      </c>
      <c r="G3604" t="str">
        <f t="shared" si="541"/>
        <v/>
      </c>
    </row>
    <row r="3605" spans="2:7">
      <c r="B3605" s="46"/>
      <c r="C3605" t="str">
        <f t="shared" si="537"/>
        <v/>
      </c>
      <c r="D3605" s="63" t="str">
        <f t="shared" si="538"/>
        <v/>
      </c>
      <c r="E3605" t="str">
        <f t="shared" si="539"/>
        <v/>
      </c>
      <c r="F3605">
        <f t="shared" si="540"/>
        <v>24.3616780045352</v>
      </c>
      <c r="G3605" t="str">
        <f t="shared" si="541"/>
        <v/>
      </c>
    </row>
    <row r="3606" spans="2:7">
      <c r="B3606" s="46"/>
      <c r="C3606" t="str">
        <f t="shared" si="537"/>
        <v/>
      </c>
      <c r="D3606" s="63" t="str">
        <f t="shared" si="538"/>
        <v/>
      </c>
      <c r="E3606" t="str">
        <f t="shared" si="539"/>
        <v/>
      </c>
      <c r="F3606">
        <f t="shared" si="540"/>
        <v>25.8378684807256</v>
      </c>
      <c r="G3606" t="str">
        <f t="shared" si="541"/>
        <v/>
      </c>
    </row>
    <row r="3607" spans="2:7">
      <c r="B3607" s="46"/>
      <c r="C3607" t="str">
        <f t="shared" si="537"/>
        <v/>
      </c>
      <c r="D3607" s="63" t="str">
        <f t="shared" si="538"/>
        <v/>
      </c>
      <c r="E3607" t="str">
        <f t="shared" si="539"/>
        <v/>
      </c>
      <c r="F3607">
        <f t="shared" si="540"/>
        <v>29.4625850340136</v>
      </c>
      <c r="G3607" t="str">
        <f t="shared" si="541"/>
        <v/>
      </c>
    </row>
    <row r="3608" spans="2:7">
      <c r="B3608" s="46"/>
      <c r="C3608" t="str">
        <f t="shared" si="537"/>
        <v/>
      </c>
      <c r="D3608" s="63" t="str">
        <f t="shared" si="538"/>
        <v/>
      </c>
      <c r="E3608" t="str">
        <f t="shared" si="539"/>
        <v/>
      </c>
      <c r="F3608">
        <f t="shared" si="540"/>
        <v>30.092970521542</v>
      </c>
      <c r="G3608" t="str">
        <f t="shared" si="541"/>
        <v/>
      </c>
    </row>
    <row r="3609" spans="2:7">
      <c r="B3609" s="46"/>
      <c r="C3609" t="str">
        <f t="shared" si="537"/>
        <v/>
      </c>
      <c r="D3609" s="63" t="str">
        <f t="shared" si="538"/>
        <v/>
      </c>
      <c r="E3609" t="str">
        <f t="shared" si="539"/>
        <v/>
      </c>
      <c r="F3609">
        <f t="shared" si="540"/>
        <v>30.8809523809524</v>
      </c>
      <c r="G3609" t="str">
        <f t="shared" si="541"/>
        <v/>
      </c>
    </row>
    <row r="3610" spans="2:7">
      <c r="B3610" s="46"/>
      <c r="C3610" t="str">
        <f t="shared" si="537"/>
        <v/>
      </c>
      <c r="D3610" s="63" t="str">
        <f t="shared" si="538"/>
        <v/>
      </c>
      <c r="E3610" t="str">
        <f t="shared" si="539"/>
        <v/>
      </c>
      <c r="F3610" t="str">
        <f t="shared" si="540"/>
        <v/>
      </c>
      <c r="G3610">
        <f t="shared" si="541"/>
        <v>26.0235849056604</v>
      </c>
    </row>
    <row r="3611" spans="2:7">
      <c r="B3611" s="46"/>
      <c r="C3611" t="str">
        <f t="shared" si="537"/>
        <v/>
      </c>
      <c r="D3611" s="63" t="str">
        <f t="shared" si="538"/>
        <v/>
      </c>
      <c r="E3611" t="str">
        <f t="shared" si="539"/>
        <v/>
      </c>
      <c r="F3611" t="str">
        <f t="shared" si="540"/>
        <v/>
      </c>
      <c r="G3611">
        <f t="shared" si="541"/>
        <v>26.8977987421384</v>
      </c>
    </row>
    <row r="3612" ht="15.75" spans="2:7">
      <c r="B3612" s="46"/>
      <c r="C3612" t="str">
        <f t="shared" si="537"/>
        <v/>
      </c>
      <c r="D3612" s="63" t="str">
        <f t="shared" si="538"/>
        <v/>
      </c>
      <c r="E3612" t="str">
        <f t="shared" si="539"/>
        <v/>
      </c>
      <c r="F3612" t="str">
        <f t="shared" si="540"/>
        <v/>
      </c>
      <c r="G3612">
        <f t="shared" si="541"/>
        <v>27.8448637316562</v>
      </c>
    </row>
    <row r="3613" spans="2:7">
      <c r="B3613" s="74" t="s">
        <v>269</v>
      </c>
      <c r="C3613" s="75">
        <f>MAX(C3535:C3612)</f>
        <v>36.7893518518519</v>
      </c>
      <c r="D3613" s="75">
        <f>MAX(D3535:D3612)</f>
        <v>27.5704225352113</v>
      </c>
      <c r="E3613" s="75">
        <f t="shared" ref="E3613:G3613" si="542">MAX(E3535:E3612)</f>
        <v>25.3416666666667</v>
      </c>
      <c r="F3613" s="75">
        <f t="shared" si="542"/>
        <v>30.8809523809524</v>
      </c>
      <c r="G3613" s="75">
        <f t="shared" si="542"/>
        <v>27.8448637316562</v>
      </c>
    </row>
    <row r="3614" spans="2:7">
      <c r="B3614" s="76" t="s">
        <v>270</v>
      </c>
      <c r="C3614" s="77">
        <v>1</v>
      </c>
      <c r="D3614" s="78">
        <v>2</v>
      </c>
      <c r="E3614">
        <v>3</v>
      </c>
      <c r="F3614">
        <v>4</v>
      </c>
      <c r="G3614">
        <v>5</v>
      </c>
    </row>
    <row r="3615" spans="2:7">
      <c r="B3615" s="79" t="s">
        <v>271</v>
      </c>
      <c r="C3615" s="72">
        <f>HLOOKUP(MIN(C3613:G3613),C3613:G3614,2,FALSE)</f>
        <v>3</v>
      </c>
      <c r="D3615" s="80"/>
    </row>
    <row r="3618" ht="15.75" spans="2:7">
      <c r="B3618" s="43" t="s">
        <v>349</v>
      </c>
      <c r="C3618" s="44"/>
      <c r="D3618" s="45"/>
    </row>
    <row r="3619" spans="2:7">
      <c r="B3619" s="46"/>
      <c r="C3619" s="61" t="s">
        <v>264</v>
      </c>
      <c r="D3619" s="61" t="s">
        <v>265</v>
      </c>
      <c r="E3619" s="62" t="s">
        <v>286</v>
      </c>
      <c r="F3619" s="62" t="s">
        <v>287</v>
      </c>
      <c r="G3619" s="62" t="s">
        <v>288</v>
      </c>
    </row>
    <row r="3620" spans="2:7">
      <c r="B3620" s="46"/>
      <c r="C3620">
        <f t="shared" ref="C3620:C3683" si="543">IF(J8=1,S8,"")</f>
        <v>0.700231481481482</v>
      </c>
      <c r="D3620" s="63" t="str">
        <f t="shared" ref="D3620:D3683" si="544">IF(J8=2,S8,"")</f>
        <v/>
      </c>
      <c r="E3620" t="str">
        <f t="shared" ref="E3620:E3683" si="545">IF(J8=3,S8,"")</f>
        <v/>
      </c>
      <c r="F3620" t="str">
        <f t="shared" ref="F3620:F3683" si="546">IF(J8=4,S8,"")</f>
        <v/>
      </c>
      <c r="G3620" t="str">
        <f t="shared" ref="G3620:G3683" si="547">IF(J8=5,S8,"")</f>
        <v/>
      </c>
    </row>
    <row r="3621" spans="2:7">
      <c r="B3621" s="46"/>
      <c r="C3621" t="str">
        <f t="shared" si="543"/>
        <v/>
      </c>
      <c r="D3621" s="63">
        <f t="shared" si="544"/>
        <v>0.734154929577465</v>
      </c>
      <c r="E3621" t="str">
        <f t="shared" si="545"/>
        <v/>
      </c>
      <c r="F3621" t="str">
        <f t="shared" si="546"/>
        <v/>
      </c>
      <c r="G3621" t="str">
        <f t="shared" si="547"/>
        <v/>
      </c>
    </row>
    <row r="3622" spans="2:7">
      <c r="B3622" s="46"/>
      <c r="C3622" t="str">
        <f t="shared" si="543"/>
        <v/>
      </c>
      <c r="D3622" s="63" t="str">
        <f t="shared" si="544"/>
        <v/>
      </c>
      <c r="E3622">
        <f t="shared" si="545"/>
        <v>1.83823529411765</v>
      </c>
      <c r="F3622" t="str">
        <f t="shared" si="546"/>
        <v/>
      </c>
      <c r="G3622" t="str">
        <f t="shared" si="547"/>
        <v/>
      </c>
    </row>
    <row r="3623" spans="2:7">
      <c r="B3623" s="46"/>
      <c r="C3623" t="str">
        <f t="shared" si="543"/>
        <v/>
      </c>
      <c r="D3623" s="63" t="str">
        <f t="shared" si="544"/>
        <v/>
      </c>
      <c r="E3623" t="str">
        <f t="shared" si="545"/>
        <v/>
      </c>
      <c r="F3623">
        <f t="shared" si="546"/>
        <v>4.28571428571429</v>
      </c>
      <c r="G3623" t="str">
        <f t="shared" si="547"/>
        <v/>
      </c>
    </row>
    <row r="3624" spans="2:7">
      <c r="B3624" s="46"/>
      <c r="C3624" t="str">
        <f t="shared" si="543"/>
        <v/>
      </c>
      <c r="D3624" s="63" t="str">
        <f t="shared" si="544"/>
        <v/>
      </c>
      <c r="E3624" t="str">
        <f t="shared" si="545"/>
        <v/>
      </c>
      <c r="F3624" t="str">
        <f t="shared" si="546"/>
        <v/>
      </c>
      <c r="G3624">
        <f t="shared" si="547"/>
        <v>3.43396226415094</v>
      </c>
    </row>
    <row r="3625" spans="2:7">
      <c r="B3625" s="46"/>
      <c r="C3625" t="str">
        <f t="shared" si="543"/>
        <v/>
      </c>
      <c r="D3625" s="63" t="str">
        <f t="shared" si="544"/>
        <v/>
      </c>
      <c r="E3625">
        <f t="shared" si="545"/>
        <v>14.5833333333333</v>
      </c>
      <c r="F3625" t="str">
        <f t="shared" si="546"/>
        <v/>
      </c>
      <c r="G3625" t="str">
        <f t="shared" si="547"/>
        <v/>
      </c>
    </row>
    <row r="3626" spans="2:7">
      <c r="B3626" s="46"/>
      <c r="C3626" t="str">
        <f t="shared" si="543"/>
        <v/>
      </c>
      <c r="D3626" s="63" t="str">
        <f t="shared" si="544"/>
        <v/>
      </c>
      <c r="E3626" t="str">
        <f t="shared" si="545"/>
        <v/>
      </c>
      <c r="F3626">
        <f t="shared" si="546"/>
        <v>6.42857142857143</v>
      </c>
      <c r="G3626" t="str">
        <f t="shared" si="547"/>
        <v/>
      </c>
    </row>
    <row r="3627" spans="2:7">
      <c r="B3627" s="46"/>
      <c r="C3627" t="str">
        <f t="shared" si="543"/>
        <v/>
      </c>
      <c r="D3627" s="63" t="str">
        <f t="shared" si="544"/>
        <v/>
      </c>
      <c r="E3627" t="str">
        <f t="shared" si="545"/>
        <v/>
      </c>
      <c r="F3627" t="str">
        <f t="shared" si="546"/>
        <v/>
      </c>
      <c r="G3627">
        <f t="shared" si="547"/>
        <v>3.84591194968553</v>
      </c>
    </row>
    <row r="3628" spans="2:7">
      <c r="B3628" s="46"/>
      <c r="C3628">
        <f t="shared" si="543"/>
        <v>0.844907407407407</v>
      </c>
      <c r="D3628" s="63" t="str">
        <f t="shared" si="544"/>
        <v/>
      </c>
      <c r="E3628" t="str">
        <f t="shared" si="545"/>
        <v/>
      </c>
      <c r="F3628" t="str">
        <f t="shared" si="546"/>
        <v/>
      </c>
      <c r="G3628" t="str">
        <f t="shared" si="547"/>
        <v/>
      </c>
    </row>
    <row r="3629" spans="2:7">
      <c r="B3629" s="46"/>
      <c r="C3629">
        <f t="shared" si="543"/>
        <v>6.79803240740741</v>
      </c>
      <c r="D3629" s="63" t="str">
        <f t="shared" si="544"/>
        <v/>
      </c>
      <c r="E3629" t="str">
        <f t="shared" si="545"/>
        <v/>
      </c>
      <c r="F3629" t="str">
        <f t="shared" si="546"/>
        <v/>
      </c>
      <c r="G3629" t="str">
        <f t="shared" si="547"/>
        <v/>
      </c>
    </row>
    <row r="3630" spans="2:7">
      <c r="B3630" s="46"/>
      <c r="C3630">
        <f t="shared" si="543"/>
        <v>6.79803240740741</v>
      </c>
      <c r="D3630" s="63" t="str">
        <f t="shared" si="544"/>
        <v/>
      </c>
      <c r="E3630" t="str">
        <f t="shared" si="545"/>
        <v/>
      </c>
      <c r="F3630" t="str">
        <f t="shared" si="546"/>
        <v/>
      </c>
      <c r="G3630" t="str">
        <f t="shared" si="547"/>
        <v/>
      </c>
    </row>
    <row r="3631" spans="2:7">
      <c r="B3631" s="46"/>
      <c r="C3631">
        <f t="shared" si="543"/>
        <v>7.52719907407408</v>
      </c>
      <c r="D3631" s="63" t="str">
        <f t="shared" si="544"/>
        <v/>
      </c>
      <c r="E3631" t="str">
        <f t="shared" si="545"/>
        <v/>
      </c>
      <c r="F3631" t="str">
        <f t="shared" si="546"/>
        <v/>
      </c>
      <c r="G3631" t="str">
        <f t="shared" si="547"/>
        <v/>
      </c>
    </row>
    <row r="3632" spans="2:7">
      <c r="B3632" s="46"/>
      <c r="C3632" t="str">
        <f t="shared" si="543"/>
        <v/>
      </c>
      <c r="D3632" s="63">
        <f t="shared" si="544"/>
        <v>2.7881455399061</v>
      </c>
      <c r="E3632" t="str">
        <f t="shared" si="545"/>
        <v/>
      </c>
      <c r="F3632" t="str">
        <f t="shared" si="546"/>
        <v/>
      </c>
      <c r="G3632" t="str">
        <f t="shared" si="547"/>
        <v/>
      </c>
    </row>
    <row r="3633" spans="2:7">
      <c r="B3633" s="46"/>
      <c r="C3633" t="str">
        <f t="shared" si="543"/>
        <v/>
      </c>
      <c r="D3633" s="63">
        <f t="shared" si="544"/>
        <v>4.47535211267606</v>
      </c>
      <c r="E3633" t="str">
        <f t="shared" si="545"/>
        <v/>
      </c>
      <c r="F3633" t="str">
        <f t="shared" si="546"/>
        <v/>
      </c>
      <c r="G3633" t="str">
        <f t="shared" si="547"/>
        <v/>
      </c>
    </row>
    <row r="3634" spans="2:7">
      <c r="B3634" s="46"/>
      <c r="C3634" t="str">
        <f t="shared" si="543"/>
        <v/>
      </c>
      <c r="D3634" s="63">
        <f t="shared" si="544"/>
        <v>6.10680751173709</v>
      </c>
      <c r="E3634" t="str">
        <f t="shared" si="545"/>
        <v/>
      </c>
      <c r="F3634" t="str">
        <f t="shared" si="546"/>
        <v/>
      </c>
      <c r="G3634" t="str">
        <f t="shared" si="547"/>
        <v/>
      </c>
    </row>
    <row r="3635" spans="2:7">
      <c r="B3635" s="46"/>
      <c r="C3635" t="str">
        <f t="shared" si="543"/>
        <v/>
      </c>
      <c r="D3635" s="63">
        <f t="shared" si="544"/>
        <v>8.50821596244131</v>
      </c>
      <c r="E3635" t="str">
        <f t="shared" si="545"/>
        <v/>
      </c>
      <c r="F3635" t="str">
        <f t="shared" si="546"/>
        <v/>
      </c>
      <c r="G3635" t="str">
        <f t="shared" si="547"/>
        <v/>
      </c>
    </row>
    <row r="3636" spans="2:7">
      <c r="B3636" s="46"/>
      <c r="C3636" t="str">
        <f t="shared" si="543"/>
        <v/>
      </c>
      <c r="D3636" s="63">
        <f t="shared" si="544"/>
        <v>10.268779342723</v>
      </c>
      <c r="E3636" t="str">
        <f t="shared" si="545"/>
        <v/>
      </c>
      <c r="F3636" t="str">
        <f t="shared" si="546"/>
        <v/>
      </c>
      <c r="G3636" t="str">
        <f t="shared" si="547"/>
        <v/>
      </c>
    </row>
    <row r="3637" spans="2:7">
      <c r="B3637" s="46"/>
      <c r="C3637" t="str">
        <f t="shared" si="543"/>
        <v/>
      </c>
      <c r="D3637" s="63" t="str">
        <f t="shared" si="544"/>
        <v/>
      </c>
      <c r="E3637" t="str">
        <f t="shared" si="545"/>
        <v/>
      </c>
      <c r="F3637" t="str">
        <f t="shared" si="546"/>
        <v/>
      </c>
      <c r="G3637">
        <f t="shared" si="547"/>
        <v>7.67610062893082</v>
      </c>
    </row>
    <row r="3638" spans="2:7">
      <c r="B3638" s="46"/>
      <c r="C3638" t="str">
        <f t="shared" si="543"/>
        <v/>
      </c>
      <c r="D3638" s="63" t="str">
        <f t="shared" si="544"/>
        <v/>
      </c>
      <c r="E3638" t="str">
        <f t="shared" si="545"/>
        <v/>
      </c>
      <c r="F3638" t="str">
        <f t="shared" si="546"/>
        <v/>
      </c>
      <c r="G3638">
        <f t="shared" si="547"/>
        <v>10.3836477987421</v>
      </c>
    </row>
    <row r="3639" spans="2:7">
      <c r="B3639" s="46"/>
      <c r="C3639" t="str">
        <f t="shared" si="543"/>
        <v/>
      </c>
      <c r="D3639" s="63" t="str">
        <f t="shared" si="544"/>
        <v/>
      </c>
      <c r="E3639" t="str">
        <f t="shared" si="545"/>
        <v/>
      </c>
      <c r="F3639" t="str">
        <f t="shared" si="546"/>
        <v/>
      </c>
      <c r="G3639">
        <f t="shared" si="547"/>
        <v>13.2138364779874</v>
      </c>
    </row>
    <row r="3640" spans="2:7">
      <c r="B3640" s="46"/>
      <c r="C3640" t="str">
        <f t="shared" si="543"/>
        <v/>
      </c>
      <c r="D3640" s="63" t="str">
        <f t="shared" si="544"/>
        <v/>
      </c>
      <c r="E3640" t="str">
        <f t="shared" si="545"/>
        <v/>
      </c>
      <c r="F3640" t="str">
        <f t="shared" si="546"/>
        <v/>
      </c>
      <c r="G3640">
        <f t="shared" si="547"/>
        <v>14.7243186582809</v>
      </c>
    </row>
    <row r="3641" spans="2:7">
      <c r="B3641" s="46"/>
      <c r="C3641" t="str">
        <f t="shared" si="543"/>
        <v/>
      </c>
      <c r="D3641" s="63" t="str">
        <f t="shared" si="544"/>
        <v/>
      </c>
      <c r="E3641" t="str">
        <f t="shared" si="545"/>
        <v/>
      </c>
      <c r="F3641">
        <f t="shared" si="546"/>
        <v>9.17630385487529</v>
      </c>
      <c r="G3641" t="str">
        <f t="shared" si="547"/>
        <v/>
      </c>
    </row>
    <row r="3642" spans="2:7">
      <c r="B3642" s="46"/>
      <c r="C3642" t="str">
        <f t="shared" si="543"/>
        <v/>
      </c>
      <c r="D3642" s="63" t="str">
        <f t="shared" si="544"/>
        <v/>
      </c>
      <c r="E3642" t="str">
        <f t="shared" si="545"/>
        <v/>
      </c>
      <c r="F3642">
        <f t="shared" si="546"/>
        <v>12.328231292517</v>
      </c>
      <c r="G3642" t="str">
        <f t="shared" si="547"/>
        <v/>
      </c>
    </row>
    <row r="3643" spans="2:7">
      <c r="B3643" s="46"/>
      <c r="C3643" t="str">
        <f t="shared" si="543"/>
        <v/>
      </c>
      <c r="D3643" s="63" t="str">
        <f t="shared" si="544"/>
        <v/>
      </c>
      <c r="E3643" t="str">
        <f t="shared" si="545"/>
        <v/>
      </c>
      <c r="F3643">
        <f t="shared" si="546"/>
        <v>15.0017006802721</v>
      </c>
      <c r="G3643" t="str">
        <f t="shared" si="547"/>
        <v/>
      </c>
    </row>
    <row r="3644" spans="2:7">
      <c r="B3644" s="46"/>
      <c r="C3644">
        <f t="shared" si="543"/>
        <v>10.328125</v>
      </c>
      <c r="D3644" s="63" t="str">
        <f t="shared" si="544"/>
        <v/>
      </c>
      <c r="E3644" t="str">
        <f t="shared" si="545"/>
        <v/>
      </c>
      <c r="F3644" t="str">
        <f t="shared" si="546"/>
        <v/>
      </c>
      <c r="G3644" t="str">
        <f t="shared" si="547"/>
        <v/>
      </c>
    </row>
    <row r="3645" spans="2:7">
      <c r="B3645" s="46"/>
      <c r="C3645">
        <f t="shared" si="543"/>
        <v>14.5908564814815</v>
      </c>
      <c r="D3645" s="63" t="str">
        <f t="shared" si="544"/>
        <v/>
      </c>
      <c r="E3645" t="str">
        <f t="shared" si="545"/>
        <v/>
      </c>
      <c r="F3645" t="str">
        <f t="shared" si="546"/>
        <v/>
      </c>
      <c r="G3645" t="str">
        <f t="shared" si="547"/>
        <v/>
      </c>
    </row>
    <row r="3646" spans="2:7">
      <c r="B3646" s="46"/>
      <c r="C3646">
        <f t="shared" si="543"/>
        <v>14.9409722222222</v>
      </c>
      <c r="D3646" s="63" t="str">
        <f t="shared" si="544"/>
        <v/>
      </c>
      <c r="E3646" t="str">
        <f t="shared" si="545"/>
        <v/>
      </c>
      <c r="F3646" t="str">
        <f t="shared" si="546"/>
        <v/>
      </c>
      <c r="G3646" t="str">
        <f t="shared" si="547"/>
        <v/>
      </c>
    </row>
    <row r="3647" spans="2:7">
      <c r="B3647" s="46"/>
      <c r="C3647">
        <f t="shared" si="543"/>
        <v>19.2465277777778</v>
      </c>
      <c r="D3647" s="63" t="str">
        <f t="shared" si="544"/>
        <v/>
      </c>
      <c r="E3647" t="str">
        <f t="shared" si="545"/>
        <v/>
      </c>
      <c r="F3647" t="str">
        <f t="shared" si="546"/>
        <v/>
      </c>
      <c r="G3647" t="str">
        <f t="shared" si="547"/>
        <v/>
      </c>
    </row>
    <row r="3648" spans="2:7">
      <c r="B3648" s="46"/>
      <c r="C3648" t="str">
        <f t="shared" si="543"/>
        <v/>
      </c>
      <c r="D3648" s="63">
        <f t="shared" si="544"/>
        <v>15.0340375586854</v>
      </c>
      <c r="E3648" t="str">
        <f t="shared" si="545"/>
        <v/>
      </c>
      <c r="F3648" t="str">
        <f t="shared" si="546"/>
        <v/>
      </c>
      <c r="G3648" t="str">
        <f t="shared" si="547"/>
        <v/>
      </c>
    </row>
    <row r="3649" spans="2:7">
      <c r="B3649" s="46"/>
      <c r="C3649" t="str">
        <f t="shared" si="543"/>
        <v/>
      </c>
      <c r="D3649" s="63">
        <f t="shared" si="544"/>
        <v>15.0340375586854</v>
      </c>
      <c r="E3649" t="str">
        <f t="shared" si="545"/>
        <v/>
      </c>
      <c r="F3649" t="str">
        <f t="shared" si="546"/>
        <v/>
      </c>
      <c r="G3649" t="str">
        <f t="shared" si="547"/>
        <v/>
      </c>
    </row>
    <row r="3650" spans="2:7">
      <c r="B3650" s="46"/>
      <c r="C3650" t="str">
        <f t="shared" si="543"/>
        <v/>
      </c>
      <c r="D3650" s="63">
        <f t="shared" si="544"/>
        <v>16.1343896713615</v>
      </c>
      <c r="E3650" t="str">
        <f t="shared" si="545"/>
        <v/>
      </c>
      <c r="F3650" t="str">
        <f t="shared" si="546"/>
        <v/>
      </c>
      <c r="G3650" t="str">
        <f t="shared" si="547"/>
        <v/>
      </c>
    </row>
    <row r="3651" spans="2:7">
      <c r="B3651" s="46"/>
      <c r="C3651" t="str">
        <f t="shared" si="543"/>
        <v/>
      </c>
      <c r="D3651" s="63">
        <f t="shared" si="544"/>
        <v>16.8620892018779</v>
      </c>
      <c r="E3651" t="str">
        <f t="shared" si="545"/>
        <v/>
      </c>
      <c r="F3651" t="str">
        <f t="shared" si="546"/>
        <v/>
      </c>
      <c r="G3651" t="str">
        <f t="shared" si="547"/>
        <v/>
      </c>
    </row>
    <row r="3652" spans="2:7">
      <c r="B3652" s="46"/>
      <c r="C3652" t="str">
        <f t="shared" si="543"/>
        <v/>
      </c>
      <c r="D3652" s="63" t="str">
        <f t="shared" si="544"/>
        <v/>
      </c>
      <c r="E3652">
        <f t="shared" si="545"/>
        <v>16.1245098039216</v>
      </c>
      <c r="F3652" t="str">
        <f t="shared" si="546"/>
        <v/>
      </c>
      <c r="G3652" t="str">
        <f t="shared" si="547"/>
        <v/>
      </c>
    </row>
    <row r="3653" spans="2:7">
      <c r="B3653" s="46"/>
      <c r="C3653" t="str">
        <f t="shared" si="543"/>
        <v/>
      </c>
      <c r="D3653" s="63" t="str">
        <f t="shared" si="544"/>
        <v/>
      </c>
      <c r="E3653">
        <f t="shared" si="545"/>
        <v>17.9225490196078</v>
      </c>
      <c r="F3653" t="str">
        <f t="shared" si="546"/>
        <v/>
      </c>
      <c r="G3653" t="str">
        <f t="shared" si="547"/>
        <v/>
      </c>
    </row>
    <row r="3654" spans="2:7">
      <c r="B3654" s="46"/>
      <c r="C3654" t="str">
        <f t="shared" si="543"/>
        <v/>
      </c>
      <c r="D3654" s="63" t="str">
        <f t="shared" si="544"/>
        <v/>
      </c>
      <c r="E3654">
        <f t="shared" si="545"/>
        <v>18.7166666666667</v>
      </c>
      <c r="F3654" t="str">
        <f t="shared" si="546"/>
        <v/>
      </c>
      <c r="G3654" t="str">
        <f t="shared" si="547"/>
        <v/>
      </c>
    </row>
    <row r="3655" spans="2:7">
      <c r="B3655" s="46"/>
      <c r="C3655" t="str">
        <f t="shared" si="543"/>
        <v/>
      </c>
      <c r="D3655" s="63" t="str">
        <f t="shared" si="544"/>
        <v/>
      </c>
      <c r="E3655">
        <f t="shared" si="545"/>
        <v>18.9539215686275</v>
      </c>
      <c r="F3655" t="str">
        <f t="shared" si="546"/>
        <v/>
      </c>
      <c r="G3655" t="str">
        <f t="shared" si="547"/>
        <v/>
      </c>
    </row>
    <row r="3656" spans="2:7">
      <c r="B3656" s="46"/>
      <c r="C3656" t="str">
        <f t="shared" si="543"/>
        <v/>
      </c>
      <c r="D3656" s="63" t="str">
        <f t="shared" si="544"/>
        <v/>
      </c>
      <c r="E3656" t="str">
        <f t="shared" si="545"/>
        <v/>
      </c>
      <c r="F3656" t="str">
        <f t="shared" si="546"/>
        <v/>
      </c>
      <c r="G3656">
        <f t="shared" si="547"/>
        <v>15.4449685534591</v>
      </c>
    </row>
    <row r="3657" spans="2:7">
      <c r="B3657" s="46"/>
      <c r="C3657" t="str">
        <f t="shared" si="543"/>
        <v/>
      </c>
      <c r="D3657" s="63" t="str">
        <f t="shared" si="544"/>
        <v/>
      </c>
      <c r="E3657" t="str">
        <f t="shared" si="545"/>
        <v/>
      </c>
      <c r="F3657" t="str">
        <f t="shared" si="546"/>
        <v/>
      </c>
      <c r="G3657">
        <f t="shared" si="547"/>
        <v>16.4669811320755</v>
      </c>
    </row>
    <row r="3658" spans="2:7">
      <c r="B3658" s="46"/>
      <c r="C3658" t="str">
        <f t="shared" si="543"/>
        <v/>
      </c>
      <c r="D3658" s="63" t="str">
        <f t="shared" si="544"/>
        <v/>
      </c>
      <c r="E3658" t="str">
        <f t="shared" si="545"/>
        <v/>
      </c>
      <c r="F3658" t="str">
        <f t="shared" si="546"/>
        <v/>
      </c>
      <c r="G3658">
        <f t="shared" si="547"/>
        <v>17.7877358490566</v>
      </c>
    </row>
    <row r="3659" spans="2:7">
      <c r="B3659" s="46"/>
      <c r="C3659" t="str">
        <f t="shared" si="543"/>
        <v/>
      </c>
      <c r="D3659" s="63" t="str">
        <f t="shared" si="544"/>
        <v/>
      </c>
      <c r="E3659" t="str">
        <f t="shared" si="545"/>
        <v/>
      </c>
      <c r="F3659" t="str">
        <f t="shared" si="546"/>
        <v/>
      </c>
      <c r="G3659">
        <f t="shared" si="547"/>
        <v>18.377358490566</v>
      </c>
    </row>
    <row r="3660" spans="2:7">
      <c r="B3660" s="46"/>
      <c r="C3660" t="str">
        <f t="shared" si="543"/>
        <v/>
      </c>
      <c r="D3660" s="63" t="str">
        <f t="shared" si="544"/>
        <v/>
      </c>
      <c r="E3660" t="str">
        <f t="shared" si="545"/>
        <v/>
      </c>
      <c r="F3660">
        <f t="shared" si="546"/>
        <v>15.4234693877551</v>
      </c>
      <c r="G3660" t="str">
        <f t="shared" si="547"/>
        <v/>
      </c>
    </row>
    <row r="3661" spans="2:7">
      <c r="B3661" s="46"/>
      <c r="C3661" t="str">
        <f t="shared" si="543"/>
        <v/>
      </c>
      <c r="D3661" s="63" t="str">
        <f t="shared" si="544"/>
        <v/>
      </c>
      <c r="E3661" t="str">
        <f t="shared" si="545"/>
        <v/>
      </c>
      <c r="F3661">
        <f t="shared" si="546"/>
        <v>16.7698412698413</v>
      </c>
      <c r="G3661" t="str">
        <f t="shared" si="547"/>
        <v/>
      </c>
    </row>
    <row r="3662" spans="2:7">
      <c r="B3662" s="46"/>
      <c r="C3662" t="str">
        <f t="shared" si="543"/>
        <v/>
      </c>
      <c r="D3662" s="63" t="str">
        <f t="shared" si="544"/>
        <v/>
      </c>
      <c r="E3662" t="str">
        <f t="shared" si="545"/>
        <v/>
      </c>
      <c r="F3662">
        <f t="shared" si="546"/>
        <v>18.109410430839</v>
      </c>
      <c r="G3662" t="str">
        <f t="shared" si="547"/>
        <v/>
      </c>
    </row>
    <row r="3663" spans="2:7">
      <c r="B3663" s="46"/>
      <c r="C3663" t="str">
        <f t="shared" si="543"/>
        <v/>
      </c>
      <c r="D3663" s="63" t="str">
        <f t="shared" si="544"/>
        <v/>
      </c>
      <c r="E3663" t="str">
        <f t="shared" si="545"/>
        <v/>
      </c>
      <c r="F3663">
        <f t="shared" si="546"/>
        <v>20.1581632653061</v>
      </c>
      <c r="G3663" t="str">
        <f t="shared" si="547"/>
        <v/>
      </c>
    </row>
    <row r="3664" spans="2:7">
      <c r="B3664" s="46"/>
      <c r="C3664" t="str">
        <f t="shared" si="543"/>
        <v/>
      </c>
      <c r="D3664" s="63" t="str">
        <f t="shared" si="544"/>
        <v/>
      </c>
      <c r="E3664" t="str">
        <f t="shared" si="545"/>
        <v/>
      </c>
      <c r="F3664">
        <f t="shared" si="546"/>
        <v>22.1581632653061</v>
      </c>
      <c r="G3664" t="str">
        <f t="shared" si="547"/>
        <v/>
      </c>
    </row>
    <row r="3665" spans="2:7">
      <c r="B3665" s="46"/>
      <c r="C3665" t="str">
        <f t="shared" si="543"/>
        <v/>
      </c>
      <c r="D3665" s="63" t="str">
        <f t="shared" si="544"/>
        <v/>
      </c>
      <c r="E3665" t="str">
        <f t="shared" si="545"/>
        <v/>
      </c>
      <c r="F3665">
        <f t="shared" si="546"/>
        <v>22.8781179138322</v>
      </c>
      <c r="G3665" t="str">
        <f t="shared" si="547"/>
        <v/>
      </c>
    </row>
    <row r="3666" spans="2:7">
      <c r="B3666" s="46"/>
      <c r="C3666" t="str">
        <f t="shared" si="543"/>
        <v/>
      </c>
      <c r="D3666" s="63">
        <f t="shared" si="544"/>
        <v>17.3022300469484</v>
      </c>
      <c r="E3666" t="str">
        <f t="shared" si="545"/>
        <v/>
      </c>
      <c r="F3666" t="str">
        <f t="shared" si="546"/>
        <v/>
      </c>
      <c r="G3666" t="str">
        <f t="shared" si="547"/>
        <v/>
      </c>
    </row>
    <row r="3667" spans="2:7">
      <c r="B3667" s="46"/>
      <c r="C3667" t="str">
        <f t="shared" si="543"/>
        <v/>
      </c>
      <c r="D3667" s="63">
        <f t="shared" si="544"/>
        <v>22.837441314554</v>
      </c>
      <c r="E3667" t="str">
        <f t="shared" si="545"/>
        <v/>
      </c>
      <c r="F3667" t="str">
        <f t="shared" si="546"/>
        <v/>
      </c>
      <c r="G3667" t="str">
        <f t="shared" si="547"/>
        <v/>
      </c>
    </row>
    <row r="3668" spans="2:7">
      <c r="B3668" s="46"/>
      <c r="C3668" t="str">
        <f t="shared" si="543"/>
        <v/>
      </c>
      <c r="D3668" s="63">
        <f t="shared" si="544"/>
        <v>23.7089201877934</v>
      </c>
      <c r="E3668" t="str">
        <f t="shared" si="545"/>
        <v/>
      </c>
      <c r="F3668" t="str">
        <f t="shared" si="546"/>
        <v/>
      </c>
      <c r="G3668" t="str">
        <f t="shared" si="547"/>
        <v/>
      </c>
    </row>
    <row r="3669" spans="2:7">
      <c r="B3669" s="46"/>
      <c r="C3669" t="str">
        <f t="shared" si="543"/>
        <v/>
      </c>
      <c r="D3669" s="63">
        <f t="shared" si="544"/>
        <v>24.3427230046948</v>
      </c>
      <c r="E3669" t="str">
        <f t="shared" si="545"/>
        <v/>
      </c>
      <c r="F3669" t="str">
        <f t="shared" si="546"/>
        <v/>
      </c>
      <c r="G3669" t="str">
        <f t="shared" si="547"/>
        <v/>
      </c>
    </row>
    <row r="3670" spans="2:7">
      <c r="B3670" s="46"/>
      <c r="C3670" t="str">
        <f t="shared" si="543"/>
        <v/>
      </c>
      <c r="D3670" s="63">
        <f t="shared" si="544"/>
        <v>27.5704225352113</v>
      </c>
      <c r="E3670" t="str">
        <f t="shared" si="545"/>
        <v/>
      </c>
      <c r="F3670" t="str">
        <f t="shared" si="546"/>
        <v/>
      </c>
      <c r="G3670" t="str">
        <f t="shared" si="547"/>
        <v/>
      </c>
    </row>
    <row r="3671" spans="2:7">
      <c r="B3671" s="46"/>
      <c r="C3671" t="str">
        <f t="shared" si="543"/>
        <v/>
      </c>
      <c r="D3671" s="63" t="str">
        <f t="shared" si="544"/>
        <v/>
      </c>
      <c r="E3671" t="str">
        <f t="shared" si="545"/>
        <v/>
      </c>
      <c r="F3671" t="str">
        <f t="shared" si="546"/>
        <v/>
      </c>
      <c r="G3671">
        <f t="shared" si="547"/>
        <v>19.1949685534591</v>
      </c>
    </row>
    <row r="3672" spans="2:7">
      <c r="B3672" s="46"/>
      <c r="C3672" t="str">
        <f t="shared" si="543"/>
        <v/>
      </c>
      <c r="D3672" s="63" t="str">
        <f t="shared" si="544"/>
        <v/>
      </c>
      <c r="E3672" t="str">
        <f t="shared" si="545"/>
        <v/>
      </c>
      <c r="F3672" t="str">
        <f t="shared" si="546"/>
        <v/>
      </c>
      <c r="G3672">
        <f t="shared" si="547"/>
        <v>21.9606918238994</v>
      </c>
    </row>
    <row r="3673" spans="2:7">
      <c r="B3673" s="46"/>
      <c r="C3673" t="str">
        <f t="shared" si="543"/>
        <v/>
      </c>
      <c r="D3673" s="63" t="str">
        <f t="shared" si="544"/>
        <v/>
      </c>
      <c r="E3673" t="str">
        <f t="shared" si="545"/>
        <v/>
      </c>
      <c r="F3673" t="str">
        <f t="shared" si="546"/>
        <v/>
      </c>
      <c r="G3673">
        <f t="shared" si="547"/>
        <v>21.9606918238994</v>
      </c>
    </row>
    <row r="3674" spans="2:7">
      <c r="B3674" s="46"/>
      <c r="C3674" t="str">
        <f t="shared" si="543"/>
        <v/>
      </c>
      <c r="D3674" s="63" t="str">
        <f t="shared" si="544"/>
        <v/>
      </c>
      <c r="E3674" t="str">
        <f t="shared" si="545"/>
        <v/>
      </c>
      <c r="F3674" t="str">
        <f t="shared" si="546"/>
        <v/>
      </c>
      <c r="G3674">
        <f t="shared" si="547"/>
        <v>25.2222222222222</v>
      </c>
    </row>
    <row r="3675" spans="2:7">
      <c r="B3675" s="46"/>
      <c r="C3675" t="str">
        <f t="shared" si="543"/>
        <v/>
      </c>
      <c r="D3675" s="63" t="str">
        <f t="shared" si="544"/>
        <v/>
      </c>
      <c r="E3675">
        <f t="shared" si="545"/>
        <v>22.268137254902</v>
      </c>
      <c r="F3675" t="str">
        <f t="shared" si="546"/>
        <v/>
      </c>
      <c r="G3675" t="str">
        <f t="shared" si="547"/>
        <v/>
      </c>
    </row>
    <row r="3676" spans="2:7">
      <c r="B3676" s="46"/>
      <c r="C3676" t="str">
        <f t="shared" si="543"/>
        <v/>
      </c>
      <c r="D3676" s="63" t="str">
        <f t="shared" si="544"/>
        <v/>
      </c>
      <c r="E3676">
        <f t="shared" si="545"/>
        <v>22.268137254902</v>
      </c>
      <c r="F3676" t="str">
        <f t="shared" si="546"/>
        <v/>
      </c>
      <c r="G3676" t="str">
        <f t="shared" si="547"/>
        <v/>
      </c>
    </row>
    <row r="3677" spans="2:7">
      <c r="B3677" s="46"/>
      <c r="C3677" t="str">
        <f t="shared" si="543"/>
        <v/>
      </c>
      <c r="D3677" s="63" t="str">
        <f t="shared" si="544"/>
        <v/>
      </c>
      <c r="E3677">
        <f t="shared" si="545"/>
        <v>24.6995098039216</v>
      </c>
      <c r="F3677" t="str">
        <f t="shared" si="546"/>
        <v/>
      </c>
      <c r="G3677" t="str">
        <f t="shared" si="547"/>
        <v/>
      </c>
    </row>
    <row r="3678" spans="2:7">
      <c r="B3678" s="46"/>
      <c r="C3678" t="str">
        <f t="shared" si="543"/>
        <v/>
      </c>
      <c r="D3678" s="63" t="str">
        <f t="shared" si="544"/>
        <v/>
      </c>
      <c r="E3678">
        <f t="shared" si="545"/>
        <v>25.3416666666667</v>
      </c>
      <c r="F3678" t="str">
        <f t="shared" si="546"/>
        <v/>
      </c>
      <c r="G3678" t="str">
        <f t="shared" si="547"/>
        <v/>
      </c>
    </row>
    <row r="3679" spans="2:7">
      <c r="B3679" s="46"/>
      <c r="C3679">
        <f t="shared" si="543"/>
        <v>19.5358796296296</v>
      </c>
      <c r="D3679" s="63" t="str">
        <f t="shared" si="544"/>
        <v/>
      </c>
      <c r="E3679" t="str">
        <f t="shared" si="545"/>
        <v/>
      </c>
      <c r="F3679" t="str">
        <f t="shared" si="546"/>
        <v/>
      </c>
      <c r="G3679" t="str">
        <f t="shared" si="547"/>
        <v/>
      </c>
    </row>
    <row r="3680" spans="2:7">
      <c r="B3680" s="46"/>
      <c r="C3680">
        <f t="shared" si="543"/>
        <v>20.1608796296296</v>
      </c>
      <c r="D3680" s="63" t="str">
        <f t="shared" si="544"/>
        <v/>
      </c>
      <c r="E3680" t="str">
        <f t="shared" si="545"/>
        <v/>
      </c>
      <c r="F3680" t="str">
        <f t="shared" si="546"/>
        <v/>
      </c>
      <c r="G3680" t="str">
        <f t="shared" si="547"/>
        <v/>
      </c>
    </row>
    <row r="3681" spans="2:7">
      <c r="B3681" s="46"/>
      <c r="C3681">
        <f t="shared" si="543"/>
        <v>21.7233796296296</v>
      </c>
      <c r="D3681" s="63" t="str">
        <f t="shared" si="544"/>
        <v/>
      </c>
      <c r="E3681" t="str">
        <f t="shared" si="545"/>
        <v/>
      </c>
      <c r="F3681" t="str">
        <f t="shared" si="546"/>
        <v/>
      </c>
      <c r="G3681" t="str">
        <f t="shared" si="547"/>
        <v/>
      </c>
    </row>
    <row r="3682" spans="2:7">
      <c r="B3682" s="46"/>
      <c r="C3682">
        <f t="shared" si="543"/>
        <v>22.7054398148148</v>
      </c>
      <c r="D3682" s="63" t="str">
        <f t="shared" si="544"/>
        <v/>
      </c>
      <c r="E3682" t="str">
        <f t="shared" si="545"/>
        <v/>
      </c>
      <c r="F3682" t="str">
        <f t="shared" si="546"/>
        <v/>
      </c>
      <c r="G3682" t="str">
        <f t="shared" si="547"/>
        <v/>
      </c>
    </row>
    <row r="3683" spans="2:7">
      <c r="B3683" s="46"/>
      <c r="C3683">
        <f t="shared" si="543"/>
        <v>22.7054398148148</v>
      </c>
      <c r="D3683" s="63" t="str">
        <f t="shared" si="544"/>
        <v/>
      </c>
      <c r="E3683" t="str">
        <f t="shared" si="545"/>
        <v/>
      </c>
      <c r="F3683" t="str">
        <f t="shared" si="546"/>
        <v/>
      </c>
      <c r="G3683" t="str">
        <f t="shared" si="547"/>
        <v/>
      </c>
    </row>
    <row r="3684" spans="2:7">
      <c r="B3684" s="46"/>
      <c r="C3684">
        <f t="shared" ref="C3684:C3698" si="548">IF(J72=1,S72,"")</f>
        <v>22.8512731481482</v>
      </c>
      <c r="D3684" s="63" t="str">
        <f t="shared" ref="D3684:D3698" si="549">IF(J72=2,S72,"")</f>
        <v/>
      </c>
      <c r="E3684" t="str">
        <f t="shared" ref="E3684:E3698" si="550">IF(J72=3,S72,"")</f>
        <v/>
      </c>
      <c r="F3684" t="str">
        <f t="shared" ref="F3684:F3698" si="551">IF(J72=4,S72,"")</f>
        <v/>
      </c>
      <c r="G3684" t="str">
        <f t="shared" ref="G3684:G3698" si="552">IF(J72=5,S72,"")</f>
        <v/>
      </c>
    </row>
    <row r="3685" spans="2:7">
      <c r="B3685" s="46"/>
      <c r="C3685">
        <f t="shared" si="548"/>
        <v>34.4068287037037</v>
      </c>
      <c r="D3685" s="63" t="str">
        <f t="shared" si="549"/>
        <v/>
      </c>
      <c r="E3685" t="str">
        <f t="shared" si="550"/>
        <v/>
      </c>
      <c r="F3685" t="str">
        <f t="shared" si="551"/>
        <v/>
      </c>
      <c r="G3685" t="str">
        <f t="shared" si="552"/>
        <v/>
      </c>
    </row>
    <row r="3686" spans="2:7">
      <c r="B3686" s="46"/>
      <c r="C3686">
        <f t="shared" si="548"/>
        <v>34.4068287037037</v>
      </c>
      <c r="D3686" s="63" t="str">
        <f t="shared" si="549"/>
        <v/>
      </c>
      <c r="E3686" t="str">
        <f t="shared" si="550"/>
        <v/>
      </c>
      <c r="F3686" t="str">
        <f t="shared" si="551"/>
        <v/>
      </c>
      <c r="G3686" t="str">
        <f t="shared" si="552"/>
        <v/>
      </c>
    </row>
    <row r="3687" spans="2:7">
      <c r="B3687" s="46"/>
      <c r="C3687">
        <f t="shared" si="548"/>
        <v>35.5827546296296</v>
      </c>
      <c r="D3687" s="63" t="str">
        <f t="shared" si="549"/>
        <v/>
      </c>
      <c r="E3687" t="str">
        <f t="shared" si="550"/>
        <v/>
      </c>
      <c r="F3687" t="str">
        <f t="shared" si="551"/>
        <v/>
      </c>
      <c r="G3687" t="str">
        <f t="shared" si="552"/>
        <v/>
      </c>
    </row>
    <row r="3688" spans="2:7">
      <c r="B3688" s="46"/>
      <c r="C3688">
        <f t="shared" si="548"/>
        <v>36.7893518518519</v>
      </c>
      <c r="D3688" s="63" t="str">
        <f t="shared" si="549"/>
        <v/>
      </c>
      <c r="E3688" t="str">
        <f t="shared" si="550"/>
        <v/>
      </c>
      <c r="F3688" t="str">
        <f t="shared" si="551"/>
        <v/>
      </c>
      <c r="G3688" t="str">
        <f t="shared" si="552"/>
        <v/>
      </c>
    </row>
    <row r="3689" spans="2:7">
      <c r="B3689" s="46"/>
      <c r="C3689" t="str">
        <f t="shared" si="548"/>
        <v/>
      </c>
      <c r="D3689" s="63" t="str">
        <f t="shared" si="549"/>
        <v/>
      </c>
      <c r="E3689" t="str">
        <f t="shared" si="550"/>
        <v/>
      </c>
      <c r="F3689">
        <f t="shared" si="551"/>
        <v>23.4404761904762</v>
      </c>
      <c r="G3689" t="str">
        <f t="shared" si="552"/>
        <v/>
      </c>
    </row>
    <row r="3690" spans="2:7">
      <c r="B3690" s="46"/>
      <c r="C3690" t="str">
        <f t="shared" si="548"/>
        <v/>
      </c>
      <c r="D3690" s="63" t="str">
        <f t="shared" si="549"/>
        <v/>
      </c>
      <c r="E3690" t="str">
        <f t="shared" si="550"/>
        <v/>
      </c>
      <c r="F3690">
        <f t="shared" si="551"/>
        <v>24.3616780045352</v>
      </c>
      <c r="G3690" t="str">
        <f t="shared" si="552"/>
        <v/>
      </c>
    </row>
    <row r="3691" spans="2:7">
      <c r="B3691" s="46"/>
      <c r="C3691" t="str">
        <f t="shared" si="548"/>
        <v/>
      </c>
      <c r="D3691" s="63" t="str">
        <f t="shared" si="549"/>
        <v/>
      </c>
      <c r="E3691" t="str">
        <f t="shared" si="550"/>
        <v/>
      </c>
      <c r="F3691">
        <f t="shared" si="551"/>
        <v>25.8378684807256</v>
      </c>
      <c r="G3691" t="str">
        <f t="shared" si="552"/>
        <v/>
      </c>
    </row>
    <row r="3692" spans="2:7">
      <c r="B3692" s="46"/>
      <c r="C3692" t="str">
        <f t="shared" si="548"/>
        <v/>
      </c>
      <c r="D3692" s="63" t="str">
        <f t="shared" si="549"/>
        <v/>
      </c>
      <c r="E3692" t="str">
        <f t="shared" si="550"/>
        <v/>
      </c>
      <c r="F3692">
        <f t="shared" si="551"/>
        <v>29.4625850340136</v>
      </c>
      <c r="G3692" t="str">
        <f t="shared" si="552"/>
        <v/>
      </c>
    </row>
    <row r="3693" spans="2:7">
      <c r="B3693" s="46"/>
      <c r="C3693" t="str">
        <f t="shared" si="548"/>
        <v/>
      </c>
      <c r="D3693" s="63" t="str">
        <f t="shared" si="549"/>
        <v/>
      </c>
      <c r="E3693" t="str">
        <f t="shared" si="550"/>
        <v/>
      </c>
      <c r="F3693">
        <f t="shared" si="551"/>
        <v>30.092970521542</v>
      </c>
      <c r="G3693" t="str">
        <f t="shared" si="552"/>
        <v/>
      </c>
    </row>
    <row r="3694" spans="2:7">
      <c r="B3694" s="46"/>
      <c r="C3694" t="str">
        <f t="shared" si="548"/>
        <v/>
      </c>
      <c r="D3694" s="63" t="str">
        <f t="shared" si="549"/>
        <v/>
      </c>
      <c r="E3694" t="str">
        <f t="shared" si="550"/>
        <v/>
      </c>
      <c r="F3694">
        <f t="shared" si="551"/>
        <v>30.8809523809524</v>
      </c>
      <c r="G3694" t="str">
        <f t="shared" si="552"/>
        <v/>
      </c>
    </row>
    <row r="3695" spans="2:7">
      <c r="B3695" s="46"/>
      <c r="C3695" t="str">
        <f t="shared" si="548"/>
        <v/>
      </c>
      <c r="D3695" s="63" t="str">
        <f t="shared" si="549"/>
        <v/>
      </c>
      <c r="E3695" t="str">
        <f t="shared" si="550"/>
        <v/>
      </c>
      <c r="F3695" t="str">
        <f t="shared" si="551"/>
        <v/>
      </c>
      <c r="G3695">
        <f t="shared" si="552"/>
        <v>26.0235849056604</v>
      </c>
    </row>
    <row r="3696" spans="2:7">
      <c r="B3696" s="46"/>
      <c r="C3696" t="str">
        <f t="shared" si="548"/>
        <v/>
      </c>
      <c r="D3696" s="63" t="str">
        <f t="shared" si="549"/>
        <v/>
      </c>
      <c r="E3696" t="str">
        <f t="shared" si="550"/>
        <v/>
      </c>
      <c r="F3696" t="str">
        <f t="shared" si="551"/>
        <v/>
      </c>
      <c r="G3696">
        <f t="shared" si="552"/>
        <v>26.8977987421384</v>
      </c>
    </row>
    <row r="3697" spans="2:7">
      <c r="B3697" s="46"/>
      <c r="C3697" t="str">
        <f t="shared" si="548"/>
        <v/>
      </c>
      <c r="D3697" s="63" t="str">
        <f t="shared" si="549"/>
        <v/>
      </c>
      <c r="E3697" t="str">
        <f t="shared" si="550"/>
        <v/>
      </c>
      <c r="F3697" t="str">
        <f t="shared" si="551"/>
        <v/>
      </c>
      <c r="G3697">
        <f t="shared" si="552"/>
        <v>27.8448637316562</v>
      </c>
    </row>
    <row r="3698" ht="15.75" spans="2:7">
      <c r="B3698" s="46"/>
      <c r="C3698" t="str">
        <f t="shared" si="548"/>
        <v/>
      </c>
      <c r="D3698" s="63" t="str">
        <f t="shared" si="549"/>
        <v/>
      </c>
      <c r="E3698" t="str">
        <f t="shared" si="550"/>
        <v/>
      </c>
      <c r="F3698" t="str">
        <f t="shared" si="551"/>
        <v/>
      </c>
      <c r="G3698">
        <f t="shared" si="552"/>
        <v>29.229035639413</v>
      </c>
    </row>
    <row r="3699" spans="2:7">
      <c r="B3699" s="74" t="s">
        <v>269</v>
      </c>
      <c r="C3699" s="75">
        <f>MAX(C3620:C3698)</f>
        <v>36.7893518518519</v>
      </c>
      <c r="D3699" s="75">
        <f t="shared" ref="D3699:G3699" si="553">MAX(D3620:D3698)</f>
        <v>27.5704225352113</v>
      </c>
      <c r="E3699" s="75">
        <f t="shared" si="553"/>
        <v>25.3416666666667</v>
      </c>
      <c r="F3699" s="75">
        <f t="shared" si="553"/>
        <v>30.8809523809524</v>
      </c>
      <c r="G3699" s="75">
        <f t="shared" si="553"/>
        <v>29.229035639413</v>
      </c>
    </row>
    <row r="3700" spans="2:7">
      <c r="B3700" s="76" t="s">
        <v>270</v>
      </c>
      <c r="C3700" s="77">
        <v>1</v>
      </c>
      <c r="D3700" s="78">
        <v>2</v>
      </c>
      <c r="E3700">
        <v>3</v>
      </c>
      <c r="F3700">
        <v>4</v>
      </c>
      <c r="G3700">
        <v>5</v>
      </c>
    </row>
    <row r="3701" spans="2:7">
      <c r="B3701" s="79" t="s">
        <v>271</v>
      </c>
      <c r="C3701" s="72">
        <f>HLOOKUP(MIN(C3699:G3699),C3699:G3700,2,FALSE)</f>
        <v>3</v>
      </c>
      <c r="D3701" s="80"/>
    </row>
    <row r="3703" ht="15.75" spans="2:7">
      <c r="B3703" s="43" t="s">
        <v>350</v>
      </c>
      <c r="C3703" s="44"/>
      <c r="D3703" s="45"/>
    </row>
    <row r="3704" spans="2:7">
      <c r="B3704" s="46"/>
      <c r="C3704" s="61" t="s">
        <v>264</v>
      </c>
      <c r="D3704" s="61" t="s">
        <v>265</v>
      </c>
      <c r="E3704" s="62" t="s">
        <v>286</v>
      </c>
      <c r="F3704" s="62" t="s">
        <v>287</v>
      </c>
      <c r="G3704" s="62" t="s">
        <v>288</v>
      </c>
    </row>
    <row r="3705" spans="2:7">
      <c r="B3705" s="46"/>
      <c r="C3705">
        <f t="shared" ref="C3705:C3768" si="554">IF(J8=1,S8,"")</f>
        <v>0.700231481481482</v>
      </c>
      <c r="D3705" s="63" t="str">
        <f t="shared" ref="D3705:D3768" si="555">IF(J8=2,S8,"")</f>
        <v/>
      </c>
      <c r="E3705" t="str">
        <f t="shared" ref="E3705:E3768" si="556">IF(J8=3,S8,"")</f>
        <v/>
      </c>
      <c r="F3705" t="str">
        <f t="shared" ref="F3705:F3768" si="557">IF(J8=4,S8,"")</f>
        <v/>
      </c>
      <c r="G3705" t="str">
        <f t="shared" ref="G3705:G3768" si="558">IF(J8=5,S8,"")</f>
        <v/>
      </c>
    </row>
    <row r="3706" spans="2:7">
      <c r="B3706" s="46"/>
      <c r="C3706" t="str">
        <f t="shared" si="554"/>
        <v/>
      </c>
      <c r="D3706" s="63">
        <f t="shared" si="555"/>
        <v>0.734154929577465</v>
      </c>
      <c r="E3706" t="str">
        <f t="shared" si="556"/>
        <v/>
      </c>
      <c r="F3706" t="str">
        <f t="shared" si="557"/>
        <v/>
      </c>
      <c r="G3706" t="str">
        <f t="shared" si="558"/>
        <v/>
      </c>
    </row>
    <row r="3707" spans="2:7">
      <c r="B3707" s="46"/>
      <c r="C3707" t="str">
        <f t="shared" si="554"/>
        <v/>
      </c>
      <c r="D3707" s="63" t="str">
        <f t="shared" si="555"/>
        <v/>
      </c>
      <c r="E3707">
        <f t="shared" si="556"/>
        <v>1.83823529411765</v>
      </c>
      <c r="F3707" t="str">
        <f t="shared" si="557"/>
        <v/>
      </c>
      <c r="G3707" t="str">
        <f t="shared" si="558"/>
        <v/>
      </c>
    </row>
    <row r="3708" spans="2:7">
      <c r="B3708" s="46"/>
      <c r="C3708" t="str">
        <f t="shared" si="554"/>
        <v/>
      </c>
      <c r="D3708" s="63" t="str">
        <f t="shared" si="555"/>
        <v/>
      </c>
      <c r="E3708" t="str">
        <f t="shared" si="556"/>
        <v/>
      </c>
      <c r="F3708">
        <f t="shared" si="557"/>
        <v>4.28571428571429</v>
      </c>
      <c r="G3708" t="str">
        <f t="shared" si="558"/>
        <v/>
      </c>
    </row>
    <row r="3709" spans="2:7">
      <c r="B3709" s="46"/>
      <c r="C3709" t="str">
        <f t="shared" si="554"/>
        <v/>
      </c>
      <c r="D3709" s="63" t="str">
        <f t="shared" si="555"/>
        <v/>
      </c>
      <c r="E3709" t="str">
        <f t="shared" si="556"/>
        <v/>
      </c>
      <c r="F3709" t="str">
        <f t="shared" si="557"/>
        <v/>
      </c>
      <c r="G3709">
        <f t="shared" si="558"/>
        <v>3.43396226415094</v>
      </c>
    </row>
    <row r="3710" spans="2:7">
      <c r="B3710" s="46"/>
      <c r="C3710" t="str">
        <f t="shared" si="554"/>
        <v/>
      </c>
      <c r="D3710" s="63" t="str">
        <f t="shared" si="555"/>
        <v/>
      </c>
      <c r="E3710">
        <f t="shared" si="556"/>
        <v>14.5833333333333</v>
      </c>
      <c r="F3710" t="str">
        <f t="shared" si="557"/>
        <v/>
      </c>
      <c r="G3710" t="str">
        <f t="shared" si="558"/>
        <v/>
      </c>
    </row>
    <row r="3711" spans="2:7">
      <c r="B3711" s="46"/>
      <c r="C3711" t="str">
        <f t="shared" si="554"/>
        <v/>
      </c>
      <c r="D3711" s="63" t="str">
        <f t="shared" si="555"/>
        <v/>
      </c>
      <c r="E3711" t="str">
        <f t="shared" si="556"/>
        <v/>
      </c>
      <c r="F3711">
        <f t="shared" si="557"/>
        <v>6.42857142857143</v>
      </c>
      <c r="G3711" t="str">
        <f t="shared" si="558"/>
        <v/>
      </c>
    </row>
    <row r="3712" spans="2:7">
      <c r="B3712" s="46"/>
      <c r="C3712" t="str">
        <f t="shared" si="554"/>
        <v/>
      </c>
      <c r="D3712" s="63" t="str">
        <f t="shared" si="555"/>
        <v/>
      </c>
      <c r="E3712" t="str">
        <f t="shared" si="556"/>
        <v/>
      </c>
      <c r="F3712" t="str">
        <f t="shared" si="557"/>
        <v/>
      </c>
      <c r="G3712">
        <f t="shared" si="558"/>
        <v>3.84591194968553</v>
      </c>
    </row>
    <row r="3713" spans="2:7">
      <c r="B3713" s="46"/>
      <c r="C3713">
        <f t="shared" si="554"/>
        <v>0.844907407407407</v>
      </c>
      <c r="D3713" s="63" t="str">
        <f t="shared" si="555"/>
        <v/>
      </c>
      <c r="E3713" t="str">
        <f t="shared" si="556"/>
        <v/>
      </c>
      <c r="F3713" t="str">
        <f t="shared" si="557"/>
        <v/>
      </c>
      <c r="G3713" t="str">
        <f t="shared" si="558"/>
        <v/>
      </c>
    </row>
    <row r="3714" spans="2:7">
      <c r="B3714" s="46"/>
      <c r="C3714">
        <f t="shared" si="554"/>
        <v>6.79803240740741</v>
      </c>
      <c r="D3714" s="63" t="str">
        <f t="shared" si="555"/>
        <v/>
      </c>
      <c r="E3714" t="str">
        <f t="shared" si="556"/>
        <v/>
      </c>
      <c r="F3714" t="str">
        <f t="shared" si="557"/>
        <v/>
      </c>
      <c r="G3714" t="str">
        <f t="shared" si="558"/>
        <v/>
      </c>
    </row>
    <row r="3715" spans="2:7">
      <c r="B3715" s="46"/>
      <c r="C3715">
        <f t="shared" si="554"/>
        <v>6.79803240740741</v>
      </c>
      <c r="D3715" s="63" t="str">
        <f t="shared" si="555"/>
        <v/>
      </c>
      <c r="E3715" t="str">
        <f t="shared" si="556"/>
        <v/>
      </c>
      <c r="F3715" t="str">
        <f t="shared" si="557"/>
        <v/>
      </c>
      <c r="G3715" t="str">
        <f t="shared" si="558"/>
        <v/>
      </c>
    </row>
    <row r="3716" spans="2:7">
      <c r="B3716" s="46"/>
      <c r="C3716">
        <f t="shared" si="554"/>
        <v>7.52719907407408</v>
      </c>
      <c r="D3716" s="63" t="str">
        <f t="shared" si="555"/>
        <v/>
      </c>
      <c r="E3716" t="str">
        <f t="shared" si="556"/>
        <v/>
      </c>
      <c r="F3716" t="str">
        <f t="shared" si="557"/>
        <v/>
      </c>
      <c r="G3716" t="str">
        <f t="shared" si="558"/>
        <v/>
      </c>
    </row>
    <row r="3717" spans="2:7">
      <c r="B3717" s="46"/>
      <c r="C3717" t="str">
        <f t="shared" si="554"/>
        <v/>
      </c>
      <c r="D3717" s="63">
        <f t="shared" si="555"/>
        <v>2.7881455399061</v>
      </c>
      <c r="E3717" t="str">
        <f t="shared" si="556"/>
        <v/>
      </c>
      <c r="F3717" t="str">
        <f t="shared" si="557"/>
        <v/>
      </c>
      <c r="G3717" t="str">
        <f t="shared" si="558"/>
        <v/>
      </c>
    </row>
    <row r="3718" spans="2:7">
      <c r="B3718" s="46"/>
      <c r="C3718" t="str">
        <f t="shared" si="554"/>
        <v/>
      </c>
      <c r="D3718" s="63">
        <f t="shared" si="555"/>
        <v>4.47535211267606</v>
      </c>
      <c r="E3718" t="str">
        <f t="shared" si="556"/>
        <v/>
      </c>
      <c r="F3718" t="str">
        <f t="shared" si="557"/>
        <v/>
      </c>
      <c r="G3718" t="str">
        <f t="shared" si="558"/>
        <v/>
      </c>
    </row>
    <row r="3719" spans="2:7">
      <c r="B3719" s="46"/>
      <c r="C3719" t="str">
        <f t="shared" si="554"/>
        <v/>
      </c>
      <c r="D3719" s="63">
        <f t="shared" si="555"/>
        <v>6.10680751173709</v>
      </c>
      <c r="E3719" t="str">
        <f t="shared" si="556"/>
        <v/>
      </c>
      <c r="F3719" t="str">
        <f t="shared" si="557"/>
        <v/>
      </c>
      <c r="G3719" t="str">
        <f t="shared" si="558"/>
        <v/>
      </c>
    </row>
    <row r="3720" spans="2:7">
      <c r="B3720" s="46"/>
      <c r="C3720" t="str">
        <f t="shared" si="554"/>
        <v/>
      </c>
      <c r="D3720" s="63">
        <f t="shared" si="555"/>
        <v>8.50821596244131</v>
      </c>
      <c r="E3720" t="str">
        <f t="shared" si="556"/>
        <v/>
      </c>
      <c r="F3720" t="str">
        <f t="shared" si="557"/>
        <v/>
      </c>
      <c r="G3720" t="str">
        <f t="shared" si="558"/>
        <v/>
      </c>
    </row>
    <row r="3721" spans="2:7">
      <c r="B3721" s="46"/>
      <c r="C3721" t="str">
        <f t="shared" si="554"/>
        <v/>
      </c>
      <c r="D3721" s="63">
        <f t="shared" si="555"/>
        <v>10.268779342723</v>
      </c>
      <c r="E3721" t="str">
        <f t="shared" si="556"/>
        <v/>
      </c>
      <c r="F3721" t="str">
        <f t="shared" si="557"/>
        <v/>
      </c>
      <c r="G3721" t="str">
        <f t="shared" si="558"/>
        <v/>
      </c>
    </row>
    <row r="3722" spans="2:7">
      <c r="B3722" s="46"/>
      <c r="C3722" t="str">
        <f t="shared" si="554"/>
        <v/>
      </c>
      <c r="D3722" s="63" t="str">
        <f t="shared" si="555"/>
        <v/>
      </c>
      <c r="E3722" t="str">
        <f t="shared" si="556"/>
        <v/>
      </c>
      <c r="F3722" t="str">
        <f t="shared" si="557"/>
        <v/>
      </c>
      <c r="G3722">
        <f t="shared" si="558"/>
        <v>7.67610062893082</v>
      </c>
    </row>
    <row r="3723" spans="2:7">
      <c r="B3723" s="46"/>
      <c r="C3723" t="str">
        <f t="shared" si="554"/>
        <v/>
      </c>
      <c r="D3723" s="63" t="str">
        <f t="shared" si="555"/>
        <v/>
      </c>
      <c r="E3723" t="str">
        <f t="shared" si="556"/>
        <v/>
      </c>
      <c r="F3723" t="str">
        <f t="shared" si="557"/>
        <v/>
      </c>
      <c r="G3723">
        <f t="shared" si="558"/>
        <v>10.3836477987421</v>
      </c>
    </row>
    <row r="3724" spans="2:7">
      <c r="B3724" s="46"/>
      <c r="C3724" t="str">
        <f t="shared" si="554"/>
        <v/>
      </c>
      <c r="D3724" s="63" t="str">
        <f t="shared" si="555"/>
        <v/>
      </c>
      <c r="E3724" t="str">
        <f t="shared" si="556"/>
        <v/>
      </c>
      <c r="F3724" t="str">
        <f t="shared" si="557"/>
        <v/>
      </c>
      <c r="G3724">
        <f t="shared" si="558"/>
        <v>13.2138364779874</v>
      </c>
    </row>
    <row r="3725" spans="2:7">
      <c r="B3725" s="46"/>
      <c r="C3725" t="str">
        <f t="shared" si="554"/>
        <v/>
      </c>
      <c r="D3725" s="63" t="str">
        <f t="shared" si="555"/>
        <v/>
      </c>
      <c r="E3725" t="str">
        <f t="shared" si="556"/>
        <v/>
      </c>
      <c r="F3725" t="str">
        <f t="shared" si="557"/>
        <v/>
      </c>
      <c r="G3725">
        <f t="shared" si="558"/>
        <v>14.7243186582809</v>
      </c>
    </row>
    <row r="3726" spans="2:7">
      <c r="B3726" s="46"/>
      <c r="C3726" t="str">
        <f t="shared" si="554"/>
        <v/>
      </c>
      <c r="D3726" s="63" t="str">
        <f t="shared" si="555"/>
        <v/>
      </c>
      <c r="E3726" t="str">
        <f t="shared" si="556"/>
        <v/>
      </c>
      <c r="F3726">
        <f t="shared" si="557"/>
        <v>9.17630385487529</v>
      </c>
      <c r="G3726" t="str">
        <f t="shared" si="558"/>
        <v/>
      </c>
    </row>
    <row r="3727" spans="2:7">
      <c r="B3727" s="46"/>
      <c r="C3727" t="str">
        <f t="shared" si="554"/>
        <v/>
      </c>
      <c r="D3727" s="63" t="str">
        <f t="shared" si="555"/>
        <v/>
      </c>
      <c r="E3727" t="str">
        <f t="shared" si="556"/>
        <v/>
      </c>
      <c r="F3727">
        <f t="shared" si="557"/>
        <v>12.328231292517</v>
      </c>
      <c r="G3727" t="str">
        <f t="shared" si="558"/>
        <v/>
      </c>
    </row>
    <row r="3728" spans="2:7">
      <c r="B3728" s="46"/>
      <c r="C3728" t="str">
        <f t="shared" si="554"/>
        <v/>
      </c>
      <c r="D3728" s="63" t="str">
        <f t="shared" si="555"/>
        <v/>
      </c>
      <c r="E3728" t="str">
        <f t="shared" si="556"/>
        <v/>
      </c>
      <c r="F3728">
        <f t="shared" si="557"/>
        <v>15.0017006802721</v>
      </c>
      <c r="G3728" t="str">
        <f t="shared" si="558"/>
        <v/>
      </c>
    </row>
    <row r="3729" spans="2:7">
      <c r="B3729" s="46"/>
      <c r="C3729">
        <f t="shared" si="554"/>
        <v>10.328125</v>
      </c>
      <c r="D3729" s="63" t="str">
        <f t="shared" si="555"/>
        <v/>
      </c>
      <c r="E3729" t="str">
        <f t="shared" si="556"/>
        <v/>
      </c>
      <c r="F3729" t="str">
        <f t="shared" si="557"/>
        <v/>
      </c>
      <c r="G3729" t="str">
        <f t="shared" si="558"/>
        <v/>
      </c>
    </row>
    <row r="3730" spans="2:7">
      <c r="B3730" s="46"/>
      <c r="C3730">
        <f t="shared" si="554"/>
        <v>14.5908564814815</v>
      </c>
      <c r="D3730" s="63" t="str">
        <f t="shared" si="555"/>
        <v/>
      </c>
      <c r="E3730" t="str">
        <f t="shared" si="556"/>
        <v/>
      </c>
      <c r="F3730" t="str">
        <f t="shared" si="557"/>
        <v/>
      </c>
      <c r="G3730" t="str">
        <f t="shared" si="558"/>
        <v/>
      </c>
    </row>
    <row r="3731" spans="2:7">
      <c r="B3731" s="46"/>
      <c r="C3731">
        <f t="shared" si="554"/>
        <v>14.9409722222222</v>
      </c>
      <c r="D3731" s="63" t="str">
        <f t="shared" si="555"/>
        <v/>
      </c>
      <c r="E3731" t="str">
        <f t="shared" si="556"/>
        <v/>
      </c>
      <c r="F3731" t="str">
        <f t="shared" si="557"/>
        <v/>
      </c>
      <c r="G3731" t="str">
        <f t="shared" si="558"/>
        <v/>
      </c>
    </row>
    <row r="3732" spans="2:7">
      <c r="B3732" s="46"/>
      <c r="C3732">
        <f t="shared" si="554"/>
        <v>19.2465277777778</v>
      </c>
      <c r="D3732" s="63" t="str">
        <f t="shared" si="555"/>
        <v/>
      </c>
      <c r="E3732" t="str">
        <f t="shared" si="556"/>
        <v/>
      </c>
      <c r="F3732" t="str">
        <f t="shared" si="557"/>
        <v/>
      </c>
      <c r="G3732" t="str">
        <f t="shared" si="558"/>
        <v/>
      </c>
    </row>
    <row r="3733" spans="2:7">
      <c r="B3733" s="46"/>
      <c r="C3733" t="str">
        <f t="shared" si="554"/>
        <v/>
      </c>
      <c r="D3733" s="63">
        <f t="shared" si="555"/>
        <v>15.0340375586854</v>
      </c>
      <c r="E3733" t="str">
        <f t="shared" si="556"/>
        <v/>
      </c>
      <c r="F3733" t="str">
        <f t="shared" si="557"/>
        <v/>
      </c>
      <c r="G3733" t="str">
        <f t="shared" si="558"/>
        <v/>
      </c>
    </row>
    <row r="3734" spans="2:7">
      <c r="B3734" s="46"/>
      <c r="C3734" t="str">
        <f t="shared" si="554"/>
        <v/>
      </c>
      <c r="D3734" s="63">
        <f t="shared" si="555"/>
        <v>15.0340375586854</v>
      </c>
      <c r="E3734" t="str">
        <f t="shared" si="556"/>
        <v/>
      </c>
      <c r="F3734" t="str">
        <f t="shared" si="557"/>
        <v/>
      </c>
      <c r="G3734" t="str">
        <f t="shared" si="558"/>
        <v/>
      </c>
    </row>
    <row r="3735" spans="2:7">
      <c r="B3735" s="46"/>
      <c r="C3735" t="str">
        <f t="shared" si="554"/>
        <v/>
      </c>
      <c r="D3735" s="63">
        <f t="shared" si="555"/>
        <v>16.1343896713615</v>
      </c>
      <c r="E3735" t="str">
        <f t="shared" si="556"/>
        <v/>
      </c>
      <c r="F3735" t="str">
        <f t="shared" si="557"/>
        <v/>
      </c>
      <c r="G3735" t="str">
        <f t="shared" si="558"/>
        <v/>
      </c>
    </row>
    <row r="3736" spans="2:7">
      <c r="B3736" s="46"/>
      <c r="C3736" t="str">
        <f t="shared" si="554"/>
        <v/>
      </c>
      <c r="D3736" s="63">
        <f t="shared" si="555"/>
        <v>16.8620892018779</v>
      </c>
      <c r="E3736" t="str">
        <f t="shared" si="556"/>
        <v/>
      </c>
      <c r="F3736" t="str">
        <f t="shared" si="557"/>
        <v/>
      </c>
      <c r="G3736" t="str">
        <f t="shared" si="558"/>
        <v/>
      </c>
    </row>
    <row r="3737" spans="2:7">
      <c r="B3737" s="46"/>
      <c r="C3737" t="str">
        <f t="shared" si="554"/>
        <v/>
      </c>
      <c r="D3737" s="63" t="str">
        <f t="shared" si="555"/>
        <v/>
      </c>
      <c r="E3737">
        <f t="shared" si="556"/>
        <v>16.1245098039216</v>
      </c>
      <c r="F3737" t="str">
        <f t="shared" si="557"/>
        <v/>
      </c>
      <c r="G3737" t="str">
        <f t="shared" si="558"/>
        <v/>
      </c>
    </row>
    <row r="3738" spans="2:7">
      <c r="B3738" s="46"/>
      <c r="C3738" t="str">
        <f t="shared" si="554"/>
        <v/>
      </c>
      <c r="D3738" s="63" t="str">
        <f t="shared" si="555"/>
        <v/>
      </c>
      <c r="E3738">
        <f t="shared" si="556"/>
        <v>17.9225490196078</v>
      </c>
      <c r="F3738" t="str">
        <f t="shared" si="557"/>
        <v/>
      </c>
      <c r="G3738" t="str">
        <f t="shared" si="558"/>
        <v/>
      </c>
    </row>
    <row r="3739" spans="2:7">
      <c r="B3739" s="46"/>
      <c r="C3739" t="str">
        <f t="shared" si="554"/>
        <v/>
      </c>
      <c r="D3739" s="63" t="str">
        <f t="shared" si="555"/>
        <v/>
      </c>
      <c r="E3739">
        <f t="shared" si="556"/>
        <v>18.7166666666667</v>
      </c>
      <c r="F3739" t="str">
        <f t="shared" si="557"/>
        <v/>
      </c>
      <c r="G3739" t="str">
        <f t="shared" si="558"/>
        <v/>
      </c>
    </row>
    <row r="3740" spans="2:7">
      <c r="B3740" s="46"/>
      <c r="C3740" t="str">
        <f t="shared" si="554"/>
        <v/>
      </c>
      <c r="D3740" s="63" t="str">
        <f t="shared" si="555"/>
        <v/>
      </c>
      <c r="E3740">
        <f t="shared" si="556"/>
        <v>18.9539215686275</v>
      </c>
      <c r="F3740" t="str">
        <f t="shared" si="557"/>
        <v/>
      </c>
      <c r="G3740" t="str">
        <f t="shared" si="558"/>
        <v/>
      </c>
    </row>
    <row r="3741" spans="2:7">
      <c r="B3741" s="46"/>
      <c r="C3741" t="str">
        <f t="shared" si="554"/>
        <v/>
      </c>
      <c r="D3741" s="63" t="str">
        <f t="shared" si="555"/>
        <v/>
      </c>
      <c r="E3741" t="str">
        <f t="shared" si="556"/>
        <v/>
      </c>
      <c r="F3741" t="str">
        <f t="shared" si="557"/>
        <v/>
      </c>
      <c r="G3741">
        <f t="shared" si="558"/>
        <v>15.4449685534591</v>
      </c>
    </row>
    <row r="3742" spans="2:7">
      <c r="B3742" s="46"/>
      <c r="C3742" t="str">
        <f t="shared" si="554"/>
        <v/>
      </c>
      <c r="D3742" s="63" t="str">
        <f t="shared" si="555"/>
        <v/>
      </c>
      <c r="E3742" t="str">
        <f t="shared" si="556"/>
        <v/>
      </c>
      <c r="F3742" t="str">
        <f t="shared" si="557"/>
        <v/>
      </c>
      <c r="G3742">
        <f t="shared" si="558"/>
        <v>16.4669811320755</v>
      </c>
    </row>
    <row r="3743" spans="2:7">
      <c r="B3743" s="46"/>
      <c r="C3743" t="str">
        <f t="shared" si="554"/>
        <v/>
      </c>
      <c r="D3743" s="63" t="str">
        <f t="shared" si="555"/>
        <v/>
      </c>
      <c r="E3743" t="str">
        <f t="shared" si="556"/>
        <v/>
      </c>
      <c r="F3743" t="str">
        <f t="shared" si="557"/>
        <v/>
      </c>
      <c r="G3743">
        <f t="shared" si="558"/>
        <v>17.7877358490566</v>
      </c>
    </row>
    <row r="3744" spans="2:7">
      <c r="B3744" s="46"/>
      <c r="C3744" t="str">
        <f t="shared" si="554"/>
        <v/>
      </c>
      <c r="D3744" s="63" t="str">
        <f t="shared" si="555"/>
        <v/>
      </c>
      <c r="E3744" t="str">
        <f t="shared" si="556"/>
        <v/>
      </c>
      <c r="F3744" t="str">
        <f t="shared" si="557"/>
        <v/>
      </c>
      <c r="G3744">
        <f t="shared" si="558"/>
        <v>18.377358490566</v>
      </c>
    </row>
    <row r="3745" spans="2:7">
      <c r="B3745" s="46"/>
      <c r="C3745" t="str">
        <f t="shared" si="554"/>
        <v/>
      </c>
      <c r="D3745" s="63" t="str">
        <f t="shared" si="555"/>
        <v/>
      </c>
      <c r="E3745" t="str">
        <f t="shared" si="556"/>
        <v/>
      </c>
      <c r="F3745">
        <f t="shared" si="557"/>
        <v>15.4234693877551</v>
      </c>
      <c r="G3745" t="str">
        <f t="shared" si="558"/>
        <v/>
      </c>
    </row>
    <row r="3746" spans="2:7">
      <c r="B3746" s="46"/>
      <c r="C3746" t="str">
        <f t="shared" si="554"/>
        <v/>
      </c>
      <c r="D3746" s="63" t="str">
        <f t="shared" si="555"/>
        <v/>
      </c>
      <c r="E3746" t="str">
        <f t="shared" si="556"/>
        <v/>
      </c>
      <c r="F3746">
        <f t="shared" si="557"/>
        <v>16.7698412698413</v>
      </c>
      <c r="G3746" t="str">
        <f t="shared" si="558"/>
        <v/>
      </c>
    </row>
    <row r="3747" spans="2:7">
      <c r="B3747" s="46"/>
      <c r="C3747" t="str">
        <f t="shared" si="554"/>
        <v/>
      </c>
      <c r="D3747" s="63" t="str">
        <f t="shared" si="555"/>
        <v/>
      </c>
      <c r="E3747" t="str">
        <f t="shared" si="556"/>
        <v/>
      </c>
      <c r="F3747">
        <f t="shared" si="557"/>
        <v>18.109410430839</v>
      </c>
      <c r="G3747" t="str">
        <f t="shared" si="558"/>
        <v/>
      </c>
    </row>
    <row r="3748" spans="2:7">
      <c r="B3748" s="46"/>
      <c r="C3748" t="str">
        <f t="shared" si="554"/>
        <v/>
      </c>
      <c r="D3748" s="63" t="str">
        <f t="shared" si="555"/>
        <v/>
      </c>
      <c r="E3748" t="str">
        <f t="shared" si="556"/>
        <v/>
      </c>
      <c r="F3748">
        <f t="shared" si="557"/>
        <v>20.1581632653061</v>
      </c>
      <c r="G3748" t="str">
        <f t="shared" si="558"/>
        <v/>
      </c>
    </row>
    <row r="3749" spans="2:7">
      <c r="B3749" s="46"/>
      <c r="C3749" t="str">
        <f t="shared" si="554"/>
        <v/>
      </c>
      <c r="D3749" s="63" t="str">
        <f t="shared" si="555"/>
        <v/>
      </c>
      <c r="E3749" t="str">
        <f t="shared" si="556"/>
        <v/>
      </c>
      <c r="F3749">
        <f t="shared" si="557"/>
        <v>22.1581632653061</v>
      </c>
      <c r="G3749" t="str">
        <f t="shared" si="558"/>
        <v/>
      </c>
    </row>
    <row r="3750" spans="2:7">
      <c r="B3750" s="46"/>
      <c r="C3750" t="str">
        <f t="shared" si="554"/>
        <v/>
      </c>
      <c r="D3750" s="63" t="str">
        <f t="shared" si="555"/>
        <v/>
      </c>
      <c r="E3750" t="str">
        <f t="shared" si="556"/>
        <v/>
      </c>
      <c r="F3750">
        <f t="shared" si="557"/>
        <v>22.8781179138322</v>
      </c>
      <c r="G3750" t="str">
        <f t="shared" si="558"/>
        <v/>
      </c>
    </row>
    <row r="3751" spans="2:7">
      <c r="B3751" s="46"/>
      <c r="C3751" t="str">
        <f t="shared" si="554"/>
        <v/>
      </c>
      <c r="D3751" s="63">
        <f t="shared" si="555"/>
        <v>17.3022300469484</v>
      </c>
      <c r="E3751" t="str">
        <f t="shared" si="556"/>
        <v/>
      </c>
      <c r="F3751" t="str">
        <f t="shared" si="557"/>
        <v/>
      </c>
      <c r="G3751" t="str">
        <f t="shared" si="558"/>
        <v/>
      </c>
    </row>
    <row r="3752" spans="2:7">
      <c r="B3752" s="46"/>
      <c r="C3752" t="str">
        <f t="shared" si="554"/>
        <v/>
      </c>
      <c r="D3752" s="63">
        <f t="shared" si="555"/>
        <v>22.837441314554</v>
      </c>
      <c r="E3752" t="str">
        <f t="shared" si="556"/>
        <v/>
      </c>
      <c r="F3752" t="str">
        <f t="shared" si="557"/>
        <v/>
      </c>
      <c r="G3752" t="str">
        <f t="shared" si="558"/>
        <v/>
      </c>
    </row>
    <row r="3753" spans="2:7">
      <c r="B3753" s="46"/>
      <c r="C3753" t="str">
        <f t="shared" si="554"/>
        <v/>
      </c>
      <c r="D3753" s="63">
        <f t="shared" si="555"/>
        <v>23.7089201877934</v>
      </c>
      <c r="E3753" t="str">
        <f t="shared" si="556"/>
        <v/>
      </c>
      <c r="F3753" t="str">
        <f t="shared" si="557"/>
        <v/>
      </c>
      <c r="G3753" t="str">
        <f t="shared" si="558"/>
        <v/>
      </c>
    </row>
    <row r="3754" spans="2:7">
      <c r="B3754" s="46"/>
      <c r="C3754" t="str">
        <f t="shared" si="554"/>
        <v/>
      </c>
      <c r="D3754" s="63">
        <f t="shared" si="555"/>
        <v>24.3427230046948</v>
      </c>
      <c r="E3754" t="str">
        <f t="shared" si="556"/>
        <v/>
      </c>
      <c r="F3754" t="str">
        <f t="shared" si="557"/>
        <v/>
      </c>
      <c r="G3754" t="str">
        <f t="shared" si="558"/>
        <v/>
      </c>
    </row>
    <row r="3755" spans="2:7">
      <c r="B3755" s="46"/>
      <c r="C3755" t="str">
        <f t="shared" si="554"/>
        <v/>
      </c>
      <c r="D3755" s="63">
        <f t="shared" si="555"/>
        <v>27.5704225352113</v>
      </c>
      <c r="E3755" t="str">
        <f t="shared" si="556"/>
        <v/>
      </c>
      <c r="F3755" t="str">
        <f t="shared" si="557"/>
        <v/>
      </c>
      <c r="G3755" t="str">
        <f t="shared" si="558"/>
        <v/>
      </c>
    </row>
    <row r="3756" spans="2:7">
      <c r="B3756" s="46"/>
      <c r="C3756" t="str">
        <f t="shared" si="554"/>
        <v/>
      </c>
      <c r="D3756" s="63" t="str">
        <f t="shared" si="555"/>
        <v/>
      </c>
      <c r="E3756" t="str">
        <f t="shared" si="556"/>
        <v/>
      </c>
      <c r="F3756" t="str">
        <f t="shared" si="557"/>
        <v/>
      </c>
      <c r="G3756">
        <f t="shared" si="558"/>
        <v>19.1949685534591</v>
      </c>
    </row>
    <row r="3757" spans="2:7">
      <c r="B3757" s="46"/>
      <c r="C3757" t="str">
        <f t="shared" si="554"/>
        <v/>
      </c>
      <c r="D3757" s="63" t="str">
        <f t="shared" si="555"/>
        <v/>
      </c>
      <c r="E3757" t="str">
        <f t="shared" si="556"/>
        <v/>
      </c>
      <c r="F3757" t="str">
        <f t="shared" si="557"/>
        <v/>
      </c>
      <c r="G3757">
        <f t="shared" si="558"/>
        <v>21.9606918238994</v>
      </c>
    </row>
    <row r="3758" spans="2:7">
      <c r="B3758" s="46"/>
      <c r="C3758" t="str">
        <f t="shared" si="554"/>
        <v/>
      </c>
      <c r="D3758" s="63" t="str">
        <f t="shared" si="555"/>
        <v/>
      </c>
      <c r="E3758" t="str">
        <f t="shared" si="556"/>
        <v/>
      </c>
      <c r="F3758" t="str">
        <f t="shared" si="557"/>
        <v/>
      </c>
      <c r="G3758">
        <f t="shared" si="558"/>
        <v>21.9606918238994</v>
      </c>
    </row>
    <row r="3759" spans="2:7">
      <c r="B3759" s="46"/>
      <c r="C3759" t="str">
        <f t="shared" si="554"/>
        <v/>
      </c>
      <c r="D3759" s="63" t="str">
        <f t="shared" si="555"/>
        <v/>
      </c>
      <c r="E3759" t="str">
        <f t="shared" si="556"/>
        <v/>
      </c>
      <c r="F3759" t="str">
        <f t="shared" si="557"/>
        <v/>
      </c>
      <c r="G3759">
        <f t="shared" si="558"/>
        <v>25.2222222222222</v>
      </c>
    </row>
    <row r="3760" spans="2:7">
      <c r="B3760" s="46"/>
      <c r="C3760" t="str">
        <f t="shared" si="554"/>
        <v/>
      </c>
      <c r="D3760" s="63" t="str">
        <f t="shared" si="555"/>
        <v/>
      </c>
      <c r="E3760">
        <f t="shared" si="556"/>
        <v>22.268137254902</v>
      </c>
      <c r="F3760" t="str">
        <f t="shared" si="557"/>
        <v/>
      </c>
      <c r="G3760" t="str">
        <f t="shared" si="558"/>
        <v/>
      </c>
    </row>
    <row r="3761" spans="2:7">
      <c r="B3761" s="46"/>
      <c r="C3761" t="str">
        <f t="shared" si="554"/>
        <v/>
      </c>
      <c r="D3761" s="63" t="str">
        <f t="shared" si="555"/>
        <v/>
      </c>
      <c r="E3761">
        <f t="shared" si="556"/>
        <v>22.268137254902</v>
      </c>
      <c r="F3761" t="str">
        <f t="shared" si="557"/>
        <v/>
      </c>
      <c r="G3761" t="str">
        <f t="shared" si="558"/>
        <v/>
      </c>
    </row>
    <row r="3762" spans="2:7">
      <c r="B3762" s="46"/>
      <c r="C3762" t="str">
        <f t="shared" si="554"/>
        <v/>
      </c>
      <c r="D3762" s="63" t="str">
        <f t="shared" si="555"/>
        <v/>
      </c>
      <c r="E3762">
        <f t="shared" si="556"/>
        <v>24.6995098039216</v>
      </c>
      <c r="F3762" t="str">
        <f t="shared" si="557"/>
        <v/>
      </c>
      <c r="G3762" t="str">
        <f t="shared" si="558"/>
        <v/>
      </c>
    </row>
    <row r="3763" spans="2:7">
      <c r="B3763" s="46"/>
      <c r="C3763" t="str">
        <f t="shared" si="554"/>
        <v/>
      </c>
      <c r="D3763" s="63" t="str">
        <f t="shared" si="555"/>
        <v/>
      </c>
      <c r="E3763">
        <f t="shared" si="556"/>
        <v>25.3416666666667</v>
      </c>
      <c r="F3763" t="str">
        <f t="shared" si="557"/>
        <v/>
      </c>
      <c r="G3763" t="str">
        <f t="shared" si="558"/>
        <v/>
      </c>
    </row>
    <row r="3764" spans="2:7">
      <c r="B3764" s="46"/>
      <c r="C3764">
        <f t="shared" si="554"/>
        <v>19.5358796296296</v>
      </c>
      <c r="D3764" s="63" t="str">
        <f t="shared" si="555"/>
        <v/>
      </c>
      <c r="E3764" t="str">
        <f t="shared" si="556"/>
        <v/>
      </c>
      <c r="F3764" t="str">
        <f t="shared" si="557"/>
        <v/>
      </c>
      <c r="G3764" t="str">
        <f t="shared" si="558"/>
        <v/>
      </c>
    </row>
    <row r="3765" spans="2:7">
      <c r="B3765" s="46"/>
      <c r="C3765">
        <f t="shared" si="554"/>
        <v>20.1608796296296</v>
      </c>
      <c r="D3765" s="63" t="str">
        <f t="shared" si="555"/>
        <v/>
      </c>
      <c r="E3765" t="str">
        <f t="shared" si="556"/>
        <v/>
      </c>
      <c r="F3765" t="str">
        <f t="shared" si="557"/>
        <v/>
      </c>
      <c r="G3765" t="str">
        <f t="shared" si="558"/>
        <v/>
      </c>
    </row>
    <row r="3766" spans="2:7">
      <c r="B3766" s="46"/>
      <c r="C3766">
        <f t="shared" si="554"/>
        <v>21.7233796296296</v>
      </c>
      <c r="D3766" s="63" t="str">
        <f t="shared" si="555"/>
        <v/>
      </c>
      <c r="E3766" t="str">
        <f t="shared" si="556"/>
        <v/>
      </c>
      <c r="F3766" t="str">
        <f t="shared" si="557"/>
        <v/>
      </c>
      <c r="G3766" t="str">
        <f t="shared" si="558"/>
        <v/>
      </c>
    </row>
    <row r="3767" spans="2:7">
      <c r="B3767" s="46"/>
      <c r="C3767">
        <f t="shared" si="554"/>
        <v>22.7054398148148</v>
      </c>
      <c r="D3767" s="63" t="str">
        <f t="shared" si="555"/>
        <v/>
      </c>
      <c r="E3767" t="str">
        <f t="shared" si="556"/>
        <v/>
      </c>
      <c r="F3767" t="str">
        <f t="shared" si="557"/>
        <v/>
      </c>
      <c r="G3767" t="str">
        <f t="shared" si="558"/>
        <v/>
      </c>
    </row>
    <row r="3768" spans="2:7">
      <c r="B3768" s="46"/>
      <c r="C3768">
        <f t="shared" si="554"/>
        <v>22.7054398148148</v>
      </c>
      <c r="D3768" s="63" t="str">
        <f t="shared" si="555"/>
        <v/>
      </c>
      <c r="E3768" t="str">
        <f t="shared" si="556"/>
        <v/>
      </c>
      <c r="F3768" t="str">
        <f t="shared" si="557"/>
        <v/>
      </c>
      <c r="G3768" t="str">
        <f t="shared" si="558"/>
        <v/>
      </c>
    </row>
    <row r="3769" spans="2:7">
      <c r="B3769" s="46"/>
      <c r="C3769">
        <f t="shared" ref="C3769:C3784" si="559">IF(J72=1,S72,"")</f>
        <v>22.8512731481482</v>
      </c>
      <c r="D3769" s="63" t="str">
        <f t="shared" ref="D3769:D3784" si="560">IF(J72=2,S72,"")</f>
        <v/>
      </c>
      <c r="E3769" t="str">
        <f t="shared" ref="E3769:E3784" si="561">IF(J72=3,S72,"")</f>
        <v/>
      </c>
      <c r="F3769" t="str">
        <f t="shared" ref="F3769:F3784" si="562">IF(J72=4,S72,"")</f>
        <v/>
      </c>
      <c r="G3769" t="str">
        <f t="shared" ref="G3769:G3784" si="563">IF(J72=5,S72,"")</f>
        <v/>
      </c>
    </row>
    <row r="3770" spans="2:7">
      <c r="B3770" s="46"/>
      <c r="C3770">
        <f t="shared" si="559"/>
        <v>34.4068287037037</v>
      </c>
      <c r="D3770" s="63" t="str">
        <f t="shared" si="560"/>
        <v/>
      </c>
      <c r="E3770" t="str">
        <f t="shared" si="561"/>
        <v/>
      </c>
      <c r="F3770" t="str">
        <f t="shared" si="562"/>
        <v/>
      </c>
      <c r="G3770" t="str">
        <f t="shared" si="563"/>
        <v/>
      </c>
    </row>
    <row r="3771" spans="2:7">
      <c r="B3771" s="46"/>
      <c r="C3771">
        <f t="shared" si="559"/>
        <v>34.4068287037037</v>
      </c>
      <c r="D3771" s="63" t="str">
        <f t="shared" si="560"/>
        <v/>
      </c>
      <c r="E3771" t="str">
        <f t="shared" si="561"/>
        <v/>
      </c>
      <c r="F3771" t="str">
        <f t="shared" si="562"/>
        <v/>
      </c>
      <c r="G3771" t="str">
        <f t="shared" si="563"/>
        <v/>
      </c>
    </row>
    <row r="3772" spans="2:7">
      <c r="B3772" s="46"/>
      <c r="C3772">
        <f t="shared" si="559"/>
        <v>35.5827546296296</v>
      </c>
      <c r="D3772" s="63" t="str">
        <f t="shared" si="560"/>
        <v/>
      </c>
      <c r="E3772" t="str">
        <f t="shared" si="561"/>
        <v/>
      </c>
      <c r="F3772" t="str">
        <f t="shared" si="562"/>
        <v/>
      </c>
      <c r="G3772" t="str">
        <f t="shared" si="563"/>
        <v/>
      </c>
    </row>
    <row r="3773" spans="2:7">
      <c r="B3773" s="46"/>
      <c r="C3773">
        <f t="shared" si="559"/>
        <v>36.7893518518519</v>
      </c>
      <c r="D3773" s="63" t="str">
        <f t="shared" si="560"/>
        <v/>
      </c>
      <c r="E3773" t="str">
        <f t="shared" si="561"/>
        <v/>
      </c>
      <c r="F3773" t="str">
        <f t="shared" si="562"/>
        <v/>
      </c>
      <c r="G3773" t="str">
        <f t="shared" si="563"/>
        <v/>
      </c>
    </row>
    <row r="3774" spans="2:7">
      <c r="B3774" s="46"/>
      <c r="C3774" t="str">
        <f t="shared" si="559"/>
        <v/>
      </c>
      <c r="D3774" s="63" t="str">
        <f t="shared" si="560"/>
        <v/>
      </c>
      <c r="E3774" t="str">
        <f t="shared" si="561"/>
        <v/>
      </c>
      <c r="F3774">
        <f t="shared" si="562"/>
        <v>23.4404761904762</v>
      </c>
      <c r="G3774" t="str">
        <f t="shared" si="563"/>
        <v/>
      </c>
    </row>
    <row r="3775" spans="2:7">
      <c r="B3775" s="46"/>
      <c r="C3775" t="str">
        <f t="shared" si="559"/>
        <v/>
      </c>
      <c r="D3775" s="63" t="str">
        <f t="shared" si="560"/>
        <v/>
      </c>
      <c r="E3775" t="str">
        <f t="shared" si="561"/>
        <v/>
      </c>
      <c r="F3775">
        <f t="shared" si="562"/>
        <v>24.3616780045352</v>
      </c>
      <c r="G3775" t="str">
        <f t="shared" si="563"/>
        <v/>
      </c>
    </row>
    <row r="3776" spans="2:7">
      <c r="B3776" s="46"/>
      <c r="C3776" t="str">
        <f t="shared" si="559"/>
        <v/>
      </c>
      <c r="D3776" s="63" t="str">
        <f t="shared" si="560"/>
        <v/>
      </c>
      <c r="E3776" t="str">
        <f t="shared" si="561"/>
        <v/>
      </c>
      <c r="F3776">
        <f t="shared" si="562"/>
        <v>25.8378684807256</v>
      </c>
      <c r="G3776" t="str">
        <f t="shared" si="563"/>
        <v/>
      </c>
    </row>
    <row r="3777" spans="2:7">
      <c r="B3777" s="46"/>
      <c r="C3777" t="str">
        <f t="shared" si="559"/>
        <v/>
      </c>
      <c r="D3777" s="63" t="str">
        <f t="shared" si="560"/>
        <v/>
      </c>
      <c r="E3777" t="str">
        <f t="shared" si="561"/>
        <v/>
      </c>
      <c r="F3777">
        <f t="shared" si="562"/>
        <v>29.4625850340136</v>
      </c>
      <c r="G3777" t="str">
        <f t="shared" si="563"/>
        <v/>
      </c>
    </row>
    <row r="3778" spans="2:7">
      <c r="B3778" s="46"/>
      <c r="C3778" t="str">
        <f t="shared" si="559"/>
        <v/>
      </c>
      <c r="D3778" s="63" t="str">
        <f t="shared" si="560"/>
        <v/>
      </c>
      <c r="E3778" t="str">
        <f t="shared" si="561"/>
        <v/>
      </c>
      <c r="F3778">
        <f t="shared" si="562"/>
        <v>30.092970521542</v>
      </c>
      <c r="G3778" t="str">
        <f t="shared" si="563"/>
        <v/>
      </c>
    </row>
    <row r="3779" spans="2:7">
      <c r="B3779" s="46"/>
      <c r="C3779" t="str">
        <f t="shared" si="559"/>
        <v/>
      </c>
      <c r="D3779" s="63" t="str">
        <f t="shared" si="560"/>
        <v/>
      </c>
      <c r="E3779" t="str">
        <f t="shared" si="561"/>
        <v/>
      </c>
      <c r="F3779">
        <f t="shared" si="562"/>
        <v>30.8809523809524</v>
      </c>
      <c r="G3779" t="str">
        <f t="shared" si="563"/>
        <v/>
      </c>
    </row>
    <row r="3780" spans="2:7">
      <c r="B3780" s="46"/>
      <c r="C3780" t="str">
        <f t="shared" si="559"/>
        <v/>
      </c>
      <c r="D3780" s="63" t="str">
        <f t="shared" si="560"/>
        <v/>
      </c>
      <c r="E3780" t="str">
        <f t="shared" si="561"/>
        <v/>
      </c>
      <c r="F3780" t="str">
        <f t="shared" si="562"/>
        <v/>
      </c>
      <c r="G3780">
        <f t="shared" si="563"/>
        <v>26.0235849056604</v>
      </c>
    </row>
    <row r="3781" spans="2:7">
      <c r="B3781" s="46"/>
      <c r="C3781" t="str">
        <f t="shared" si="559"/>
        <v/>
      </c>
      <c r="D3781" s="63" t="str">
        <f t="shared" si="560"/>
        <v/>
      </c>
      <c r="E3781" t="str">
        <f t="shared" si="561"/>
        <v/>
      </c>
      <c r="F3781" t="str">
        <f t="shared" si="562"/>
        <v/>
      </c>
      <c r="G3781">
        <f t="shared" si="563"/>
        <v>26.8977987421384</v>
      </c>
    </row>
    <row r="3782" spans="2:7">
      <c r="B3782" s="46"/>
      <c r="C3782" t="str">
        <f t="shared" si="559"/>
        <v/>
      </c>
      <c r="D3782" s="63" t="str">
        <f t="shared" si="560"/>
        <v/>
      </c>
      <c r="E3782" t="str">
        <f t="shared" si="561"/>
        <v/>
      </c>
      <c r="F3782" t="str">
        <f t="shared" si="562"/>
        <v/>
      </c>
      <c r="G3782">
        <f t="shared" si="563"/>
        <v>27.8448637316562</v>
      </c>
    </row>
    <row r="3783" spans="2:7">
      <c r="B3783" s="46"/>
      <c r="C3783" t="str">
        <f t="shared" si="559"/>
        <v/>
      </c>
      <c r="D3783" s="63" t="str">
        <f t="shared" si="560"/>
        <v/>
      </c>
      <c r="E3783" t="str">
        <f t="shared" si="561"/>
        <v/>
      </c>
      <c r="F3783" t="str">
        <f t="shared" si="562"/>
        <v/>
      </c>
      <c r="G3783">
        <f t="shared" si="563"/>
        <v>29.229035639413</v>
      </c>
    </row>
    <row r="3784" ht="15.75" spans="2:7">
      <c r="B3784" s="46"/>
      <c r="C3784" t="str">
        <f t="shared" si="559"/>
        <v/>
      </c>
      <c r="D3784" s="63" t="str">
        <f t="shared" si="560"/>
        <v/>
      </c>
      <c r="E3784">
        <f t="shared" si="561"/>
        <v>25.5460784313725</v>
      </c>
      <c r="F3784" t="str">
        <f t="shared" si="562"/>
        <v/>
      </c>
      <c r="G3784" t="str">
        <f t="shared" si="563"/>
        <v/>
      </c>
    </row>
    <row r="3785" spans="2:7">
      <c r="B3785" s="74" t="s">
        <v>269</v>
      </c>
      <c r="C3785" s="75">
        <f>MAX(C3705:C3784)</f>
        <v>36.7893518518519</v>
      </c>
      <c r="D3785" s="75">
        <f>MAX(D3705:D3784)</f>
        <v>27.5704225352113</v>
      </c>
      <c r="E3785" s="75">
        <f>MAX(E3705:E3784)</f>
        <v>25.5460784313725</v>
      </c>
      <c r="F3785" s="75">
        <f t="shared" ref="F3785:G3785" si="564">MAX(F3705:F3784)</f>
        <v>30.8809523809524</v>
      </c>
      <c r="G3785" s="75">
        <f t="shared" si="564"/>
        <v>29.229035639413</v>
      </c>
    </row>
    <row r="3786" spans="2:7">
      <c r="B3786" s="76" t="s">
        <v>270</v>
      </c>
      <c r="C3786" s="77">
        <v>1</v>
      </c>
      <c r="D3786" s="78">
        <v>2</v>
      </c>
      <c r="E3786">
        <v>3</v>
      </c>
      <c r="F3786">
        <v>4</v>
      </c>
      <c r="G3786">
        <v>5</v>
      </c>
    </row>
    <row r="3787" spans="2:7">
      <c r="B3787" s="79" t="s">
        <v>271</v>
      </c>
      <c r="C3787" s="72">
        <f>HLOOKUP(MIN(C3785:G3785),C3785:G3786,2,FALSE)</f>
        <v>3</v>
      </c>
      <c r="D3787" s="80"/>
    </row>
    <row r="3789" ht="15.75" spans="2:7">
      <c r="B3789" s="43" t="s">
        <v>351</v>
      </c>
      <c r="C3789" s="44"/>
      <c r="D3789" s="45"/>
    </row>
    <row r="3790" spans="2:7">
      <c r="B3790" s="46"/>
      <c r="C3790" s="61" t="s">
        <v>264</v>
      </c>
      <c r="D3790" s="61" t="s">
        <v>265</v>
      </c>
      <c r="E3790" s="62" t="s">
        <v>286</v>
      </c>
      <c r="F3790" s="62" t="s">
        <v>287</v>
      </c>
      <c r="G3790" s="62" t="s">
        <v>288</v>
      </c>
    </row>
    <row r="3791" spans="2:7">
      <c r="B3791" s="46"/>
      <c r="C3791">
        <f>IF(J8=1,S8,"")</f>
        <v>0.700231481481482</v>
      </c>
      <c r="D3791" s="63" t="str">
        <f>IF(J8=2,S8,"")</f>
        <v/>
      </c>
      <c r="E3791" t="str">
        <f>IF(J8=3,S8,"")</f>
        <v/>
      </c>
      <c r="F3791" t="str">
        <f>IF(J8=4,S8,"")</f>
        <v/>
      </c>
      <c r="G3791" t="str">
        <f>IF(J8=5,S8,"")</f>
        <v/>
      </c>
    </row>
    <row r="3792" spans="2:7">
      <c r="B3792" s="46"/>
      <c r="C3792" t="str">
        <f t="shared" ref="C3792:C3855" si="565">IF(J9=1,S9,"")</f>
        <v/>
      </c>
      <c r="D3792" s="63">
        <f t="shared" ref="D3792:D3855" si="566">IF(J9=2,S9,"")</f>
        <v>0.734154929577465</v>
      </c>
      <c r="E3792" t="str">
        <f t="shared" ref="E3792:E3855" si="567">IF(J9=3,S9,"")</f>
        <v/>
      </c>
      <c r="F3792" t="str">
        <f t="shared" ref="F3792:F3855" si="568">IF(J9=4,S9,"")</f>
        <v/>
      </c>
      <c r="G3792" t="str">
        <f t="shared" ref="G3792:G3855" si="569">IF(J9=5,S9,"")</f>
        <v/>
      </c>
    </row>
    <row r="3793" spans="2:7">
      <c r="B3793" s="46"/>
      <c r="C3793" t="str">
        <f t="shared" si="565"/>
        <v/>
      </c>
      <c r="D3793" s="63" t="str">
        <f t="shared" si="566"/>
        <v/>
      </c>
      <c r="E3793">
        <f t="shared" si="567"/>
        <v>1.83823529411765</v>
      </c>
      <c r="F3793" t="str">
        <f t="shared" si="568"/>
        <v/>
      </c>
      <c r="G3793" t="str">
        <f t="shared" si="569"/>
        <v/>
      </c>
    </row>
    <row r="3794" spans="2:7">
      <c r="B3794" s="46"/>
      <c r="C3794" t="str">
        <f t="shared" si="565"/>
        <v/>
      </c>
      <c r="D3794" s="63" t="str">
        <f t="shared" si="566"/>
        <v/>
      </c>
      <c r="E3794" t="str">
        <f t="shared" si="567"/>
        <v/>
      </c>
      <c r="F3794">
        <f t="shared" si="568"/>
        <v>4.28571428571429</v>
      </c>
      <c r="G3794" t="str">
        <f t="shared" si="569"/>
        <v/>
      </c>
    </row>
    <row r="3795" spans="2:7">
      <c r="B3795" s="46"/>
      <c r="C3795" t="str">
        <f t="shared" si="565"/>
        <v/>
      </c>
      <c r="D3795" s="63" t="str">
        <f t="shared" si="566"/>
        <v/>
      </c>
      <c r="E3795" t="str">
        <f t="shared" si="567"/>
        <v/>
      </c>
      <c r="F3795" t="str">
        <f t="shared" si="568"/>
        <v/>
      </c>
      <c r="G3795">
        <f t="shared" si="569"/>
        <v>3.43396226415094</v>
      </c>
    </row>
    <row r="3796" spans="2:7">
      <c r="B3796" s="46"/>
      <c r="C3796" t="str">
        <f t="shared" si="565"/>
        <v/>
      </c>
      <c r="D3796" s="63" t="str">
        <f t="shared" si="566"/>
        <v/>
      </c>
      <c r="E3796">
        <f t="shared" si="567"/>
        <v>14.5833333333333</v>
      </c>
      <c r="F3796" t="str">
        <f t="shared" si="568"/>
        <v/>
      </c>
      <c r="G3796" t="str">
        <f t="shared" si="569"/>
        <v/>
      </c>
    </row>
    <row r="3797" spans="2:7">
      <c r="B3797" s="46"/>
      <c r="C3797" t="str">
        <f t="shared" si="565"/>
        <v/>
      </c>
      <c r="D3797" s="63" t="str">
        <f t="shared" si="566"/>
        <v/>
      </c>
      <c r="E3797" t="str">
        <f t="shared" si="567"/>
        <v/>
      </c>
      <c r="F3797">
        <f t="shared" si="568"/>
        <v>6.42857142857143</v>
      </c>
      <c r="G3797" t="str">
        <f t="shared" si="569"/>
        <v/>
      </c>
    </row>
    <row r="3798" spans="2:7">
      <c r="B3798" s="46"/>
      <c r="C3798" t="str">
        <f t="shared" si="565"/>
        <v/>
      </c>
      <c r="D3798" s="63" t="str">
        <f t="shared" si="566"/>
        <v/>
      </c>
      <c r="E3798" t="str">
        <f t="shared" si="567"/>
        <v/>
      </c>
      <c r="F3798" t="str">
        <f t="shared" si="568"/>
        <v/>
      </c>
      <c r="G3798">
        <f t="shared" si="569"/>
        <v>3.84591194968553</v>
      </c>
    </row>
    <row r="3799" spans="2:7">
      <c r="B3799" s="46"/>
      <c r="C3799">
        <f t="shared" si="565"/>
        <v>0.844907407407407</v>
      </c>
      <c r="D3799" s="63" t="str">
        <f t="shared" si="566"/>
        <v/>
      </c>
      <c r="E3799" t="str">
        <f t="shared" si="567"/>
        <v/>
      </c>
      <c r="F3799" t="str">
        <f t="shared" si="568"/>
        <v/>
      </c>
      <c r="G3799" t="str">
        <f t="shared" si="569"/>
        <v/>
      </c>
    </row>
    <row r="3800" spans="2:7">
      <c r="B3800" s="46"/>
      <c r="C3800">
        <f t="shared" si="565"/>
        <v>6.79803240740741</v>
      </c>
      <c r="D3800" s="63" t="str">
        <f t="shared" si="566"/>
        <v/>
      </c>
      <c r="E3800" t="str">
        <f t="shared" si="567"/>
        <v/>
      </c>
      <c r="F3800" t="str">
        <f t="shared" si="568"/>
        <v/>
      </c>
      <c r="G3800" t="str">
        <f t="shared" si="569"/>
        <v/>
      </c>
    </row>
    <row r="3801" spans="2:7">
      <c r="B3801" s="46"/>
      <c r="C3801">
        <f t="shared" si="565"/>
        <v>6.79803240740741</v>
      </c>
      <c r="D3801" s="63" t="str">
        <f t="shared" si="566"/>
        <v/>
      </c>
      <c r="E3801" t="str">
        <f t="shared" si="567"/>
        <v/>
      </c>
      <c r="F3801" t="str">
        <f t="shared" si="568"/>
        <v/>
      </c>
      <c r="G3801" t="str">
        <f t="shared" si="569"/>
        <v/>
      </c>
    </row>
    <row r="3802" spans="2:7">
      <c r="B3802" s="46"/>
      <c r="C3802">
        <f t="shared" si="565"/>
        <v>7.52719907407408</v>
      </c>
      <c r="D3802" s="63" t="str">
        <f t="shared" si="566"/>
        <v/>
      </c>
      <c r="E3802" t="str">
        <f t="shared" si="567"/>
        <v/>
      </c>
      <c r="F3802" t="str">
        <f t="shared" si="568"/>
        <v/>
      </c>
      <c r="G3802" t="str">
        <f t="shared" si="569"/>
        <v/>
      </c>
    </row>
    <row r="3803" spans="2:7">
      <c r="B3803" s="46"/>
      <c r="C3803" t="str">
        <f t="shared" si="565"/>
        <v/>
      </c>
      <c r="D3803" s="63">
        <f t="shared" si="566"/>
        <v>2.7881455399061</v>
      </c>
      <c r="E3803" t="str">
        <f t="shared" si="567"/>
        <v/>
      </c>
      <c r="F3803" t="str">
        <f t="shared" si="568"/>
        <v/>
      </c>
      <c r="G3803" t="str">
        <f t="shared" si="569"/>
        <v/>
      </c>
    </row>
    <row r="3804" spans="2:7">
      <c r="B3804" s="46"/>
      <c r="C3804" t="str">
        <f t="shared" si="565"/>
        <v/>
      </c>
      <c r="D3804" s="63">
        <f t="shared" si="566"/>
        <v>4.47535211267606</v>
      </c>
      <c r="E3804" t="str">
        <f t="shared" si="567"/>
        <v/>
      </c>
      <c r="F3804" t="str">
        <f t="shared" si="568"/>
        <v/>
      </c>
      <c r="G3804" t="str">
        <f t="shared" si="569"/>
        <v/>
      </c>
    </row>
    <row r="3805" spans="2:7">
      <c r="B3805" s="46"/>
      <c r="C3805" t="str">
        <f t="shared" si="565"/>
        <v/>
      </c>
      <c r="D3805" s="63">
        <f t="shared" si="566"/>
        <v>6.10680751173709</v>
      </c>
      <c r="E3805" t="str">
        <f t="shared" si="567"/>
        <v/>
      </c>
      <c r="F3805" t="str">
        <f t="shared" si="568"/>
        <v/>
      </c>
      <c r="G3805" t="str">
        <f t="shared" si="569"/>
        <v/>
      </c>
    </row>
    <row r="3806" spans="2:7">
      <c r="B3806" s="46"/>
      <c r="C3806" t="str">
        <f t="shared" si="565"/>
        <v/>
      </c>
      <c r="D3806" s="63">
        <f t="shared" si="566"/>
        <v>8.50821596244131</v>
      </c>
      <c r="E3806" t="str">
        <f t="shared" si="567"/>
        <v/>
      </c>
      <c r="F3806" t="str">
        <f t="shared" si="568"/>
        <v/>
      </c>
      <c r="G3806" t="str">
        <f t="shared" si="569"/>
        <v/>
      </c>
    </row>
    <row r="3807" spans="2:7">
      <c r="B3807" s="46"/>
      <c r="C3807" t="str">
        <f t="shared" si="565"/>
        <v/>
      </c>
      <c r="D3807" s="63">
        <f t="shared" si="566"/>
        <v>10.268779342723</v>
      </c>
      <c r="E3807" t="str">
        <f t="shared" si="567"/>
        <v/>
      </c>
      <c r="F3807" t="str">
        <f t="shared" si="568"/>
        <v/>
      </c>
      <c r="G3807" t="str">
        <f t="shared" si="569"/>
        <v/>
      </c>
    </row>
    <row r="3808" spans="2:7">
      <c r="B3808" s="46"/>
      <c r="C3808" t="str">
        <f t="shared" si="565"/>
        <v/>
      </c>
      <c r="D3808" s="63" t="str">
        <f t="shared" si="566"/>
        <v/>
      </c>
      <c r="E3808" t="str">
        <f t="shared" si="567"/>
        <v/>
      </c>
      <c r="F3808" t="str">
        <f t="shared" si="568"/>
        <v/>
      </c>
      <c r="G3808">
        <f t="shared" si="569"/>
        <v>7.67610062893082</v>
      </c>
    </row>
    <row r="3809" spans="2:7">
      <c r="B3809" s="46"/>
      <c r="C3809" t="str">
        <f t="shared" si="565"/>
        <v/>
      </c>
      <c r="D3809" s="63" t="str">
        <f t="shared" si="566"/>
        <v/>
      </c>
      <c r="E3809" t="str">
        <f t="shared" si="567"/>
        <v/>
      </c>
      <c r="F3809" t="str">
        <f t="shared" si="568"/>
        <v/>
      </c>
      <c r="G3809">
        <f t="shared" si="569"/>
        <v>10.3836477987421</v>
      </c>
    </row>
    <row r="3810" spans="2:7">
      <c r="B3810" s="46"/>
      <c r="C3810" t="str">
        <f t="shared" si="565"/>
        <v/>
      </c>
      <c r="D3810" s="63" t="str">
        <f t="shared" si="566"/>
        <v/>
      </c>
      <c r="E3810" t="str">
        <f t="shared" si="567"/>
        <v/>
      </c>
      <c r="F3810" t="str">
        <f t="shared" si="568"/>
        <v/>
      </c>
      <c r="G3810">
        <f t="shared" si="569"/>
        <v>13.2138364779874</v>
      </c>
    </row>
    <row r="3811" spans="2:7">
      <c r="B3811" s="46"/>
      <c r="C3811" t="str">
        <f t="shared" si="565"/>
        <v/>
      </c>
      <c r="D3811" s="63" t="str">
        <f t="shared" si="566"/>
        <v/>
      </c>
      <c r="E3811" t="str">
        <f t="shared" si="567"/>
        <v/>
      </c>
      <c r="F3811" t="str">
        <f t="shared" si="568"/>
        <v/>
      </c>
      <c r="G3811">
        <f t="shared" si="569"/>
        <v>14.7243186582809</v>
      </c>
    </row>
    <row r="3812" spans="2:7">
      <c r="B3812" s="46"/>
      <c r="C3812" t="str">
        <f t="shared" si="565"/>
        <v/>
      </c>
      <c r="D3812" s="63" t="str">
        <f t="shared" si="566"/>
        <v/>
      </c>
      <c r="E3812" t="str">
        <f t="shared" si="567"/>
        <v/>
      </c>
      <c r="F3812">
        <f t="shared" si="568"/>
        <v>9.17630385487529</v>
      </c>
      <c r="G3812" t="str">
        <f t="shared" si="569"/>
        <v/>
      </c>
    </row>
    <row r="3813" spans="2:7">
      <c r="B3813" s="46"/>
      <c r="C3813" t="str">
        <f t="shared" si="565"/>
        <v/>
      </c>
      <c r="D3813" s="63" t="str">
        <f t="shared" si="566"/>
        <v/>
      </c>
      <c r="E3813" t="str">
        <f t="shared" si="567"/>
        <v/>
      </c>
      <c r="F3813">
        <f t="shared" si="568"/>
        <v>12.328231292517</v>
      </c>
      <c r="G3813" t="str">
        <f t="shared" si="569"/>
        <v/>
      </c>
    </row>
    <row r="3814" spans="2:7">
      <c r="B3814" s="46"/>
      <c r="C3814" t="str">
        <f t="shared" si="565"/>
        <v/>
      </c>
      <c r="D3814" s="63" t="str">
        <f t="shared" si="566"/>
        <v/>
      </c>
      <c r="E3814" t="str">
        <f t="shared" si="567"/>
        <v/>
      </c>
      <c r="F3814">
        <f t="shared" si="568"/>
        <v>15.0017006802721</v>
      </c>
      <c r="G3814" t="str">
        <f t="shared" si="569"/>
        <v/>
      </c>
    </row>
    <row r="3815" spans="2:7">
      <c r="B3815" s="46"/>
      <c r="C3815">
        <f t="shared" si="565"/>
        <v>10.328125</v>
      </c>
      <c r="D3815" s="63" t="str">
        <f t="shared" si="566"/>
        <v/>
      </c>
      <c r="E3815" t="str">
        <f t="shared" si="567"/>
        <v/>
      </c>
      <c r="F3815" t="str">
        <f t="shared" si="568"/>
        <v/>
      </c>
      <c r="G3815" t="str">
        <f t="shared" si="569"/>
        <v/>
      </c>
    </row>
    <row r="3816" spans="2:7">
      <c r="B3816" s="46"/>
      <c r="C3816">
        <f t="shared" si="565"/>
        <v>14.5908564814815</v>
      </c>
      <c r="D3816" s="63" t="str">
        <f t="shared" si="566"/>
        <v/>
      </c>
      <c r="E3816" t="str">
        <f t="shared" si="567"/>
        <v/>
      </c>
      <c r="F3816" t="str">
        <f t="shared" si="568"/>
        <v/>
      </c>
      <c r="G3816" t="str">
        <f t="shared" si="569"/>
        <v/>
      </c>
    </row>
    <row r="3817" spans="2:7">
      <c r="B3817" s="46"/>
      <c r="C3817">
        <f t="shared" si="565"/>
        <v>14.9409722222222</v>
      </c>
      <c r="D3817" s="63" t="str">
        <f t="shared" si="566"/>
        <v/>
      </c>
      <c r="E3817" t="str">
        <f t="shared" si="567"/>
        <v/>
      </c>
      <c r="F3817" t="str">
        <f t="shared" si="568"/>
        <v/>
      </c>
      <c r="G3817" t="str">
        <f t="shared" si="569"/>
        <v/>
      </c>
    </row>
    <row r="3818" spans="2:7">
      <c r="B3818" s="46"/>
      <c r="C3818">
        <f t="shared" si="565"/>
        <v>19.2465277777778</v>
      </c>
      <c r="D3818" s="63" t="str">
        <f t="shared" si="566"/>
        <v/>
      </c>
      <c r="E3818" t="str">
        <f t="shared" si="567"/>
        <v/>
      </c>
      <c r="F3818" t="str">
        <f t="shared" si="568"/>
        <v/>
      </c>
      <c r="G3818" t="str">
        <f t="shared" si="569"/>
        <v/>
      </c>
    </row>
    <row r="3819" spans="2:7">
      <c r="B3819" s="46"/>
      <c r="C3819" t="str">
        <f t="shared" si="565"/>
        <v/>
      </c>
      <c r="D3819" s="63">
        <f t="shared" si="566"/>
        <v>15.0340375586854</v>
      </c>
      <c r="E3819" t="str">
        <f t="shared" si="567"/>
        <v/>
      </c>
      <c r="F3819" t="str">
        <f t="shared" si="568"/>
        <v/>
      </c>
      <c r="G3819" t="str">
        <f t="shared" si="569"/>
        <v/>
      </c>
    </row>
    <row r="3820" spans="2:7">
      <c r="B3820" s="46"/>
      <c r="C3820" t="str">
        <f t="shared" si="565"/>
        <v/>
      </c>
      <c r="D3820" s="63">
        <f t="shared" si="566"/>
        <v>15.0340375586854</v>
      </c>
      <c r="E3820" t="str">
        <f t="shared" si="567"/>
        <v/>
      </c>
      <c r="F3820" t="str">
        <f t="shared" si="568"/>
        <v/>
      </c>
      <c r="G3820" t="str">
        <f t="shared" si="569"/>
        <v/>
      </c>
    </row>
    <row r="3821" spans="2:7">
      <c r="B3821" s="46"/>
      <c r="C3821" t="str">
        <f t="shared" si="565"/>
        <v/>
      </c>
      <c r="D3821" s="63">
        <f t="shared" si="566"/>
        <v>16.1343896713615</v>
      </c>
      <c r="E3821" t="str">
        <f t="shared" si="567"/>
        <v/>
      </c>
      <c r="F3821" t="str">
        <f t="shared" si="568"/>
        <v/>
      </c>
      <c r="G3821" t="str">
        <f t="shared" si="569"/>
        <v/>
      </c>
    </row>
    <row r="3822" spans="2:7">
      <c r="B3822" s="46"/>
      <c r="C3822" t="str">
        <f t="shared" si="565"/>
        <v/>
      </c>
      <c r="D3822" s="63">
        <f t="shared" si="566"/>
        <v>16.8620892018779</v>
      </c>
      <c r="E3822" t="str">
        <f t="shared" si="567"/>
        <v/>
      </c>
      <c r="F3822" t="str">
        <f t="shared" si="568"/>
        <v/>
      </c>
      <c r="G3822" t="str">
        <f t="shared" si="569"/>
        <v/>
      </c>
    </row>
    <row r="3823" spans="2:7">
      <c r="B3823" s="46"/>
      <c r="C3823" t="str">
        <f t="shared" si="565"/>
        <v/>
      </c>
      <c r="D3823" s="63" t="str">
        <f t="shared" si="566"/>
        <v/>
      </c>
      <c r="E3823">
        <f t="shared" si="567"/>
        <v>16.1245098039216</v>
      </c>
      <c r="F3823" t="str">
        <f t="shared" si="568"/>
        <v/>
      </c>
      <c r="G3823" t="str">
        <f t="shared" si="569"/>
        <v/>
      </c>
    </row>
    <row r="3824" spans="2:7">
      <c r="B3824" s="46"/>
      <c r="C3824" t="str">
        <f t="shared" si="565"/>
        <v/>
      </c>
      <c r="D3824" s="63" t="str">
        <f t="shared" si="566"/>
        <v/>
      </c>
      <c r="E3824">
        <f t="shared" si="567"/>
        <v>17.9225490196078</v>
      </c>
      <c r="F3824" t="str">
        <f t="shared" si="568"/>
        <v/>
      </c>
      <c r="G3824" t="str">
        <f t="shared" si="569"/>
        <v/>
      </c>
    </row>
    <row r="3825" spans="2:7">
      <c r="B3825" s="46"/>
      <c r="C3825" t="str">
        <f t="shared" si="565"/>
        <v/>
      </c>
      <c r="D3825" s="63" t="str">
        <f t="shared" si="566"/>
        <v/>
      </c>
      <c r="E3825">
        <f t="shared" si="567"/>
        <v>18.7166666666667</v>
      </c>
      <c r="F3825" t="str">
        <f t="shared" si="568"/>
        <v/>
      </c>
      <c r="G3825" t="str">
        <f t="shared" si="569"/>
        <v/>
      </c>
    </row>
    <row r="3826" spans="2:7">
      <c r="B3826" s="46"/>
      <c r="C3826" t="str">
        <f t="shared" si="565"/>
        <v/>
      </c>
      <c r="D3826" s="63" t="str">
        <f t="shared" si="566"/>
        <v/>
      </c>
      <c r="E3826">
        <f t="shared" si="567"/>
        <v>18.9539215686275</v>
      </c>
      <c r="F3826" t="str">
        <f t="shared" si="568"/>
        <v/>
      </c>
      <c r="G3826" t="str">
        <f t="shared" si="569"/>
        <v/>
      </c>
    </row>
    <row r="3827" spans="2:7">
      <c r="B3827" s="46"/>
      <c r="C3827" t="str">
        <f t="shared" si="565"/>
        <v/>
      </c>
      <c r="D3827" s="63" t="str">
        <f t="shared" si="566"/>
        <v/>
      </c>
      <c r="E3827" t="str">
        <f t="shared" si="567"/>
        <v/>
      </c>
      <c r="F3827" t="str">
        <f t="shared" si="568"/>
        <v/>
      </c>
      <c r="G3827">
        <f t="shared" si="569"/>
        <v>15.4449685534591</v>
      </c>
    </row>
    <row r="3828" spans="2:7">
      <c r="B3828" s="46"/>
      <c r="C3828" t="str">
        <f t="shared" si="565"/>
        <v/>
      </c>
      <c r="D3828" s="63" t="str">
        <f t="shared" si="566"/>
        <v/>
      </c>
      <c r="E3828" t="str">
        <f t="shared" si="567"/>
        <v/>
      </c>
      <c r="F3828" t="str">
        <f t="shared" si="568"/>
        <v/>
      </c>
      <c r="G3828">
        <f t="shared" si="569"/>
        <v>16.4669811320755</v>
      </c>
    </row>
    <row r="3829" spans="2:7">
      <c r="B3829" s="46"/>
      <c r="C3829" t="str">
        <f t="shared" si="565"/>
        <v/>
      </c>
      <c r="D3829" s="63" t="str">
        <f t="shared" si="566"/>
        <v/>
      </c>
      <c r="E3829" t="str">
        <f t="shared" si="567"/>
        <v/>
      </c>
      <c r="F3829" t="str">
        <f t="shared" si="568"/>
        <v/>
      </c>
      <c r="G3829">
        <f t="shared" si="569"/>
        <v>17.7877358490566</v>
      </c>
    </row>
    <row r="3830" spans="2:7">
      <c r="B3830" s="46"/>
      <c r="C3830" t="str">
        <f t="shared" si="565"/>
        <v/>
      </c>
      <c r="D3830" s="63" t="str">
        <f t="shared" si="566"/>
        <v/>
      </c>
      <c r="E3830" t="str">
        <f t="shared" si="567"/>
        <v/>
      </c>
      <c r="F3830" t="str">
        <f t="shared" si="568"/>
        <v/>
      </c>
      <c r="G3830">
        <f t="shared" si="569"/>
        <v>18.377358490566</v>
      </c>
    </row>
    <row r="3831" spans="2:7">
      <c r="B3831" s="46"/>
      <c r="C3831" t="str">
        <f t="shared" si="565"/>
        <v/>
      </c>
      <c r="D3831" s="63" t="str">
        <f t="shared" si="566"/>
        <v/>
      </c>
      <c r="E3831" t="str">
        <f t="shared" si="567"/>
        <v/>
      </c>
      <c r="F3831">
        <f t="shared" si="568"/>
        <v>15.4234693877551</v>
      </c>
      <c r="G3831" t="str">
        <f t="shared" si="569"/>
        <v/>
      </c>
    </row>
    <row r="3832" spans="2:7">
      <c r="B3832" s="46"/>
      <c r="C3832" t="str">
        <f t="shared" si="565"/>
        <v/>
      </c>
      <c r="D3832" s="63" t="str">
        <f t="shared" si="566"/>
        <v/>
      </c>
      <c r="E3832" t="str">
        <f t="shared" si="567"/>
        <v/>
      </c>
      <c r="F3832">
        <f t="shared" si="568"/>
        <v>16.7698412698413</v>
      </c>
      <c r="G3832" t="str">
        <f t="shared" si="569"/>
        <v/>
      </c>
    </row>
    <row r="3833" spans="2:7">
      <c r="B3833" s="46"/>
      <c r="C3833" t="str">
        <f t="shared" si="565"/>
        <v/>
      </c>
      <c r="D3833" s="63" t="str">
        <f t="shared" si="566"/>
        <v/>
      </c>
      <c r="E3833" t="str">
        <f t="shared" si="567"/>
        <v/>
      </c>
      <c r="F3833">
        <f t="shared" si="568"/>
        <v>18.109410430839</v>
      </c>
      <c r="G3833" t="str">
        <f t="shared" si="569"/>
        <v/>
      </c>
    </row>
    <row r="3834" spans="2:7">
      <c r="B3834" s="46"/>
      <c r="C3834" t="str">
        <f t="shared" si="565"/>
        <v/>
      </c>
      <c r="D3834" s="63" t="str">
        <f t="shared" si="566"/>
        <v/>
      </c>
      <c r="E3834" t="str">
        <f t="shared" si="567"/>
        <v/>
      </c>
      <c r="F3834">
        <f t="shared" si="568"/>
        <v>20.1581632653061</v>
      </c>
      <c r="G3834" t="str">
        <f t="shared" si="569"/>
        <v/>
      </c>
    </row>
    <row r="3835" spans="2:7">
      <c r="B3835" s="46"/>
      <c r="C3835" t="str">
        <f t="shared" si="565"/>
        <v/>
      </c>
      <c r="D3835" s="63" t="str">
        <f t="shared" si="566"/>
        <v/>
      </c>
      <c r="E3835" t="str">
        <f t="shared" si="567"/>
        <v/>
      </c>
      <c r="F3835">
        <f t="shared" si="568"/>
        <v>22.1581632653061</v>
      </c>
      <c r="G3835" t="str">
        <f t="shared" si="569"/>
        <v/>
      </c>
    </row>
    <row r="3836" spans="2:7">
      <c r="B3836" s="46"/>
      <c r="C3836" t="str">
        <f t="shared" si="565"/>
        <v/>
      </c>
      <c r="D3836" s="63" t="str">
        <f t="shared" si="566"/>
        <v/>
      </c>
      <c r="E3836" t="str">
        <f t="shared" si="567"/>
        <v/>
      </c>
      <c r="F3836">
        <f t="shared" si="568"/>
        <v>22.8781179138322</v>
      </c>
      <c r="G3836" t="str">
        <f t="shared" si="569"/>
        <v/>
      </c>
    </row>
    <row r="3837" spans="2:7">
      <c r="B3837" s="46"/>
      <c r="C3837" t="str">
        <f t="shared" si="565"/>
        <v/>
      </c>
      <c r="D3837" s="63">
        <f t="shared" si="566"/>
        <v>17.3022300469484</v>
      </c>
      <c r="E3837" t="str">
        <f t="shared" si="567"/>
        <v/>
      </c>
      <c r="F3837" t="str">
        <f t="shared" si="568"/>
        <v/>
      </c>
      <c r="G3837" t="str">
        <f t="shared" si="569"/>
        <v/>
      </c>
    </row>
    <row r="3838" spans="2:7">
      <c r="B3838" s="46"/>
      <c r="C3838" t="str">
        <f t="shared" si="565"/>
        <v/>
      </c>
      <c r="D3838" s="63">
        <f t="shared" si="566"/>
        <v>22.837441314554</v>
      </c>
      <c r="E3838" t="str">
        <f t="shared" si="567"/>
        <v/>
      </c>
      <c r="F3838" t="str">
        <f t="shared" si="568"/>
        <v/>
      </c>
      <c r="G3838" t="str">
        <f t="shared" si="569"/>
        <v/>
      </c>
    </row>
    <row r="3839" spans="2:7">
      <c r="B3839" s="46"/>
      <c r="C3839" t="str">
        <f t="shared" si="565"/>
        <v/>
      </c>
      <c r="D3839" s="63">
        <f t="shared" si="566"/>
        <v>23.7089201877934</v>
      </c>
      <c r="E3839" t="str">
        <f t="shared" si="567"/>
        <v/>
      </c>
      <c r="F3839" t="str">
        <f t="shared" si="568"/>
        <v/>
      </c>
      <c r="G3839" t="str">
        <f t="shared" si="569"/>
        <v/>
      </c>
    </row>
    <row r="3840" spans="2:7">
      <c r="B3840" s="46"/>
      <c r="C3840" t="str">
        <f t="shared" si="565"/>
        <v/>
      </c>
      <c r="D3840" s="63">
        <f t="shared" si="566"/>
        <v>24.3427230046948</v>
      </c>
      <c r="E3840" t="str">
        <f t="shared" si="567"/>
        <v/>
      </c>
      <c r="F3840" t="str">
        <f t="shared" si="568"/>
        <v/>
      </c>
      <c r="G3840" t="str">
        <f t="shared" si="569"/>
        <v/>
      </c>
    </row>
    <row r="3841" spans="2:7">
      <c r="B3841" s="46"/>
      <c r="C3841" t="str">
        <f t="shared" si="565"/>
        <v/>
      </c>
      <c r="D3841" s="63">
        <f t="shared" si="566"/>
        <v>27.5704225352113</v>
      </c>
      <c r="E3841" t="str">
        <f t="shared" si="567"/>
        <v/>
      </c>
      <c r="F3841" t="str">
        <f t="shared" si="568"/>
        <v/>
      </c>
      <c r="G3841" t="str">
        <f t="shared" si="569"/>
        <v/>
      </c>
    </row>
    <row r="3842" spans="2:7">
      <c r="B3842" s="46"/>
      <c r="C3842" t="str">
        <f t="shared" si="565"/>
        <v/>
      </c>
      <c r="D3842" s="63" t="str">
        <f t="shared" si="566"/>
        <v/>
      </c>
      <c r="E3842" t="str">
        <f t="shared" si="567"/>
        <v/>
      </c>
      <c r="F3842" t="str">
        <f t="shared" si="568"/>
        <v/>
      </c>
      <c r="G3842">
        <f t="shared" si="569"/>
        <v>19.1949685534591</v>
      </c>
    </row>
    <row r="3843" spans="2:7">
      <c r="B3843" s="46"/>
      <c r="C3843" t="str">
        <f t="shared" si="565"/>
        <v/>
      </c>
      <c r="D3843" s="63" t="str">
        <f t="shared" si="566"/>
        <v/>
      </c>
      <c r="E3843" t="str">
        <f t="shared" si="567"/>
        <v/>
      </c>
      <c r="F3843" t="str">
        <f t="shared" si="568"/>
        <v/>
      </c>
      <c r="G3843">
        <f t="shared" si="569"/>
        <v>21.9606918238994</v>
      </c>
    </row>
    <row r="3844" spans="2:7">
      <c r="B3844" s="46"/>
      <c r="C3844" t="str">
        <f t="shared" si="565"/>
        <v/>
      </c>
      <c r="D3844" s="63" t="str">
        <f t="shared" si="566"/>
        <v/>
      </c>
      <c r="E3844" t="str">
        <f t="shared" si="567"/>
        <v/>
      </c>
      <c r="F3844" t="str">
        <f t="shared" si="568"/>
        <v/>
      </c>
      <c r="G3844">
        <f t="shared" si="569"/>
        <v>21.9606918238994</v>
      </c>
    </row>
    <row r="3845" spans="2:7">
      <c r="B3845" s="46"/>
      <c r="C3845" t="str">
        <f t="shared" si="565"/>
        <v/>
      </c>
      <c r="D3845" s="63" t="str">
        <f t="shared" si="566"/>
        <v/>
      </c>
      <c r="E3845" t="str">
        <f t="shared" si="567"/>
        <v/>
      </c>
      <c r="F3845" t="str">
        <f t="shared" si="568"/>
        <v/>
      </c>
      <c r="G3845">
        <f t="shared" si="569"/>
        <v>25.2222222222222</v>
      </c>
    </row>
    <row r="3846" spans="2:7">
      <c r="B3846" s="46"/>
      <c r="C3846" t="str">
        <f t="shared" si="565"/>
        <v/>
      </c>
      <c r="D3846" s="63" t="str">
        <f t="shared" si="566"/>
        <v/>
      </c>
      <c r="E3846">
        <f t="shared" si="567"/>
        <v>22.268137254902</v>
      </c>
      <c r="F3846" t="str">
        <f t="shared" si="568"/>
        <v/>
      </c>
      <c r="G3846" t="str">
        <f t="shared" si="569"/>
        <v/>
      </c>
    </row>
    <row r="3847" spans="2:7">
      <c r="B3847" s="46"/>
      <c r="C3847" t="str">
        <f t="shared" si="565"/>
        <v/>
      </c>
      <c r="D3847" s="63" t="str">
        <f t="shared" si="566"/>
        <v/>
      </c>
      <c r="E3847">
        <f t="shared" si="567"/>
        <v>22.268137254902</v>
      </c>
      <c r="F3847" t="str">
        <f t="shared" si="568"/>
        <v/>
      </c>
      <c r="G3847" t="str">
        <f t="shared" si="569"/>
        <v/>
      </c>
    </row>
    <row r="3848" spans="2:7">
      <c r="B3848" s="46"/>
      <c r="C3848" t="str">
        <f t="shared" si="565"/>
        <v/>
      </c>
      <c r="D3848" s="63" t="str">
        <f t="shared" si="566"/>
        <v/>
      </c>
      <c r="E3848">
        <f t="shared" si="567"/>
        <v>24.6995098039216</v>
      </c>
      <c r="F3848" t="str">
        <f t="shared" si="568"/>
        <v/>
      </c>
      <c r="G3848" t="str">
        <f t="shared" si="569"/>
        <v/>
      </c>
    </row>
    <row r="3849" spans="2:7">
      <c r="B3849" s="46"/>
      <c r="C3849" t="str">
        <f t="shared" si="565"/>
        <v/>
      </c>
      <c r="D3849" s="63" t="str">
        <f t="shared" si="566"/>
        <v/>
      </c>
      <c r="E3849">
        <f t="shared" si="567"/>
        <v>25.3416666666667</v>
      </c>
      <c r="F3849" t="str">
        <f t="shared" si="568"/>
        <v/>
      </c>
      <c r="G3849" t="str">
        <f t="shared" si="569"/>
        <v/>
      </c>
    </row>
    <row r="3850" spans="2:7">
      <c r="B3850" s="46"/>
      <c r="C3850">
        <f t="shared" si="565"/>
        <v>19.5358796296296</v>
      </c>
      <c r="D3850" s="63" t="str">
        <f t="shared" si="566"/>
        <v/>
      </c>
      <c r="E3850" t="str">
        <f t="shared" si="567"/>
        <v/>
      </c>
      <c r="F3850" t="str">
        <f t="shared" si="568"/>
        <v/>
      </c>
      <c r="G3850" t="str">
        <f t="shared" si="569"/>
        <v/>
      </c>
    </row>
    <row r="3851" spans="2:7">
      <c r="B3851" s="46"/>
      <c r="C3851">
        <f t="shared" si="565"/>
        <v>20.1608796296296</v>
      </c>
      <c r="D3851" s="63" t="str">
        <f t="shared" si="566"/>
        <v/>
      </c>
      <c r="E3851" t="str">
        <f t="shared" si="567"/>
        <v/>
      </c>
      <c r="F3851" t="str">
        <f t="shared" si="568"/>
        <v/>
      </c>
      <c r="G3851" t="str">
        <f t="shared" si="569"/>
        <v/>
      </c>
    </row>
    <row r="3852" spans="2:7">
      <c r="B3852" s="46"/>
      <c r="C3852">
        <f t="shared" si="565"/>
        <v>21.7233796296296</v>
      </c>
      <c r="D3852" s="63" t="str">
        <f t="shared" si="566"/>
        <v/>
      </c>
      <c r="E3852" t="str">
        <f t="shared" si="567"/>
        <v/>
      </c>
      <c r="F3852" t="str">
        <f t="shared" si="568"/>
        <v/>
      </c>
      <c r="G3852" t="str">
        <f t="shared" si="569"/>
        <v/>
      </c>
    </row>
    <row r="3853" spans="2:7">
      <c r="B3853" s="46"/>
      <c r="C3853">
        <f t="shared" si="565"/>
        <v>22.7054398148148</v>
      </c>
      <c r="D3853" s="63" t="str">
        <f t="shared" si="566"/>
        <v/>
      </c>
      <c r="E3853" t="str">
        <f t="shared" si="567"/>
        <v/>
      </c>
      <c r="F3853" t="str">
        <f t="shared" si="568"/>
        <v/>
      </c>
      <c r="G3853" t="str">
        <f t="shared" si="569"/>
        <v/>
      </c>
    </row>
    <row r="3854" spans="2:7">
      <c r="B3854" s="46"/>
      <c r="C3854">
        <f t="shared" si="565"/>
        <v>22.7054398148148</v>
      </c>
      <c r="D3854" s="63" t="str">
        <f t="shared" si="566"/>
        <v/>
      </c>
      <c r="E3854" t="str">
        <f t="shared" si="567"/>
        <v/>
      </c>
      <c r="F3854" t="str">
        <f t="shared" si="568"/>
        <v/>
      </c>
      <c r="G3854" t="str">
        <f t="shared" si="569"/>
        <v/>
      </c>
    </row>
    <row r="3855" spans="2:7">
      <c r="B3855" s="46"/>
      <c r="C3855">
        <f t="shared" si="565"/>
        <v>22.8512731481482</v>
      </c>
      <c r="D3855" s="63" t="str">
        <f t="shared" si="566"/>
        <v/>
      </c>
      <c r="E3855" t="str">
        <f t="shared" si="567"/>
        <v/>
      </c>
      <c r="F3855" t="str">
        <f t="shared" si="568"/>
        <v/>
      </c>
      <c r="G3855" t="str">
        <f t="shared" si="569"/>
        <v/>
      </c>
    </row>
    <row r="3856" spans="2:7">
      <c r="B3856" s="46"/>
      <c r="C3856">
        <f t="shared" ref="C3856:C3871" si="570">IF(J73=1,S73,"")</f>
        <v>34.4068287037037</v>
      </c>
      <c r="D3856" s="63" t="str">
        <f t="shared" ref="D3856:D3871" si="571">IF(J73=2,S73,"")</f>
        <v/>
      </c>
      <c r="E3856" t="str">
        <f t="shared" ref="E3856:E3871" si="572">IF(J73=3,S73,"")</f>
        <v/>
      </c>
      <c r="F3856" t="str">
        <f t="shared" ref="F3856:F3871" si="573">IF(J73=4,S73,"")</f>
        <v/>
      </c>
      <c r="G3856" t="str">
        <f t="shared" ref="G3856:G3871" si="574">IF(J73=5,S73,"")</f>
        <v/>
      </c>
    </row>
    <row r="3857" spans="2:7">
      <c r="B3857" s="46"/>
      <c r="C3857">
        <f t="shared" si="570"/>
        <v>34.4068287037037</v>
      </c>
      <c r="D3857" s="63" t="str">
        <f t="shared" si="571"/>
        <v/>
      </c>
      <c r="E3857" t="str">
        <f t="shared" si="572"/>
        <v/>
      </c>
      <c r="F3857" t="str">
        <f t="shared" si="573"/>
        <v/>
      </c>
      <c r="G3857" t="str">
        <f t="shared" si="574"/>
        <v/>
      </c>
    </row>
    <row r="3858" spans="2:7">
      <c r="B3858" s="46"/>
      <c r="C3858">
        <f t="shared" si="570"/>
        <v>35.5827546296296</v>
      </c>
      <c r="D3858" s="63" t="str">
        <f t="shared" si="571"/>
        <v/>
      </c>
      <c r="E3858" t="str">
        <f t="shared" si="572"/>
        <v/>
      </c>
      <c r="F3858" t="str">
        <f t="shared" si="573"/>
        <v/>
      </c>
      <c r="G3858" t="str">
        <f t="shared" si="574"/>
        <v/>
      </c>
    </row>
    <row r="3859" spans="2:7">
      <c r="B3859" s="46"/>
      <c r="C3859">
        <f t="shared" si="570"/>
        <v>36.7893518518519</v>
      </c>
      <c r="D3859" s="63" t="str">
        <f t="shared" si="571"/>
        <v/>
      </c>
      <c r="E3859" t="str">
        <f t="shared" si="572"/>
        <v/>
      </c>
      <c r="F3859" t="str">
        <f t="shared" si="573"/>
        <v/>
      </c>
      <c r="G3859" t="str">
        <f t="shared" si="574"/>
        <v/>
      </c>
    </row>
    <row r="3860" spans="2:7">
      <c r="B3860" s="46"/>
      <c r="C3860" t="str">
        <f t="shared" si="570"/>
        <v/>
      </c>
      <c r="D3860" s="63" t="str">
        <f t="shared" si="571"/>
        <v/>
      </c>
      <c r="E3860" t="str">
        <f t="shared" si="572"/>
        <v/>
      </c>
      <c r="F3860">
        <f t="shared" si="573"/>
        <v>23.4404761904762</v>
      </c>
      <c r="G3860" t="str">
        <f t="shared" si="574"/>
        <v/>
      </c>
    </row>
    <row r="3861" spans="2:7">
      <c r="B3861" s="46"/>
      <c r="C3861" t="str">
        <f t="shared" si="570"/>
        <v/>
      </c>
      <c r="D3861" s="63" t="str">
        <f t="shared" si="571"/>
        <v/>
      </c>
      <c r="E3861" t="str">
        <f t="shared" si="572"/>
        <v/>
      </c>
      <c r="F3861">
        <f t="shared" si="573"/>
        <v>24.3616780045352</v>
      </c>
      <c r="G3861" t="str">
        <f t="shared" si="574"/>
        <v/>
      </c>
    </row>
    <row r="3862" spans="2:7">
      <c r="B3862" s="46"/>
      <c r="C3862" t="str">
        <f t="shared" si="570"/>
        <v/>
      </c>
      <c r="D3862" s="63" t="str">
        <f t="shared" si="571"/>
        <v/>
      </c>
      <c r="E3862" t="str">
        <f t="shared" si="572"/>
        <v/>
      </c>
      <c r="F3862">
        <f t="shared" si="573"/>
        <v>25.8378684807256</v>
      </c>
      <c r="G3862" t="str">
        <f t="shared" si="574"/>
        <v/>
      </c>
    </row>
    <row r="3863" spans="2:7">
      <c r="B3863" s="46"/>
      <c r="C3863" t="str">
        <f t="shared" si="570"/>
        <v/>
      </c>
      <c r="D3863" s="63" t="str">
        <f t="shared" si="571"/>
        <v/>
      </c>
      <c r="E3863" t="str">
        <f t="shared" si="572"/>
        <v/>
      </c>
      <c r="F3863">
        <f t="shared" si="573"/>
        <v>29.4625850340136</v>
      </c>
      <c r="G3863" t="str">
        <f t="shared" si="574"/>
        <v/>
      </c>
    </row>
    <row r="3864" spans="2:7">
      <c r="B3864" s="46"/>
      <c r="C3864" t="str">
        <f t="shared" si="570"/>
        <v/>
      </c>
      <c r="D3864" s="63" t="str">
        <f t="shared" si="571"/>
        <v/>
      </c>
      <c r="E3864" t="str">
        <f t="shared" si="572"/>
        <v/>
      </c>
      <c r="F3864">
        <f t="shared" si="573"/>
        <v>30.092970521542</v>
      </c>
      <c r="G3864" t="str">
        <f t="shared" si="574"/>
        <v/>
      </c>
    </row>
    <row r="3865" spans="2:7">
      <c r="B3865" s="46"/>
      <c r="C3865" t="str">
        <f t="shared" si="570"/>
        <v/>
      </c>
      <c r="D3865" s="63" t="str">
        <f t="shared" si="571"/>
        <v/>
      </c>
      <c r="E3865" t="str">
        <f t="shared" si="572"/>
        <v/>
      </c>
      <c r="F3865">
        <f t="shared" si="573"/>
        <v>30.8809523809524</v>
      </c>
      <c r="G3865" t="str">
        <f t="shared" si="574"/>
        <v/>
      </c>
    </row>
    <row r="3866" spans="2:7">
      <c r="B3866" s="46"/>
      <c r="C3866" t="str">
        <f t="shared" si="570"/>
        <v/>
      </c>
      <c r="D3866" s="63" t="str">
        <f t="shared" si="571"/>
        <v/>
      </c>
      <c r="E3866" t="str">
        <f t="shared" si="572"/>
        <v/>
      </c>
      <c r="F3866" t="str">
        <f t="shared" si="573"/>
        <v/>
      </c>
      <c r="G3866">
        <f t="shared" si="574"/>
        <v>26.0235849056604</v>
      </c>
    </row>
    <row r="3867" spans="2:7">
      <c r="B3867" s="46"/>
      <c r="C3867" t="str">
        <f t="shared" si="570"/>
        <v/>
      </c>
      <c r="D3867" s="63" t="str">
        <f t="shared" si="571"/>
        <v/>
      </c>
      <c r="E3867" t="str">
        <f t="shared" si="572"/>
        <v/>
      </c>
      <c r="F3867" t="str">
        <f t="shared" si="573"/>
        <v/>
      </c>
      <c r="G3867">
        <f t="shared" si="574"/>
        <v>26.8977987421384</v>
      </c>
    </row>
    <row r="3868" spans="2:7">
      <c r="B3868" s="46"/>
      <c r="C3868" t="str">
        <f t="shared" si="570"/>
        <v/>
      </c>
      <c r="D3868" s="63" t="str">
        <f t="shared" si="571"/>
        <v/>
      </c>
      <c r="E3868" t="str">
        <f t="shared" si="572"/>
        <v/>
      </c>
      <c r="F3868" t="str">
        <f t="shared" si="573"/>
        <v/>
      </c>
      <c r="G3868">
        <f t="shared" si="574"/>
        <v>27.8448637316562</v>
      </c>
    </row>
    <row r="3869" spans="2:7">
      <c r="B3869" s="46"/>
      <c r="C3869" t="str">
        <f t="shared" si="570"/>
        <v/>
      </c>
      <c r="D3869" s="63" t="str">
        <f t="shared" si="571"/>
        <v/>
      </c>
      <c r="E3869" t="str">
        <f t="shared" si="572"/>
        <v/>
      </c>
      <c r="F3869" t="str">
        <f t="shared" si="573"/>
        <v/>
      </c>
      <c r="G3869">
        <f t="shared" si="574"/>
        <v>29.229035639413</v>
      </c>
    </row>
    <row r="3870" spans="2:7">
      <c r="B3870" s="46"/>
      <c r="C3870" t="str">
        <f t="shared" si="570"/>
        <v/>
      </c>
      <c r="D3870" s="63" t="str">
        <f t="shared" si="571"/>
        <v/>
      </c>
      <c r="E3870">
        <f t="shared" si="572"/>
        <v>25.5460784313725</v>
      </c>
      <c r="F3870" t="str">
        <f t="shared" si="573"/>
        <v/>
      </c>
      <c r="G3870" t="str">
        <f t="shared" si="574"/>
        <v/>
      </c>
    </row>
    <row r="3871" ht="15.75" spans="2:7">
      <c r="B3871" s="46"/>
      <c r="C3871" t="str">
        <f t="shared" si="570"/>
        <v/>
      </c>
      <c r="D3871" s="63" t="str">
        <f t="shared" si="571"/>
        <v/>
      </c>
      <c r="E3871">
        <f t="shared" si="572"/>
        <v>28.8676470588235</v>
      </c>
      <c r="F3871" t="str">
        <f t="shared" si="573"/>
        <v/>
      </c>
      <c r="G3871" t="str">
        <f t="shared" si="574"/>
        <v/>
      </c>
    </row>
    <row r="3872" spans="2:7">
      <c r="B3872" s="74" t="s">
        <v>269</v>
      </c>
      <c r="C3872" s="75">
        <f>MAX(C3791:C3871)</f>
        <v>36.7893518518519</v>
      </c>
      <c r="D3872" s="75">
        <f>MAX(D3791:D3871)</f>
        <v>27.5704225352113</v>
      </c>
      <c r="E3872" s="75">
        <f>MAX(E3791:E3871)</f>
        <v>28.8676470588235</v>
      </c>
      <c r="F3872" s="75">
        <f t="shared" ref="F3872:G3872" si="575">MAX(F3791:F3871)</f>
        <v>30.8809523809524</v>
      </c>
      <c r="G3872" s="75">
        <f t="shared" si="575"/>
        <v>29.229035639413</v>
      </c>
    </row>
    <row r="3873" spans="2:7">
      <c r="B3873" s="76" t="s">
        <v>270</v>
      </c>
      <c r="C3873" s="77">
        <v>1</v>
      </c>
      <c r="D3873" s="78">
        <v>2</v>
      </c>
      <c r="E3873">
        <v>3</v>
      </c>
      <c r="F3873">
        <v>4</v>
      </c>
      <c r="G3873">
        <v>5</v>
      </c>
    </row>
    <row r="3874" spans="2:7">
      <c r="B3874" s="79" t="s">
        <v>271</v>
      </c>
      <c r="C3874" s="72">
        <f>HLOOKUP(MIN(C3872:G3872),C3872:G3873,2,FALSE)</f>
        <v>2</v>
      </c>
      <c r="D3874" s="80"/>
    </row>
    <row r="3876" ht="15.75" spans="2:7">
      <c r="B3876" s="43" t="s">
        <v>352</v>
      </c>
      <c r="C3876" s="44"/>
      <c r="D3876" s="45"/>
    </row>
    <row r="3877" spans="2:7">
      <c r="B3877" s="46"/>
      <c r="C3877" s="61" t="s">
        <v>264</v>
      </c>
      <c r="D3877" s="61" t="s">
        <v>265</v>
      </c>
      <c r="E3877" s="62" t="s">
        <v>286</v>
      </c>
      <c r="F3877" s="62" t="s">
        <v>287</v>
      </c>
      <c r="G3877" s="62" t="s">
        <v>288</v>
      </c>
    </row>
    <row r="3878" spans="2:7">
      <c r="B3878" s="46"/>
      <c r="C3878">
        <f t="shared" ref="C3878:C3941" si="576">IF(J8=1,S8,"")</f>
        <v>0.700231481481482</v>
      </c>
      <c r="D3878" s="63" t="str">
        <f t="shared" ref="D3878:D3941" si="577">IF(J8=2,S8,"")</f>
        <v/>
      </c>
      <c r="E3878" t="str">
        <f t="shared" ref="E3878:E3941" si="578">IF(J8=3,S8,"")</f>
        <v/>
      </c>
      <c r="F3878" t="str">
        <f t="shared" ref="F3878:F3941" si="579">IF(J8=4,S8,"")</f>
        <v/>
      </c>
      <c r="G3878" t="str">
        <f t="shared" ref="G3878:G3941" si="580">IF(J8=5,S8,"")</f>
        <v/>
      </c>
    </row>
    <row r="3879" spans="2:7">
      <c r="B3879" s="46"/>
      <c r="C3879" t="str">
        <f t="shared" si="576"/>
        <v/>
      </c>
      <c r="D3879" s="63">
        <f t="shared" si="577"/>
        <v>0.734154929577465</v>
      </c>
      <c r="E3879" t="str">
        <f t="shared" si="578"/>
        <v/>
      </c>
      <c r="F3879" t="str">
        <f t="shared" si="579"/>
        <v/>
      </c>
      <c r="G3879" t="str">
        <f t="shared" si="580"/>
        <v/>
      </c>
    </row>
    <row r="3880" spans="2:7">
      <c r="B3880" s="46"/>
      <c r="C3880" t="str">
        <f t="shared" si="576"/>
        <v/>
      </c>
      <c r="D3880" s="63" t="str">
        <f t="shared" si="577"/>
        <v/>
      </c>
      <c r="E3880">
        <f t="shared" si="578"/>
        <v>1.83823529411765</v>
      </c>
      <c r="F3880" t="str">
        <f t="shared" si="579"/>
        <v/>
      </c>
      <c r="G3880" t="str">
        <f t="shared" si="580"/>
        <v/>
      </c>
    </row>
    <row r="3881" spans="2:7">
      <c r="B3881" s="46"/>
      <c r="C3881" t="str">
        <f t="shared" si="576"/>
        <v/>
      </c>
      <c r="D3881" s="63" t="str">
        <f t="shared" si="577"/>
        <v/>
      </c>
      <c r="E3881" t="str">
        <f t="shared" si="578"/>
        <v/>
      </c>
      <c r="F3881">
        <f t="shared" si="579"/>
        <v>4.28571428571429</v>
      </c>
      <c r="G3881" t="str">
        <f t="shared" si="580"/>
        <v/>
      </c>
    </row>
    <row r="3882" spans="2:7">
      <c r="B3882" s="46"/>
      <c r="C3882" t="str">
        <f t="shared" si="576"/>
        <v/>
      </c>
      <c r="D3882" s="63" t="str">
        <f t="shared" si="577"/>
        <v/>
      </c>
      <c r="E3882" t="str">
        <f t="shared" si="578"/>
        <v/>
      </c>
      <c r="F3882" t="str">
        <f t="shared" si="579"/>
        <v/>
      </c>
      <c r="G3882">
        <f t="shared" si="580"/>
        <v>3.43396226415094</v>
      </c>
    </row>
    <row r="3883" spans="2:7">
      <c r="B3883" s="46"/>
      <c r="C3883" t="str">
        <f t="shared" si="576"/>
        <v/>
      </c>
      <c r="D3883" s="63" t="str">
        <f t="shared" si="577"/>
        <v/>
      </c>
      <c r="E3883">
        <f t="shared" si="578"/>
        <v>14.5833333333333</v>
      </c>
      <c r="F3883" t="str">
        <f t="shared" si="579"/>
        <v/>
      </c>
      <c r="G3883" t="str">
        <f t="shared" si="580"/>
        <v/>
      </c>
    </row>
    <row r="3884" spans="2:7">
      <c r="B3884" s="46"/>
      <c r="C3884" t="str">
        <f t="shared" si="576"/>
        <v/>
      </c>
      <c r="D3884" s="63" t="str">
        <f t="shared" si="577"/>
        <v/>
      </c>
      <c r="E3884" t="str">
        <f t="shared" si="578"/>
        <v/>
      </c>
      <c r="F3884">
        <f t="shared" si="579"/>
        <v>6.42857142857143</v>
      </c>
      <c r="G3884" t="str">
        <f t="shared" si="580"/>
        <v/>
      </c>
    </row>
    <row r="3885" spans="2:7">
      <c r="B3885" s="46"/>
      <c r="C3885" t="str">
        <f t="shared" si="576"/>
        <v/>
      </c>
      <c r="D3885" s="63" t="str">
        <f t="shared" si="577"/>
        <v/>
      </c>
      <c r="E3885" t="str">
        <f t="shared" si="578"/>
        <v/>
      </c>
      <c r="F3885" t="str">
        <f t="shared" si="579"/>
        <v/>
      </c>
      <c r="G3885">
        <f t="shared" si="580"/>
        <v>3.84591194968553</v>
      </c>
    </row>
    <row r="3886" spans="2:7">
      <c r="B3886" s="46"/>
      <c r="C3886">
        <f t="shared" si="576"/>
        <v>0.844907407407407</v>
      </c>
      <c r="D3886" s="63" t="str">
        <f t="shared" si="577"/>
        <v/>
      </c>
      <c r="E3886" t="str">
        <f t="shared" si="578"/>
        <v/>
      </c>
      <c r="F3886" t="str">
        <f t="shared" si="579"/>
        <v/>
      </c>
      <c r="G3886" t="str">
        <f t="shared" si="580"/>
        <v/>
      </c>
    </row>
    <row r="3887" spans="2:7">
      <c r="B3887" s="46"/>
      <c r="C3887">
        <f t="shared" si="576"/>
        <v>6.79803240740741</v>
      </c>
      <c r="D3887" s="63" t="str">
        <f t="shared" si="577"/>
        <v/>
      </c>
      <c r="E3887" t="str">
        <f t="shared" si="578"/>
        <v/>
      </c>
      <c r="F3887" t="str">
        <f t="shared" si="579"/>
        <v/>
      </c>
      <c r="G3887" t="str">
        <f t="shared" si="580"/>
        <v/>
      </c>
    </row>
    <row r="3888" spans="2:7">
      <c r="B3888" s="46"/>
      <c r="C3888">
        <f t="shared" si="576"/>
        <v>6.79803240740741</v>
      </c>
      <c r="D3888" s="63" t="str">
        <f t="shared" si="577"/>
        <v/>
      </c>
      <c r="E3888" t="str">
        <f t="shared" si="578"/>
        <v/>
      </c>
      <c r="F3888" t="str">
        <f t="shared" si="579"/>
        <v/>
      </c>
      <c r="G3888" t="str">
        <f t="shared" si="580"/>
        <v/>
      </c>
    </row>
    <row r="3889" spans="2:7">
      <c r="B3889" s="46"/>
      <c r="C3889">
        <f t="shared" si="576"/>
        <v>7.52719907407408</v>
      </c>
      <c r="D3889" s="63" t="str">
        <f t="shared" si="577"/>
        <v/>
      </c>
      <c r="E3889" t="str">
        <f t="shared" si="578"/>
        <v/>
      </c>
      <c r="F3889" t="str">
        <f t="shared" si="579"/>
        <v/>
      </c>
      <c r="G3889" t="str">
        <f t="shared" si="580"/>
        <v/>
      </c>
    </row>
    <row r="3890" spans="2:7">
      <c r="B3890" s="46"/>
      <c r="C3890" t="str">
        <f t="shared" si="576"/>
        <v/>
      </c>
      <c r="D3890" s="63">
        <f t="shared" si="577"/>
        <v>2.7881455399061</v>
      </c>
      <c r="E3890" t="str">
        <f t="shared" si="578"/>
        <v/>
      </c>
      <c r="F3890" t="str">
        <f t="shared" si="579"/>
        <v/>
      </c>
      <c r="G3890" t="str">
        <f t="shared" si="580"/>
        <v/>
      </c>
    </row>
    <row r="3891" spans="2:7">
      <c r="B3891" s="46"/>
      <c r="C3891" t="str">
        <f t="shared" si="576"/>
        <v/>
      </c>
      <c r="D3891" s="63">
        <f t="shared" si="577"/>
        <v>4.47535211267606</v>
      </c>
      <c r="E3891" t="str">
        <f t="shared" si="578"/>
        <v/>
      </c>
      <c r="F3891" t="str">
        <f t="shared" si="579"/>
        <v/>
      </c>
      <c r="G3891" t="str">
        <f t="shared" si="580"/>
        <v/>
      </c>
    </row>
    <row r="3892" spans="2:7">
      <c r="B3892" s="46"/>
      <c r="C3892" t="str">
        <f t="shared" si="576"/>
        <v/>
      </c>
      <c r="D3892" s="63">
        <f t="shared" si="577"/>
        <v>6.10680751173709</v>
      </c>
      <c r="E3892" t="str">
        <f t="shared" si="578"/>
        <v/>
      </c>
      <c r="F3892" t="str">
        <f t="shared" si="579"/>
        <v/>
      </c>
      <c r="G3892" t="str">
        <f t="shared" si="580"/>
        <v/>
      </c>
    </row>
    <row r="3893" spans="2:7">
      <c r="B3893" s="46"/>
      <c r="C3893" t="str">
        <f t="shared" si="576"/>
        <v/>
      </c>
      <c r="D3893" s="63">
        <f t="shared" si="577"/>
        <v>8.50821596244131</v>
      </c>
      <c r="E3893" t="str">
        <f t="shared" si="578"/>
        <v/>
      </c>
      <c r="F3893" t="str">
        <f t="shared" si="579"/>
        <v/>
      </c>
      <c r="G3893" t="str">
        <f t="shared" si="580"/>
        <v/>
      </c>
    </row>
    <row r="3894" spans="2:7">
      <c r="B3894" s="46"/>
      <c r="C3894" t="str">
        <f t="shared" si="576"/>
        <v/>
      </c>
      <c r="D3894" s="63">
        <f t="shared" si="577"/>
        <v>10.268779342723</v>
      </c>
      <c r="E3894" t="str">
        <f t="shared" si="578"/>
        <v/>
      </c>
      <c r="F3894" t="str">
        <f t="shared" si="579"/>
        <v/>
      </c>
      <c r="G3894" t="str">
        <f t="shared" si="580"/>
        <v/>
      </c>
    </row>
    <row r="3895" spans="2:7">
      <c r="B3895" s="46"/>
      <c r="C3895" t="str">
        <f t="shared" si="576"/>
        <v/>
      </c>
      <c r="D3895" s="63" t="str">
        <f t="shared" si="577"/>
        <v/>
      </c>
      <c r="E3895" t="str">
        <f t="shared" si="578"/>
        <v/>
      </c>
      <c r="F3895" t="str">
        <f t="shared" si="579"/>
        <v/>
      </c>
      <c r="G3895">
        <f t="shared" si="580"/>
        <v>7.67610062893082</v>
      </c>
    </row>
    <row r="3896" spans="2:7">
      <c r="B3896" s="46"/>
      <c r="C3896" t="str">
        <f t="shared" si="576"/>
        <v/>
      </c>
      <c r="D3896" s="63" t="str">
        <f t="shared" si="577"/>
        <v/>
      </c>
      <c r="E3896" t="str">
        <f t="shared" si="578"/>
        <v/>
      </c>
      <c r="F3896" t="str">
        <f t="shared" si="579"/>
        <v/>
      </c>
      <c r="G3896">
        <f t="shared" si="580"/>
        <v>10.3836477987421</v>
      </c>
    </row>
    <row r="3897" spans="2:7">
      <c r="B3897" s="46"/>
      <c r="C3897" t="str">
        <f t="shared" si="576"/>
        <v/>
      </c>
      <c r="D3897" s="63" t="str">
        <f t="shared" si="577"/>
        <v/>
      </c>
      <c r="E3897" t="str">
        <f t="shared" si="578"/>
        <v/>
      </c>
      <c r="F3897" t="str">
        <f t="shared" si="579"/>
        <v/>
      </c>
      <c r="G3897">
        <f t="shared" si="580"/>
        <v>13.2138364779874</v>
      </c>
    </row>
    <row r="3898" spans="2:7">
      <c r="B3898" s="46"/>
      <c r="C3898" t="str">
        <f t="shared" si="576"/>
        <v/>
      </c>
      <c r="D3898" s="63" t="str">
        <f t="shared" si="577"/>
        <v/>
      </c>
      <c r="E3898" t="str">
        <f t="shared" si="578"/>
        <v/>
      </c>
      <c r="F3898" t="str">
        <f t="shared" si="579"/>
        <v/>
      </c>
      <c r="G3898">
        <f t="shared" si="580"/>
        <v>14.7243186582809</v>
      </c>
    </row>
    <row r="3899" spans="2:7">
      <c r="B3899" s="46"/>
      <c r="C3899" t="str">
        <f t="shared" si="576"/>
        <v/>
      </c>
      <c r="D3899" s="63" t="str">
        <f t="shared" si="577"/>
        <v/>
      </c>
      <c r="E3899" t="str">
        <f t="shared" si="578"/>
        <v/>
      </c>
      <c r="F3899">
        <f t="shared" si="579"/>
        <v>9.17630385487529</v>
      </c>
      <c r="G3899" t="str">
        <f t="shared" si="580"/>
        <v/>
      </c>
    </row>
    <row r="3900" spans="2:7">
      <c r="B3900" s="46"/>
      <c r="C3900" t="str">
        <f t="shared" si="576"/>
        <v/>
      </c>
      <c r="D3900" s="63" t="str">
        <f t="shared" si="577"/>
        <v/>
      </c>
      <c r="E3900" t="str">
        <f t="shared" si="578"/>
        <v/>
      </c>
      <c r="F3900">
        <f t="shared" si="579"/>
        <v>12.328231292517</v>
      </c>
      <c r="G3900" t="str">
        <f t="shared" si="580"/>
        <v/>
      </c>
    </row>
    <row r="3901" spans="2:7">
      <c r="B3901" s="46"/>
      <c r="C3901" t="str">
        <f t="shared" si="576"/>
        <v/>
      </c>
      <c r="D3901" s="63" t="str">
        <f t="shared" si="577"/>
        <v/>
      </c>
      <c r="E3901" t="str">
        <f t="shared" si="578"/>
        <v/>
      </c>
      <c r="F3901">
        <f t="shared" si="579"/>
        <v>15.0017006802721</v>
      </c>
      <c r="G3901" t="str">
        <f t="shared" si="580"/>
        <v/>
      </c>
    </row>
    <row r="3902" spans="2:7">
      <c r="B3902" s="46"/>
      <c r="C3902">
        <f t="shared" si="576"/>
        <v>10.328125</v>
      </c>
      <c r="D3902" s="63" t="str">
        <f t="shared" si="577"/>
        <v/>
      </c>
      <c r="E3902" t="str">
        <f t="shared" si="578"/>
        <v/>
      </c>
      <c r="F3902" t="str">
        <f t="shared" si="579"/>
        <v/>
      </c>
      <c r="G3902" t="str">
        <f t="shared" si="580"/>
        <v/>
      </c>
    </row>
    <row r="3903" spans="2:7">
      <c r="B3903" s="46"/>
      <c r="C3903">
        <f t="shared" si="576"/>
        <v>14.5908564814815</v>
      </c>
      <c r="D3903" s="63" t="str">
        <f t="shared" si="577"/>
        <v/>
      </c>
      <c r="E3903" t="str">
        <f t="shared" si="578"/>
        <v/>
      </c>
      <c r="F3903" t="str">
        <f t="shared" si="579"/>
        <v/>
      </c>
      <c r="G3903" t="str">
        <f t="shared" si="580"/>
        <v/>
      </c>
    </row>
    <row r="3904" spans="2:7">
      <c r="B3904" s="46"/>
      <c r="C3904">
        <f t="shared" si="576"/>
        <v>14.9409722222222</v>
      </c>
      <c r="D3904" s="63" t="str">
        <f t="shared" si="577"/>
        <v/>
      </c>
      <c r="E3904" t="str">
        <f t="shared" si="578"/>
        <v/>
      </c>
      <c r="F3904" t="str">
        <f t="shared" si="579"/>
        <v/>
      </c>
      <c r="G3904" t="str">
        <f t="shared" si="580"/>
        <v/>
      </c>
    </row>
    <row r="3905" spans="2:7">
      <c r="B3905" s="46"/>
      <c r="C3905">
        <f t="shared" si="576"/>
        <v>19.2465277777778</v>
      </c>
      <c r="D3905" s="63" t="str">
        <f t="shared" si="577"/>
        <v/>
      </c>
      <c r="E3905" t="str">
        <f t="shared" si="578"/>
        <v/>
      </c>
      <c r="F3905" t="str">
        <f t="shared" si="579"/>
        <v/>
      </c>
      <c r="G3905" t="str">
        <f t="shared" si="580"/>
        <v/>
      </c>
    </row>
    <row r="3906" spans="2:7">
      <c r="B3906" s="46"/>
      <c r="C3906" t="str">
        <f t="shared" si="576"/>
        <v/>
      </c>
      <c r="D3906" s="63">
        <f t="shared" si="577"/>
        <v>15.0340375586854</v>
      </c>
      <c r="E3906" t="str">
        <f t="shared" si="578"/>
        <v/>
      </c>
      <c r="F3906" t="str">
        <f t="shared" si="579"/>
        <v/>
      </c>
      <c r="G3906" t="str">
        <f t="shared" si="580"/>
        <v/>
      </c>
    </row>
    <row r="3907" spans="2:7">
      <c r="B3907" s="46"/>
      <c r="C3907" t="str">
        <f t="shared" si="576"/>
        <v/>
      </c>
      <c r="D3907" s="63">
        <f t="shared" si="577"/>
        <v>15.0340375586854</v>
      </c>
      <c r="E3907" t="str">
        <f t="shared" si="578"/>
        <v/>
      </c>
      <c r="F3907" t="str">
        <f t="shared" si="579"/>
        <v/>
      </c>
      <c r="G3907" t="str">
        <f t="shared" si="580"/>
        <v/>
      </c>
    </row>
    <row r="3908" spans="2:7">
      <c r="B3908" s="46"/>
      <c r="C3908" t="str">
        <f t="shared" si="576"/>
        <v/>
      </c>
      <c r="D3908" s="63">
        <f t="shared" si="577"/>
        <v>16.1343896713615</v>
      </c>
      <c r="E3908" t="str">
        <f t="shared" si="578"/>
        <v/>
      </c>
      <c r="F3908" t="str">
        <f t="shared" si="579"/>
        <v/>
      </c>
      <c r="G3908" t="str">
        <f t="shared" si="580"/>
        <v/>
      </c>
    </row>
    <row r="3909" spans="2:7">
      <c r="B3909" s="46"/>
      <c r="C3909" t="str">
        <f t="shared" si="576"/>
        <v/>
      </c>
      <c r="D3909" s="63">
        <f t="shared" si="577"/>
        <v>16.8620892018779</v>
      </c>
      <c r="E3909" t="str">
        <f t="shared" si="578"/>
        <v/>
      </c>
      <c r="F3909" t="str">
        <f t="shared" si="579"/>
        <v/>
      </c>
      <c r="G3909" t="str">
        <f t="shared" si="580"/>
        <v/>
      </c>
    </row>
    <row r="3910" spans="2:7">
      <c r="B3910" s="46"/>
      <c r="C3910" t="str">
        <f t="shared" si="576"/>
        <v/>
      </c>
      <c r="D3910" s="63" t="str">
        <f t="shared" si="577"/>
        <v/>
      </c>
      <c r="E3910">
        <f t="shared" si="578"/>
        <v>16.1245098039216</v>
      </c>
      <c r="F3910" t="str">
        <f t="shared" si="579"/>
        <v/>
      </c>
      <c r="G3910" t="str">
        <f t="shared" si="580"/>
        <v/>
      </c>
    </row>
    <row r="3911" spans="2:7">
      <c r="B3911" s="46"/>
      <c r="C3911" t="str">
        <f t="shared" si="576"/>
        <v/>
      </c>
      <c r="D3911" s="63" t="str">
        <f t="shared" si="577"/>
        <v/>
      </c>
      <c r="E3911">
        <f t="shared" si="578"/>
        <v>17.9225490196078</v>
      </c>
      <c r="F3911" t="str">
        <f t="shared" si="579"/>
        <v/>
      </c>
      <c r="G3911" t="str">
        <f t="shared" si="580"/>
        <v/>
      </c>
    </row>
    <row r="3912" spans="2:7">
      <c r="B3912" s="46"/>
      <c r="C3912" t="str">
        <f t="shared" si="576"/>
        <v/>
      </c>
      <c r="D3912" s="63" t="str">
        <f t="shared" si="577"/>
        <v/>
      </c>
      <c r="E3912">
        <f t="shared" si="578"/>
        <v>18.7166666666667</v>
      </c>
      <c r="F3912" t="str">
        <f t="shared" si="579"/>
        <v/>
      </c>
      <c r="G3912" t="str">
        <f t="shared" si="580"/>
        <v/>
      </c>
    </row>
    <row r="3913" spans="2:7">
      <c r="B3913" s="46"/>
      <c r="C3913" t="str">
        <f t="shared" si="576"/>
        <v/>
      </c>
      <c r="D3913" s="63" t="str">
        <f t="shared" si="577"/>
        <v/>
      </c>
      <c r="E3913">
        <f t="shared" si="578"/>
        <v>18.9539215686275</v>
      </c>
      <c r="F3913" t="str">
        <f t="shared" si="579"/>
        <v/>
      </c>
      <c r="G3913" t="str">
        <f t="shared" si="580"/>
        <v/>
      </c>
    </row>
    <row r="3914" spans="2:7">
      <c r="B3914" s="46"/>
      <c r="C3914" t="str">
        <f t="shared" si="576"/>
        <v/>
      </c>
      <c r="D3914" s="63" t="str">
        <f t="shared" si="577"/>
        <v/>
      </c>
      <c r="E3914" t="str">
        <f t="shared" si="578"/>
        <v/>
      </c>
      <c r="F3914" t="str">
        <f t="shared" si="579"/>
        <v/>
      </c>
      <c r="G3914">
        <f t="shared" si="580"/>
        <v>15.4449685534591</v>
      </c>
    </row>
    <row r="3915" spans="2:7">
      <c r="B3915" s="46"/>
      <c r="C3915" t="str">
        <f t="shared" si="576"/>
        <v/>
      </c>
      <c r="D3915" s="63" t="str">
        <f t="shared" si="577"/>
        <v/>
      </c>
      <c r="E3915" t="str">
        <f t="shared" si="578"/>
        <v/>
      </c>
      <c r="F3915" t="str">
        <f t="shared" si="579"/>
        <v/>
      </c>
      <c r="G3915">
        <f t="shared" si="580"/>
        <v>16.4669811320755</v>
      </c>
    </row>
    <row r="3916" spans="2:7">
      <c r="B3916" s="46"/>
      <c r="C3916" t="str">
        <f t="shared" si="576"/>
        <v/>
      </c>
      <c r="D3916" s="63" t="str">
        <f t="shared" si="577"/>
        <v/>
      </c>
      <c r="E3916" t="str">
        <f t="shared" si="578"/>
        <v/>
      </c>
      <c r="F3916" t="str">
        <f t="shared" si="579"/>
        <v/>
      </c>
      <c r="G3916">
        <f t="shared" si="580"/>
        <v>17.7877358490566</v>
      </c>
    </row>
    <row r="3917" spans="2:7">
      <c r="B3917" s="46"/>
      <c r="C3917" t="str">
        <f t="shared" si="576"/>
        <v/>
      </c>
      <c r="D3917" s="63" t="str">
        <f t="shared" si="577"/>
        <v/>
      </c>
      <c r="E3917" t="str">
        <f t="shared" si="578"/>
        <v/>
      </c>
      <c r="F3917" t="str">
        <f t="shared" si="579"/>
        <v/>
      </c>
      <c r="G3917">
        <f t="shared" si="580"/>
        <v>18.377358490566</v>
      </c>
    </row>
    <row r="3918" spans="2:7">
      <c r="B3918" s="46"/>
      <c r="C3918" t="str">
        <f t="shared" si="576"/>
        <v/>
      </c>
      <c r="D3918" s="63" t="str">
        <f t="shared" si="577"/>
        <v/>
      </c>
      <c r="E3918" t="str">
        <f t="shared" si="578"/>
        <v/>
      </c>
      <c r="F3918">
        <f t="shared" si="579"/>
        <v>15.4234693877551</v>
      </c>
      <c r="G3918" t="str">
        <f t="shared" si="580"/>
        <v/>
      </c>
    </row>
    <row r="3919" spans="2:7">
      <c r="B3919" s="46"/>
      <c r="C3919" t="str">
        <f t="shared" si="576"/>
        <v/>
      </c>
      <c r="D3919" s="63" t="str">
        <f t="shared" si="577"/>
        <v/>
      </c>
      <c r="E3919" t="str">
        <f t="shared" si="578"/>
        <v/>
      </c>
      <c r="F3919">
        <f t="shared" si="579"/>
        <v>16.7698412698413</v>
      </c>
      <c r="G3919" t="str">
        <f t="shared" si="580"/>
        <v/>
      </c>
    </row>
    <row r="3920" spans="2:7">
      <c r="B3920" s="46"/>
      <c r="C3920" t="str">
        <f t="shared" si="576"/>
        <v/>
      </c>
      <c r="D3920" s="63" t="str">
        <f t="shared" si="577"/>
        <v/>
      </c>
      <c r="E3920" t="str">
        <f t="shared" si="578"/>
        <v/>
      </c>
      <c r="F3920">
        <f t="shared" si="579"/>
        <v>18.109410430839</v>
      </c>
      <c r="G3920" t="str">
        <f t="shared" si="580"/>
        <v/>
      </c>
    </row>
    <row r="3921" spans="2:7">
      <c r="B3921" s="46"/>
      <c r="C3921" t="str">
        <f t="shared" si="576"/>
        <v/>
      </c>
      <c r="D3921" s="63" t="str">
        <f t="shared" si="577"/>
        <v/>
      </c>
      <c r="E3921" t="str">
        <f t="shared" si="578"/>
        <v/>
      </c>
      <c r="F3921">
        <f t="shared" si="579"/>
        <v>20.1581632653061</v>
      </c>
      <c r="G3921" t="str">
        <f t="shared" si="580"/>
        <v/>
      </c>
    </row>
    <row r="3922" spans="2:7">
      <c r="B3922" s="46"/>
      <c r="C3922" t="str">
        <f t="shared" si="576"/>
        <v/>
      </c>
      <c r="D3922" s="63" t="str">
        <f t="shared" si="577"/>
        <v/>
      </c>
      <c r="E3922" t="str">
        <f t="shared" si="578"/>
        <v/>
      </c>
      <c r="F3922">
        <f t="shared" si="579"/>
        <v>22.1581632653061</v>
      </c>
      <c r="G3922" t="str">
        <f t="shared" si="580"/>
        <v/>
      </c>
    </row>
    <row r="3923" spans="2:7">
      <c r="B3923" s="46"/>
      <c r="C3923" t="str">
        <f t="shared" si="576"/>
        <v/>
      </c>
      <c r="D3923" s="63" t="str">
        <f t="shared" si="577"/>
        <v/>
      </c>
      <c r="E3923" t="str">
        <f t="shared" si="578"/>
        <v/>
      </c>
      <c r="F3923">
        <f t="shared" si="579"/>
        <v>22.8781179138322</v>
      </c>
      <c r="G3923" t="str">
        <f t="shared" si="580"/>
        <v/>
      </c>
    </row>
    <row r="3924" spans="2:7">
      <c r="B3924" s="46"/>
      <c r="C3924" t="str">
        <f t="shared" si="576"/>
        <v/>
      </c>
      <c r="D3924" s="63">
        <f t="shared" si="577"/>
        <v>17.3022300469484</v>
      </c>
      <c r="E3924" t="str">
        <f t="shared" si="578"/>
        <v/>
      </c>
      <c r="F3924" t="str">
        <f t="shared" si="579"/>
        <v/>
      </c>
      <c r="G3924" t="str">
        <f t="shared" si="580"/>
        <v/>
      </c>
    </row>
    <row r="3925" spans="2:7">
      <c r="B3925" s="46"/>
      <c r="C3925" t="str">
        <f t="shared" si="576"/>
        <v/>
      </c>
      <c r="D3925" s="63">
        <f t="shared" si="577"/>
        <v>22.837441314554</v>
      </c>
      <c r="E3925" t="str">
        <f t="shared" si="578"/>
        <v/>
      </c>
      <c r="F3925" t="str">
        <f t="shared" si="579"/>
        <v/>
      </c>
      <c r="G3925" t="str">
        <f t="shared" si="580"/>
        <v/>
      </c>
    </row>
    <row r="3926" spans="2:7">
      <c r="B3926" s="46"/>
      <c r="C3926" t="str">
        <f t="shared" si="576"/>
        <v/>
      </c>
      <c r="D3926" s="63">
        <f t="shared" si="577"/>
        <v>23.7089201877934</v>
      </c>
      <c r="E3926" t="str">
        <f t="shared" si="578"/>
        <v/>
      </c>
      <c r="F3926" t="str">
        <f t="shared" si="579"/>
        <v/>
      </c>
      <c r="G3926" t="str">
        <f t="shared" si="580"/>
        <v/>
      </c>
    </row>
    <row r="3927" spans="2:7">
      <c r="B3927" s="46"/>
      <c r="C3927" t="str">
        <f t="shared" si="576"/>
        <v/>
      </c>
      <c r="D3927" s="63">
        <f t="shared" si="577"/>
        <v>24.3427230046948</v>
      </c>
      <c r="E3927" t="str">
        <f t="shared" si="578"/>
        <v/>
      </c>
      <c r="F3927" t="str">
        <f t="shared" si="579"/>
        <v/>
      </c>
      <c r="G3927" t="str">
        <f t="shared" si="580"/>
        <v/>
      </c>
    </row>
    <row r="3928" spans="2:7">
      <c r="B3928" s="46"/>
      <c r="C3928" t="str">
        <f t="shared" si="576"/>
        <v/>
      </c>
      <c r="D3928" s="63">
        <f t="shared" si="577"/>
        <v>27.5704225352113</v>
      </c>
      <c r="E3928" t="str">
        <f t="shared" si="578"/>
        <v/>
      </c>
      <c r="F3928" t="str">
        <f t="shared" si="579"/>
        <v/>
      </c>
      <c r="G3928" t="str">
        <f t="shared" si="580"/>
        <v/>
      </c>
    </row>
    <row r="3929" spans="2:7">
      <c r="B3929" s="46"/>
      <c r="C3929" t="str">
        <f t="shared" si="576"/>
        <v/>
      </c>
      <c r="D3929" s="63" t="str">
        <f t="shared" si="577"/>
        <v/>
      </c>
      <c r="E3929" t="str">
        <f t="shared" si="578"/>
        <v/>
      </c>
      <c r="F3929" t="str">
        <f t="shared" si="579"/>
        <v/>
      </c>
      <c r="G3929">
        <f t="shared" si="580"/>
        <v>19.1949685534591</v>
      </c>
    </row>
    <row r="3930" spans="2:7">
      <c r="B3930" s="46"/>
      <c r="C3930" t="str">
        <f t="shared" si="576"/>
        <v/>
      </c>
      <c r="D3930" s="63" t="str">
        <f t="shared" si="577"/>
        <v/>
      </c>
      <c r="E3930" t="str">
        <f t="shared" si="578"/>
        <v/>
      </c>
      <c r="F3930" t="str">
        <f t="shared" si="579"/>
        <v/>
      </c>
      <c r="G3930">
        <f t="shared" si="580"/>
        <v>21.9606918238994</v>
      </c>
    </row>
    <row r="3931" spans="2:7">
      <c r="B3931" s="46"/>
      <c r="C3931" t="str">
        <f t="shared" si="576"/>
        <v/>
      </c>
      <c r="D3931" s="63" t="str">
        <f t="shared" si="577"/>
        <v/>
      </c>
      <c r="E3931" t="str">
        <f t="shared" si="578"/>
        <v/>
      </c>
      <c r="F3931" t="str">
        <f t="shared" si="579"/>
        <v/>
      </c>
      <c r="G3931">
        <f t="shared" si="580"/>
        <v>21.9606918238994</v>
      </c>
    </row>
    <row r="3932" spans="2:7">
      <c r="B3932" s="46"/>
      <c r="C3932" t="str">
        <f t="shared" si="576"/>
        <v/>
      </c>
      <c r="D3932" s="63" t="str">
        <f t="shared" si="577"/>
        <v/>
      </c>
      <c r="E3932" t="str">
        <f t="shared" si="578"/>
        <v/>
      </c>
      <c r="F3932" t="str">
        <f t="shared" si="579"/>
        <v/>
      </c>
      <c r="G3932">
        <f t="shared" si="580"/>
        <v>25.2222222222222</v>
      </c>
    </row>
    <row r="3933" spans="2:7">
      <c r="B3933" s="46"/>
      <c r="C3933" t="str">
        <f t="shared" si="576"/>
        <v/>
      </c>
      <c r="D3933" s="63" t="str">
        <f t="shared" si="577"/>
        <v/>
      </c>
      <c r="E3933">
        <f t="shared" si="578"/>
        <v>22.268137254902</v>
      </c>
      <c r="F3933" t="str">
        <f t="shared" si="579"/>
        <v/>
      </c>
      <c r="G3933" t="str">
        <f t="shared" si="580"/>
        <v/>
      </c>
    </row>
    <row r="3934" spans="2:7">
      <c r="B3934" s="46"/>
      <c r="C3934" t="str">
        <f t="shared" si="576"/>
        <v/>
      </c>
      <c r="D3934" s="63" t="str">
        <f t="shared" si="577"/>
        <v/>
      </c>
      <c r="E3934">
        <f t="shared" si="578"/>
        <v>22.268137254902</v>
      </c>
      <c r="F3934" t="str">
        <f t="shared" si="579"/>
        <v/>
      </c>
      <c r="G3934" t="str">
        <f t="shared" si="580"/>
        <v/>
      </c>
    </row>
    <row r="3935" spans="2:7">
      <c r="B3935" s="46"/>
      <c r="C3935" t="str">
        <f t="shared" si="576"/>
        <v/>
      </c>
      <c r="D3935" s="63" t="str">
        <f t="shared" si="577"/>
        <v/>
      </c>
      <c r="E3935">
        <f t="shared" si="578"/>
        <v>24.6995098039216</v>
      </c>
      <c r="F3935" t="str">
        <f t="shared" si="579"/>
        <v/>
      </c>
      <c r="G3935" t="str">
        <f t="shared" si="580"/>
        <v/>
      </c>
    </row>
    <row r="3936" spans="2:7">
      <c r="B3936" s="46"/>
      <c r="C3936" t="str">
        <f t="shared" si="576"/>
        <v/>
      </c>
      <c r="D3936" s="63" t="str">
        <f t="shared" si="577"/>
        <v/>
      </c>
      <c r="E3936">
        <f t="shared" si="578"/>
        <v>25.3416666666667</v>
      </c>
      <c r="F3936" t="str">
        <f t="shared" si="579"/>
        <v/>
      </c>
      <c r="G3936" t="str">
        <f t="shared" si="580"/>
        <v/>
      </c>
    </row>
    <row r="3937" spans="2:7">
      <c r="B3937" s="46"/>
      <c r="C3937">
        <f t="shared" si="576"/>
        <v>19.5358796296296</v>
      </c>
      <c r="D3937" s="63" t="str">
        <f t="shared" si="577"/>
        <v/>
      </c>
      <c r="E3937" t="str">
        <f t="shared" si="578"/>
        <v/>
      </c>
      <c r="F3937" t="str">
        <f t="shared" si="579"/>
        <v/>
      </c>
      <c r="G3937" t="str">
        <f t="shared" si="580"/>
        <v/>
      </c>
    </row>
    <row r="3938" spans="2:7">
      <c r="B3938" s="46"/>
      <c r="C3938">
        <f t="shared" si="576"/>
        <v>20.1608796296296</v>
      </c>
      <c r="D3938" s="63" t="str">
        <f t="shared" si="577"/>
        <v/>
      </c>
      <c r="E3938" t="str">
        <f t="shared" si="578"/>
        <v/>
      </c>
      <c r="F3938" t="str">
        <f t="shared" si="579"/>
        <v/>
      </c>
      <c r="G3938" t="str">
        <f t="shared" si="580"/>
        <v/>
      </c>
    </row>
    <row r="3939" spans="2:7">
      <c r="B3939" s="46"/>
      <c r="C3939">
        <f t="shared" si="576"/>
        <v>21.7233796296296</v>
      </c>
      <c r="D3939" s="63" t="str">
        <f t="shared" si="577"/>
        <v/>
      </c>
      <c r="E3939" t="str">
        <f t="shared" si="578"/>
        <v/>
      </c>
      <c r="F3939" t="str">
        <f t="shared" si="579"/>
        <v/>
      </c>
      <c r="G3939" t="str">
        <f t="shared" si="580"/>
        <v/>
      </c>
    </row>
    <row r="3940" spans="2:7">
      <c r="B3940" s="46"/>
      <c r="C3940">
        <f t="shared" si="576"/>
        <v>22.7054398148148</v>
      </c>
      <c r="D3940" s="63" t="str">
        <f t="shared" si="577"/>
        <v/>
      </c>
      <c r="E3940" t="str">
        <f t="shared" si="578"/>
        <v/>
      </c>
      <c r="F3940" t="str">
        <f t="shared" si="579"/>
        <v/>
      </c>
      <c r="G3940" t="str">
        <f t="shared" si="580"/>
        <v/>
      </c>
    </row>
    <row r="3941" spans="2:7">
      <c r="B3941" s="46"/>
      <c r="C3941">
        <f t="shared" si="576"/>
        <v>22.7054398148148</v>
      </c>
      <c r="D3941" s="63" t="str">
        <f t="shared" si="577"/>
        <v/>
      </c>
      <c r="E3941" t="str">
        <f t="shared" si="578"/>
        <v/>
      </c>
      <c r="F3941" t="str">
        <f t="shared" si="579"/>
        <v/>
      </c>
      <c r="G3941" t="str">
        <f t="shared" si="580"/>
        <v/>
      </c>
    </row>
    <row r="3942" spans="2:7">
      <c r="B3942" s="46"/>
      <c r="C3942">
        <f t="shared" ref="C3942:C3959" si="581">IF(J72=1,S72,"")</f>
        <v>22.8512731481482</v>
      </c>
      <c r="D3942" s="63" t="str">
        <f t="shared" ref="D3942:D3959" si="582">IF(J72=2,S72,"")</f>
        <v/>
      </c>
      <c r="E3942" t="str">
        <f t="shared" ref="E3942:E3959" si="583">IF(J72=3,S72,"")</f>
        <v/>
      </c>
      <c r="F3942" t="str">
        <f t="shared" ref="F3942:F3959" si="584">IF(J72=4,S72,"")</f>
        <v/>
      </c>
      <c r="G3942" t="str">
        <f t="shared" ref="G3942:G3959" si="585">IF(J72=5,S72,"")</f>
        <v/>
      </c>
    </row>
    <row r="3943" spans="2:7">
      <c r="B3943" s="46"/>
      <c r="C3943">
        <f t="shared" si="581"/>
        <v>34.4068287037037</v>
      </c>
      <c r="D3943" s="63" t="str">
        <f t="shared" si="582"/>
        <v/>
      </c>
      <c r="E3943" t="str">
        <f t="shared" si="583"/>
        <v/>
      </c>
      <c r="F3943" t="str">
        <f t="shared" si="584"/>
        <v/>
      </c>
      <c r="G3943" t="str">
        <f t="shared" si="585"/>
        <v/>
      </c>
    </row>
    <row r="3944" spans="2:7">
      <c r="B3944" s="46"/>
      <c r="C3944">
        <f t="shared" si="581"/>
        <v>34.4068287037037</v>
      </c>
      <c r="D3944" s="63" t="str">
        <f t="shared" si="582"/>
        <v/>
      </c>
      <c r="E3944" t="str">
        <f t="shared" si="583"/>
        <v/>
      </c>
      <c r="F3944" t="str">
        <f t="shared" si="584"/>
        <v/>
      </c>
      <c r="G3944" t="str">
        <f t="shared" si="585"/>
        <v/>
      </c>
    </row>
    <row r="3945" spans="2:7">
      <c r="B3945" s="46"/>
      <c r="C3945">
        <f t="shared" si="581"/>
        <v>35.5827546296296</v>
      </c>
      <c r="D3945" s="63" t="str">
        <f t="shared" si="582"/>
        <v/>
      </c>
      <c r="E3945" t="str">
        <f t="shared" si="583"/>
        <v/>
      </c>
      <c r="F3945" t="str">
        <f t="shared" si="584"/>
        <v/>
      </c>
      <c r="G3945" t="str">
        <f t="shared" si="585"/>
        <v/>
      </c>
    </row>
    <row r="3946" spans="2:7">
      <c r="B3946" s="46"/>
      <c r="C3946">
        <f t="shared" si="581"/>
        <v>36.7893518518519</v>
      </c>
      <c r="D3946" s="63" t="str">
        <f t="shared" si="582"/>
        <v/>
      </c>
      <c r="E3946" t="str">
        <f t="shared" si="583"/>
        <v/>
      </c>
      <c r="F3946" t="str">
        <f t="shared" si="584"/>
        <v/>
      </c>
      <c r="G3946" t="str">
        <f t="shared" si="585"/>
        <v/>
      </c>
    </row>
    <row r="3947" spans="2:7">
      <c r="B3947" s="46"/>
      <c r="C3947" t="str">
        <f t="shared" si="581"/>
        <v/>
      </c>
      <c r="D3947" s="63" t="str">
        <f t="shared" si="582"/>
        <v/>
      </c>
      <c r="E3947" t="str">
        <f t="shared" si="583"/>
        <v/>
      </c>
      <c r="F3947">
        <f t="shared" si="584"/>
        <v>23.4404761904762</v>
      </c>
      <c r="G3947" t="str">
        <f t="shared" si="585"/>
        <v/>
      </c>
    </row>
    <row r="3948" spans="2:7">
      <c r="B3948" s="46"/>
      <c r="C3948" t="str">
        <f t="shared" si="581"/>
        <v/>
      </c>
      <c r="D3948" s="63" t="str">
        <f t="shared" si="582"/>
        <v/>
      </c>
      <c r="E3948" t="str">
        <f t="shared" si="583"/>
        <v/>
      </c>
      <c r="F3948">
        <f t="shared" si="584"/>
        <v>24.3616780045352</v>
      </c>
      <c r="G3948" t="str">
        <f t="shared" si="585"/>
        <v/>
      </c>
    </row>
    <row r="3949" spans="2:7">
      <c r="B3949" s="46"/>
      <c r="C3949" t="str">
        <f t="shared" si="581"/>
        <v/>
      </c>
      <c r="D3949" s="63" t="str">
        <f t="shared" si="582"/>
        <v/>
      </c>
      <c r="E3949" t="str">
        <f t="shared" si="583"/>
        <v/>
      </c>
      <c r="F3949">
        <f t="shared" si="584"/>
        <v>25.8378684807256</v>
      </c>
      <c r="G3949" t="str">
        <f t="shared" si="585"/>
        <v/>
      </c>
    </row>
    <row r="3950" spans="2:7">
      <c r="B3950" s="46"/>
      <c r="C3950" t="str">
        <f t="shared" si="581"/>
        <v/>
      </c>
      <c r="D3950" s="63" t="str">
        <f t="shared" si="582"/>
        <v/>
      </c>
      <c r="E3950" t="str">
        <f t="shared" si="583"/>
        <v/>
      </c>
      <c r="F3950">
        <f t="shared" si="584"/>
        <v>29.4625850340136</v>
      </c>
      <c r="G3950" t="str">
        <f t="shared" si="585"/>
        <v/>
      </c>
    </row>
    <row r="3951" spans="2:7">
      <c r="B3951" s="46"/>
      <c r="C3951" t="str">
        <f t="shared" si="581"/>
        <v/>
      </c>
      <c r="D3951" s="63" t="str">
        <f t="shared" si="582"/>
        <v/>
      </c>
      <c r="E3951" t="str">
        <f t="shared" si="583"/>
        <v/>
      </c>
      <c r="F3951">
        <f t="shared" si="584"/>
        <v>30.092970521542</v>
      </c>
      <c r="G3951" t="str">
        <f t="shared" si="585"/>
        <v/>
      </c>
    </row>
    <row r="3952" spans="2:7">
      <c r="B3952" s="46"/>
      <c r="C3952" t="str">
        <f t="shared" si="581"/>
        <v/>
      </c>
      <c r="D3952" s="63" t="str">
        <f t="shared" si="582"/>
        <v/>
      </c>
      <c r="E3952" t="str">
        <f t="shared" si="583"/>
        <v/>
      </c>
      <c r="F3952">
        <f t="shared" si="584"/>
        <v>30.8809523809524</v>
      </c>
      <c r="G3952" t="str">
        <f t="shared" si="585"/>
        <v/>
      </c>
    </row>
    <row r="3953" spans="2:7">
      <c r="B3953" s="46"/>
      <c r="C3953" t="str">
        <f t="shared" si="581"/>
        <v/>
      </c>
      <c r="D3953" s="63" t="str">
        <f t="shared" si="582"/>
        <v/>
      </c>
      <c r="E3953" t="str">
        <f t="shared" si="583"/>
        <v/>
      </c>
      <c r="F3953" t="str">
        <f t="shared" si="584"/>
        <v/>
      </c>
      <c r="G3953">
        <f t="shared" si="585"/>
        <v>26.0235849056604</v>
      </c>
    </row>
    <row r="3954" spans="2:7">
      <c r="B3954" s="46"/>
      <c r="C3954" t="str">
        <f t="shared" si="581"/>
        <v/>
      </c>
      <c r="D3954" s="63" t="str">
        <f t="shared" si="582"/>
        <v/>
      </c>
      <c r="E3954" t="str">
        <f t="shared" si="583"/>
        <v/>
      </c>
      <c r="F3954" t="str">
        <f t="shared" si="584"/>
        <v/>
      </c>
      <c r="G3954">
        <f t="shared" si="585"/>
        <v>26.8977987421384</v>
      </c>
    </row>
    <row r="3955" spans="2:7">
      <c r="B3955" s="46"/>
      <c r="C3955" t="str">
        <f t="shared" si="581"/>
        <v/>
      </c>
      <c r="D3955" s="63" t="str">
        <f t="shared" si="582"/>
        <v/>
      </c>
      <c r="E3955" t="str">
        <f t="shared" si="583"/>
        <v/>
      </c>
      <c r="F3955" t="str">
        <f t="shared" si="584"/>
        <v/>
      </c>
      <c r="G3955">
        <f t="shared" si="585"/>
        <v>27.8448637316562</v>
      </c>
    </row>
    <row r="3956" spans="2:7">
      <c r="B3956" s="46"/>
      <c r="C3956" t="str">
        <f t="shared" si="581"/>
        <v/>
      </c>
      <c r="D3956" s="63" t="str">
        <f t="shared" si="582"/>
        <v/>
      </c>
      <c r="E3956" t="str">
        <f t="shared" si="583"/>
        <v/>
      </c>
      <c r="F3956" t="str">
        <f t="shared" si="584"/>
        <v/>
      </c>
      <c r="G3956">
        <f t="shared" si="585"/>
        <v>29.229035639413</v>
      </c>
    </row>
    <row r="3957" spans="2:7">
      <c r="B3957" s="46"/>
      <c r="C3957" t="str">
        <f t="shared" si="581"/>
        <v/>
      </c>
      <c r="D3957" s="63" t="str">
        <f t="shared" si="582"/>
        <v/>
      </c>
      <c r="E3957">
        <f t="shared" si="583"/>
        <v>25.5460784313725</v>
      </c>
      <c r="F3957" t="str">
        <f t="shared" si="584"/>
        <v/>
      </c>
      <c r="G3957" t="str">
        <f t="shared" si="585"/>
        <v/>
      </c>
    </row>
    <row r="3958" spans="2:7">
      <c r="B3958" s="46"/>
      <c r="C3958" t="str">
        <f t="shared" si="581"/>
        <v/>
      </c>
      <c r="D3958" s="63" t="str">
        <f t="shared" si="582"/>
        <v/>
      </c>
      <c r="E3958">
        <f t="shared" si="583"/>
        <v>28.8676470588235</v>
      </c>
      <c r="F3958" t="str">
        <f t="shared" si="584"/>
        <v/>
      </c>
      <c r="G3958" t="str">
        <f t="shared" si="585"/>
        <v/>
      </c>
    </row>
    <row r="3959" ht="15.75" spans="2:7">
      <c r="B3959" s="46"/>
      <c r="C3959">
        <f t="shared" si="581"/>
        <v>39.1041666666667</v>
      </c>
      <c r="D3959" s="63" t="str">
        <f t="shared" si="582"/>
        <v/>
      </c>
      <c r="E3959" t="str">
        <f t="shared" si="583"/>
        <v/>
      </c>
      <c r="F3959" t="str">
        <f t="shared" si="584"/>
        <v/>
      </c>
      <c r="G3959" t="str">
        <f t="shared" si="585"/>
        <v/>
      </c>
    </row>
    <row r="3960" spans="2:7">
      <c r="B3960" s="74" t="s">
        <v>269</v>
      </c>
      <c r="C3960" s="75">
        <f>MAX(C3878:C3959)</f>
        <v>39.1041666666667</v>
      </c>
      <c r="D3960" s="75">
        <f t="shared" ref="D3960:G3960" si="586">MAX(D3878:D3959)</f>
        <v>27.5704225352113</v>
      </c>
      <c r="E3960" s="75">
        <f t="shared" si="586"/>
        <v>28.8676470588235</v>
      </c>
      <c r="F3960" s="75">
        <f t="shared" si="586"/>
        <v>30.8809523809524</v>
      </c>
      <c r="G3960" s="75">
        <f t="shared" si="586"/>
        <v>29.229035639413</v>
      </c>
    </row>
    <row r="3961" spans="2:7">
      <c r="B3961" s="76" t="s">
        <v>270</v>
      </c>
      <c r="C3961" s="77">
        <v>1</v>
      </c>
      <c r="D3961" s="78">
        <v>2</v>
      </c>
      <c r="E3961">
        <v>3</v>
      </c>
      <c r="F3961">
        <v>4</v>
      </c>
      <c r="G3961">
        <v>5</v>
      </c>
    </row>
    <row r="3962" spans="2:7">
      <c r="B3962" s="79" t="s">
        <v>271</v>
      </c>
      <c r="C3962" s="72">
        <f>HLOOKUP(MIN(C3960:G3960),C3960:G3961,2,FALSE)</f>
        <v>2</v>
      </c>
      <c r="D3962" s="80"/>
    </row>
    <row r="3964" ht="15.75" spans="2:7">
      <c r="B3964" s="43"/>
      <c r="C3964" s="44"/>
      <c r="D3964" s="45"/>
    </row>
    <row r="3966" ht="15.75" spans="2:7">
      <c r="B3966" s="43" t="s">
        <v>353</v>
      </c>
      <c r="C3966" s="44"/>
      <c r="D3966" s="45"/>
    </row>
    <row r="3967" spans="2:7">
      <c r="B3967" s="46"/>
      <c r="C3967" s="61" t="s">
        <v>264</v>
      </c>
      <c r="D3967" s="61" t="s">
        <v>265</v>
      </c>
      <c r="E3967" s="62" t="s">
        <v>286</v>
      </c>
      <c r="F3967" s="62" t="s">
        <v>287</v>
      </c>
      <c r="G3967" s="62" t="s">
        <v>288</v>
      </c>
    </row>
    <row r="3968" spans="2:7">
      <c r="B3968" s="46"/>
      <c r="C3968">
        <f t="shared" ref="C3968:C4031" si="587">IF(J8=1,S8,"")</f>
        <v>0.700231481481482</v>
      </c>
      <c r="D3968" s="63" t="str">
        <f t="shared" ref="D3968:D4031" si="588">IF(J8=2,S8,"")</f>
        <v/>
      </c>
      <c r="E3968" t="str">
        <f t="shared" ref="E3968:E4031" si="589">IF(J8=3,S8,"")</f>
        <v/>
      </c>
      <c r="F3968" t="str">
        <f t="shared" ref="F3968:F4031" si="590">IF(J8=4,S8,"")</f>
        <v/>
      </c>
      <c r="G3968" t="str">
        <f t="shared" ref="G3968:G4031" si="591">IF(J8=5,S8,"")</f>
        <v/>
      </c>
    </row>
    <row r="3969" spans="2:7">
      <c r="B3969" s="46"/>
      <c r="C3969" t="str">
        <f t="shared" si="587"/>
        <v/>
      </c>
      <c r="D3969" s="63">
        <f t="shared" si="588"/>
        <v>0.734154929577465</v>
      </c>
      <c r="E3969" t="str">
        <f t="shared" si="589"/>
        <v/>
      </c>
      <c r="F3969" t="str">
        <f t="shared" si="590"/>
        <v/>
      </c>
      <c r="G3969" t="str">
        <f t="shared" si="591"/>
        <v/>
      </c>
    </row>
    <row r="3970" spans="2:7">
      <c r="B3970" s="46"/>
      <c r="C3970" t="str">
        <f t="shared" si="587"/>
        <v/>
      </c>
      <c r="D3970" s="63" t="str">
        <f t="shared" si="588"/>
        <v/>
      </c>
      <c r="E3970">
        <f t="shared" si="589"/>
        <v>1.83823529411765</v>
      </c>
      <c r="F3970" t="str">
        <f t="shared" si="590"/>
        <v/>
      </c>
      <c r="G3970" t="str">
        <f t="shared" si="591"/>
        <v/>
      </c>
    </row>
    <row r="3971" spans="2:7">
      <c r="B3971" s="46"/>
      <c r="C3971" t="str">
        <f t="shared" si="587"/>
        <v/>
      </c>
      <c r="D3971" s="63" t="str">
        <f t="shared" si="588"/>
        <v/>
      </c>
      <c r="E3971" t="str">
        <f t="shared" si="589"/>
        <v/>
      </c>
      <c r="F3971">
        <f t="shared" si="590"/>
        <v>4.28571428571429</v>
      </c>
      <c r="G3971" t="str">
        <f t="shared" si="591"/>
        <v/>
      </c>
    </row>
    <row r="3972" spans="2:7">
      <c r="B3972" s="46"/>
      <c r="C3972" t="str">
        <f t="shared" si="587"/>
        <v/>
      </c>
      <c r="D3972" s="63" t="str">
        <f t="shared" si="588"/>
        <v/>
      </c>
      <c r="E3972" t="str">
        <f t="shared" si="589"/>
        <v/>
      </c>
      <c r="F3972" t="str">
        <f t="shared" si="590"/>
        <v/>
      </c>
      <c r="G3972">
        <f t="shared" si="591"/>
        <v>3.43396226415094</v>
      </c>
    </row>
    <row r="3973" spans="2:7">
      <c r="B3973" s="46"/>
      <c r="C3973" t="str">
        <f t="shared" si="587"/>
        <v/>
      </c>
      <c r="D3973" s="63" t="str">
        <f t="shared" si="588"/>
        <v/>
      </c>
      <c r="E3973">
        <f t="shared" si="589"/>
        <v>14.5833333333333</v>
      </c>
      <c r="F3973" t="str">
        <f t="shared" si="590"/>
        <v/>
      </c>
      <c r="G3973" t="str">
        <f t="shared" si="591"/>
        <v/>
      </c>
    </row>
    <row r="3974" spans="2:7">
      <c r="B3974" s="46"/>
      <c r="C3974" t="str">
        <f t="shared" si="587"/>
        <v/>
      </c>
      <c r="D3974" s="63" t="str">
        <f t="shared" si="588"/>
        <v/>
      </c>
      <c r="E3974" t="str">
        <f t="shared" si="589"/>
        <v/>
      </c>
      <c r="F3974">
        <f t="shared" si="590"/>
        <v>6.42857142857143</v>
      </c>
      <c r="G3974" t="str">
        <f t="shared" si="591"/>
        <v/>
      </c>
    </row>
    <row r="3975" spans="2:7">
      <c r="B3975" s="46"/>
      <c r="C3975" t="str">
        <f t="shared" si="587"/>
        <v/>
      </c>
      <c r="D3975" s="63" t="str">
        <f t="shared" si="588"/>
        <v/>
      </c>
      <c r="E3975" t="str">
        <f t="shared" si="589"/>
        <v/>
      </c>
      <c r="F3975" t="str">
        <f t="shared" si="590"/>
        <v/>
      </c>
      <c r="G3975">
        <f t="shared" si="591"/>
        <v>3.84591194968553</v>
      </c>
    </row>
    <row r="3976" spans="2:7">
      <c r="B3976" s="46"/>
      <c r="C3976">
        <f t="shared" si="587"/>
        <v>0.844907407407407</v>
      </c>
      <c r="D3976" s="63" t="str">
        <f t="shared" si="588"/>
        <v/>
      </c>
      <c r="E3976" t="str">
        <f t="shared" si="589"/>
        <v/>
      </c>
      <c r="F3976" t="str">
        <f t="shared" si="590"/>
        <v/>
      </c>
      <c r="G3976" t="str">
        <f t="shared" si="591"/>
        <v/>
      </c>
    </row>
    <row r="3977" spans="2:7">
      <c r="B3977" s="46"/>
      <c r="C3977">
        <f t="shared" si="587"/>
        <v>6.79803240740741</v>
      </c>
      <c r="D3977" s="63" t="str">
        <f t="shared" si="588"/>
        <v/>
      </c>
      <c r="E3977" t="str">
        <f t="shared" si="589"/>
        <v/>
      </c>
      <c r="F3977" t="str">
        <f t="shared" si="590"/>
        <v/>
      </c>
      <c r="G3977" t="str">
        <f t="shared" si="591"/>
        <v/>
      </c>
    </row>
    <row r="3978" spans="2:7">
      <c r="B3978" s="46"/>
      <c r="C3978">
        <f t="shared" si="587"/>
        <v>6.79803240740741</v>
      </c>
      <c r="D3978" s="63" t="str">
        <f t="shared" si="588"/>
        <v/>
      </c>
      <c r="E3978" t="str">
        <f t="shared" si="589"/>
        <v/>
      </c>
      <c r="F3978" t="str">
        <f t="shared" si="590"/>
        <v/>
      </c>
      <c r="G3978" t="str">
        <f t="shared" si="591"/>
        <v/>
      </c>
    </row>
    <row r="3979" spans="2:7">
      <c r="B3979" s="46"/>
      <c r="C3979">
        <f t="shared" si="587"/>
        <v>7.52719907407408</v>
      </c>
      <c r="D3979" s="63" t="str">
        <f t="shared" si="588"/>
        <v/>
      </c>
      <c r="E3979" t="str">
        <f t="shared" si="589"/>
        <v/>
      </c>
      <c r="F3979" t="str">
        <f t="shared" si="590"/>
        <v/>
      </c>
      <c r="G3979" t="str">
        <f t="shared" si="591"/>
        <v/>
      </c>
    </row>
    <row r="3980" spans="2:7">
      <c r="B3980" s="46"/>
      <c r="C3980" t="str">
        <f t="shared" si="587"/>
        <v/>
      </c>
      <c r="D3980" s="63">
        <f t="shared" si="588"/>
        <v>2.7881455399061</v>
      </c>
      <c r="E3980" t="str">
        <f t="shared" si="589"/>
        <v/>
      </c>
      <c r="F3980" t="str">
        <f t="shared" si="590"/>
        <v/>
      </c>
      <c r="G3980" t="str">
        <f t="shared" si="591"/>
        <v/>
      </c>
    </row>
    <row r="3981" spans="2:7">
      <c r="B3981" s="46"/>
      <c r="C3981" t="str">
        <f t="shared" si="587"/>
        <v/>
      </c>
      <c r="D3981" s="63">
        <f t="shared" si="588"/>
        <v>4.47535211267606</v>
      </c>
      <c r="E3981" t="str">
        <f t="shared" si="589"/>
        <v/>
      </c>
      <c r="F3981" t="str">
        <f t="shared" si="590"/>
        <v/>
      </c>
      <c r="G3981" t="str">
        <f t="shared" si="591"/>
        <v/>
      </c>
    </row>
    <row r="3982" spans="2:7">
      <c r="B3982" s="46"/>
      <c r="C3982" t="str">
        <f t="shared" si="587"/>
        <v/>
      </c>
      <c r="D3982" s="63">
        <f t="shared" si="588"/>
        <v>6.10680751173709</v>
      </c>
      <c r="E3982" t="str">
        <f t="shared" si="589"/>
        <v/>
      </c>
      <c r="F3982" t="str">
        <f t="shared" si="590"/>
        <v/>
      </c>
      <c r="G3982" t="str">
        <f t="shared" si="591"/>
        <v/>
      </c>
    </row>
    <row r="3983" spans="2:7">
      <c r="B3983" s="46"/>
      <c r="C3983" t="str">
        <f t="shared" si="587"/>
        <v/>
      </c>
      <c r="D3983" s="63">
        <f t="shared" si="588"/>
        <v>8.50821596244131</v>
      </c>
      <c r="E3983" t="str">
        <f t="shared" si="589"/>
        <v/>
      </c>
      <c r="F3983" t="str">
        <f t="shared" si="590"/>
        <v/>
      </c>
      <c r="G3983" t="str">
        <f t="shared" si="591"/>
        <v/>
      </c>
    </row>
    <row r="3984" spans="2:7">
      <c r="B3984" s="46"/>
      <c r="C3984" t="str">
        <f t="shared" si="587"/>
        <v/>
      </c>
      <c r="D3984" s="63">
        <f t="shared" si="588"/>
        <v>10.268779342723</v>
      </c>
      <c r="E3984" t="str">
        <f t="shared" si="589"/>
        <v/>
      </c>
      <c r="F3984" t="str">
        <f t="shared" si="590"/>
        <v/>
      </c>
      <c r="G3984" t="str">
        <f t="shared" si="591"/>
        <v/>
      </c>
    </row>
    <row r="3985" spans="2:7">
      <c r="B3985" s="46"/>
      <c r="C3985" t="str">
        <f t="shared" si="587"/>
        <v/>
      </c>
      <c r="D3985" s="63" t="str">
        <f t="shared" si="588"/>
        <v/>
      </c>
      <c r="E3985" t="str">
        <f t="shared" si="589"/>
        <v/>
      </c>
      <c r="F3985" t="str">
        <f t="shared" si="590"/>
        <v/>
      </c>
      <c r="G3985">
        <f t="shared" si="591"/>
        <v>7.67610062893082</v>
      </c>
    </row>
    <row r="3986" spans="2:7">
      <c r="B3986" s="46"/>
      <c r="C3986" t="str">
        <f t="shared" si="587"/>
        <v/>
      </c>
      <c r="D3986" s="63" t="str">
        <f t="shared" si="588"/>
        <v/>
      </c>
      <c r="E3986" t="str">
        <f t="shared" si="589"/>
        <v/>
      </c>
      <c r="F3986" t="str">
        <f t="shared" si="590"/>
        <v/>
      </c>
      <c r="G3986">
        <f t="shared" si="591"/>
        <v>10.3836477987421</v>
      </c>
    </row>
    <row r="3987" spans="2:7">
      <c r="B3987" s="46"/>
      <c r="C3987" t="str">
        <f t="shared" si="587"/>
        <v/>
      </c>
      <c r="D3987" s="63" t="str">
        <f t="shared" si="588"/>
        <v/>
      </c>
      <c r="E3987" t="str">
        <f t="shared" si="589"/>
        <v/>
      </c>
      <c r="F3987" t="str">
        <f t="shared" si="590"/>
        <v/>
      </c>
      <c r="G3987">
        <f t="shared" si="591"/>
        <v>13.2138364779874</v>
      </c>
    </row>
    <row r="3988" spans="2:7">
      <c r="B3988" s="46"/>
      <c r="C3988" t="str">
        <f t="shared" si="587"/>
        <v/>
      </c>
      <c r="D3988" s="63" t="str">
        <f t="shared" si="588"/>
        <v/>
      </c>
      <c r="E3988" t="str">
        <f t="shared" si="589"/>
        <v/>
      </c>
      <c r="F3988" t="str">
        <f t="shared" si="590"/>
        <v/>
      </c>
      <c r="G3988">
        <f t="shared" si="591"/>
        <v>14.7243186582809</v>
      </c>
    </row>
    <row r="3989" spans="2:7">
      <c r="B3989" s="46"/>
      <c r="C3989" t="str">
        <f t="shared" si="587"/>
        <v/>
      </c>
      <c r="D3989" s="63" t="str">
        <f t="shared" si="588"/>
        <v/>
      </c>
      <c r="E3989" t="str">
        <f t="shared" si="589"/>
        <v/>
      </c>
      <c r="F3989">
        <f t="shared" si="590"/>
        <v>9.17630385487529</v>
      </c>
      <c r="G3989" t="str">
        <f t="shared" si="591"/>
        <v/>
      </c>
    </row>
    <row r="3990" spans="2:7">
      <c r="B3990" s="46"/>
      <c r="C3990" t="str">
        <f t="shared" si="587"/>
        <v/>
      </c>
      <c r="D3990" s="63" t="str">
        <f t="shared" si="588"/>
        <v/>
      </c>
      <c r="E3990" t="str">
        <f t="shared" si="589"/>
        <v/>
      </c>
      <c r="F3990">
        <f t="shared" si="590"/>
        <v>12.328231292517</v>
      </c>
      <c r="G3990" t="str">
        <f t="shared" si="591"/>
        <v/>
      </c>
    </row>
    <row r="3991" spans="2:7">
      <c r="B3991" s="46"/>
      <c r="C3991" t="str">
        <f t="shared" si="587"/>
        <v/>
      </c>
      <c r="D3991" s="63" t="str">
        <f t="shared" si="588"/>
        <v/>
      </c>
      <c r="E3991" t="str">
        <f t="shared" si="589"/>
        <v/>
      </c>
      <c r="F3991">
        <f t="shared" si="590"/>
        <v>15.0017006802721</v>
      </c>
      <c r="G3991" t="str">
        <f t="shared" si="591"/>
        <v/>
      </c>
    </row>
    <row r="3992" spans="2:7">
      <c r="B3992" s="46"/>
      <c r="C3992">
        <f t="shared" si="587"/>
        <v>10.328125</v>
      </c>
      <c r="D3992" s="63" t="str">
        <f t="shared" si="588"/>
        <v/>
      </c>
      <c r="E3992" t="str">
        <f t="shared" si="589"/>
        <v/>
      </c>
      <c r="F3992" t="str">
        <f t="shared" si="590"/>
        <v/>
      </c>
      <c r="G3992" t="str">
        <f t="shared" si="591"/>
        <v/>
      </c>
    </row>
    <row r="3993" spans="2:7">
      <c r="B3993" s="46"/>
      <c r="C3993">
        <f t="shared" si="587"/>
        <v>14.5908564814815</v>
      </c>
      <c r="D3993" s="63" t="str">
        <f t="shared" si="588"/>
        <v/>
      </c>
      <c r="E3993" t="str">
        <f t="shared" si="589"/>
        <v/>
      </c>
      <c r="F3993" t="str">
        <f t="shared" si="590"/>
        <v/>
      </c>
      <c r="G3993" t="str">
        <f t="shared" si="591"/>
        <v/>
      </c>
    </row>
    <row r="3994" spans="2:7">
      <c r="B3994" s="46"/>
      <c r="C3994">
        <f t="shared" si="587"/>
        <v>14.9409722222222</v>
      </c>
      <c r="D3994" s="63" t="str">
        <f t="shared" si="588"/>
        <v/>
      </c>
      <c r="E3994" t="str">
        <f t="shared" si="589"/>
        <v/>
      </c>
      <c r="F3994" t="str">
        <f t="shared" si="590"/>
        <v/>
      </c>
      <c r="G3994" t="str">
        <f t="shared" si="591"/>
        <v/>
      </c>
    </row>
    <row r="3995" spans="2:7">
      <c r="B3995" s="46"/>
      <c r="C3995">
        <f t="shared" si="587"/>
        <v>19.2465277777778</v>
      </c>
      <c r="D3995" s="63" t="str">
        <f t="shared" si="588"/>
        <v/>
      </c>
      <c r="E3995" t="str">
        <f t="shared" si="589"/>
        <v/>
      </c>
      <c r="F3995" t="str">
        <f t="shared" si="590"/>
        <v/>
      </c>
      <c r="G3995" t="str">
        <f t="shared" si="591"/>
        <v/>
      </c>
    </row>
    <row r="3996" spans="2:7">
      <c r="B3996" s="46"/>
      <c r="C3996" t="str">
        <f t="shared" si="587"/>
        <v/>
      </c>
      <c r="D3996" s="63">
        <f t="shared" si="588"/>
        <v>15.0340375586854</v>
      </c>
      <c r="E3996" t="str">
        <f t="shared" si="589"/>
        <v/>
      </c>
      <c r="F3996" t="str">
        <f t="shared" si="590"/>
        <v/>
      </c>
      <c r="G3996" t="str">
        <f t="shared" si="591"/>
        <v/>
      </c>
    </row>
    <row r="3997" spans="2:7">
      <c r="B3997" s="46"/>
      <c r="C3997" t="str">
        <f t="shared" si="587"/>
        <v/>
      </c>
      <c r="D3997" s="63">
        <f t="shared" si="588"/>
        <v>15.0340375586854</v>
      </c>
      <c r="E3997" t="str">
        <f t="shared" si="589"/>
        <v/>
      </c>
      <c r="F3997" t="str">
        <f t="shared" si="590"/>
        <v/>
      </c>
      <c r="G3997" t="str">
        <f t="shared" si="591"/>
        <v/>
      </c>
    </row>
    <row r="3998" spans="2:7">
      <c r="B3998" s="46"/>
      <c r="C3998" t="str">
        <f t="shared" si="587"/>
        <v/>
      </c>
      <c r="D3998" s="63">
        <f t="shared" si="588"/>
        <v>16.1343896713615</v>
      </c>
      <c r="E3998" t="str">
        <f t="shared" si="589"/>
        <v/>
      </c>
      <c r="F3998" t="str">
        <f t="shared" si="590"/>
        <v/>
      </c>
      <c r="G3998" t="str">
        <f t="shared" si="591"/>
        <v/>
      </c>
    </row>
    <row r="3999" spans="2:7">
      <c r="B3999" s="46"/>
      <c r="C3999" t="str">
        <f t="shared" si="587"/>
        <v/>
      </c>
      <c r="D3999" s="63">
        <f t="shared" si="588"/>
        <v>16.8620892018779</v>
      </c>
      <c r="E3999" t="str">
        <f t="shared" si="589"/>
        <v/>
      </c>
      <c r="F3999" t="str">
        <f t="shared" si="590"/>
        <v/>
      </c>
      <c r="G3999" t="str">
        <f t="shared" si="591"/>
        <v/>
      </c>
    </row>
    <row r="4000" spans="2:7">
      <c r="B4000" s="46"/>
      <c r="C4000" t="str">
        <f t="shared" si="587"/>
        <v/>
      </c>
      <c r="D4000" s="63" t="str">
        <f t="shared" si="588"/>
        <v/>
      </c>
      <c r="E4000">
        <f t="shared" si="589"/>
        <v>16.1245098039216</v>
      </c>
      <c r="F4000" t="str">
        <f t="shared" si="590"/>
        <v/>
      </c>
      <c r="G4000" t="str">
        <f t="shared" si="591"/>
        <v/>
      </c>
    </row>
    <row r="4001" spans="2:7">
      <c r="B4001" s="46"/>
      <c r="C4001" t="str">
        <f t="shared" si="587"/>
        <v/>
      </c>
      <c r="D4001" s="63" t="str">
        <f t="shared" si="588"/>
        <v/>
      </c>
      <c r="E4001">
        <f t="shared" si="589"/>
        <v>17.9225490196078</v>
      </c>
      <c r="F4001" t="str">
        <f t="shared" si="590"/>
        <v/>
      </c>
      <c r="G4001" t="str">
        <f t="shared" si="591"/>
        <v/>
      </c>
    </row>
    <row r="4002" spans="2:7">
      <c r="B4002" s="46"/>
      <c r="C4002" t="str">
        <f t="shared" si="587"/>
        <v/>
      </c>
      <c r="D4002" s="63" t="str">
        <f t="shared" si="588"/>
        <v/>
      </c>
      <c r="E4002">
        <f t="shared" si="589"/>
        <v>18.7166666666667</v>
      </c>
      <c r="F4002" t="str">
        <f t="shared" si="590"/>
        <v/>
      </c>
      <c r="G4002" t="str">
        <f t="shared" si="591"/>
        <v/>
      </c>
    </row>
    <row r="4003" spans="2:7">
      <c r="B4003" s="46"/>
      <c r="C4003" t="str">
        <f t="shared" si="587"/>
        <v/>
      </c>
      <c r="D4003" s="63" t="str">
        <f t="shared" si="588"/>
        <v/>
      </c>
      <c r="E4003">
        <f t="shared" si="589"/>
        <v>18.9539215686275</v>
      </c>
      <c r="F4003" t="str">
        <f t="shared" si="590"/>
        <v/>
      </c>
      <c r="G4003" t="str">
        <f t="shared" si="591"/>
        <v/>
      </c>
    </row>
    <row r="4004" spans="2:7">
      <c r="B4004" s="46"/>
      <c r="C4004" t="str">
        <f t="shared" si="587"/>
        <v/>
      </c>
      <c r="D4004" s="63" t="str">
        <f t="shared" si="588"/>
        <v/>
      </c>
      <c r="E4004" t="str">
        <f t="shared" si="589"/>
        <v/>
      </c>
      <c r="F4004" t="str">
        <f t="shared" si="590"/>
        <v/>
      </c>
      <c r="G4004">
        <f t="shared" si="591"/>
        <v>15.4449685534591</v>
      </c>
    </row>
    <row r="4005" spans="2:7">
      <c r="B4005" s="46"/>
      <c r="C4005" t="str">
        <f t="shared" si="587"/>
        <v/>
      </c>
      <c r="D4005" s="63" t="str">
        <f t="shared" si="588"/>
        <v/>
      </c>
      <c r="E4005" t="str">
        <f t="shared" si="589"/>
        <v/>
      </c>
      <c r="F4005" t="str">
        <f t="shared" si="590"/>
        <v/>
      </c>
      <c r="G4005">
        <f t="shared" si="591"/>
        <v>16.4669811320755</v>
      </c>
    </row>
    <row r="4006" spans="2:7">
      <c r="B4006" s="46"/>
      <c r="C4006" t="str">
        <f t="shared" si="587"/>
        <v/>
      </c>
      <c r="D4006" s="63" t="str">
        <f t="shared" si="588"/>
        <v/>
      </c>
      <c r="E4006" t="str">
        <f t="shared" si="589"/>
        <v/>
      </c>
      <c r="F4006" t="str">
        <f t="shared" si="590"/>
        <v/>
      </c>
      <c r="G4006">
        <f t="shared" si="591"/>
        <v>17.7877358490566</v>
      </c>
    </row>
    <row r="4007" spans="2:7">
      <c r="B4007" s="46"/>
      <c r="C4007" t="str">
        <f t="shared" si="587"/>
        <v/>
      </c>
      <c r="D4007" s="63" t="str">
        <f t="shared" si="588"/>
        <v/>
      </c>
      <c r="E4007" t="str">
        <f t="shared" si="589"/>
        <v/>
      </c>
      <c r="F4007" t="str">
        <f t="shared" si="590"/>
        <v/>
      </c>
      <c r="G4007">
        <f t="shared" si="591"/>
        <v>18.377358490566</v>
      </c>
    </row>
    <row r="4008" spans="2:7">
      <c r="B4008" s="46"/>
      <c r="C4008" t="str">
        <f t="shared" si="587"/>
        <v/>
      </c>
      <c r="D4008" s="63" t="str">
        <f t="shared" si="588"/>
        <v/>
      </c>
      <c r="E4008" t="str">
        <f t="shared" si="589"/>
        <v/>
      </c>
      <c r="F4008">
        <f t="shared" si="590"/>
        <v>15.4234693877551</v>
      </c>
      <c r="G4008" t="str">
        <f t="shared" si="591"/>
        <v/>
      </c>
    </row>
    <row r="4009" spans="2:7">
      <c r="B4009" s="46"/>
      <c r="C4009" t="str">
        <f t="shared" si="587"/>
        <v/>
      </c>
      <c r="D4009" s="63" t="str">
        <f t="shared" si="588"/>
        <v/>
      </c>
      <c r="E4009" t="str">
        <f t="shared" si="589"/>
        <v/>
      </c>
      <c r="F4009">
        <f t="shared" si="590"/>
        <v>16.7698412698413</v>
      </c>
      <c r="G4009" t="str">
        <f t="shared" si="591"/>
        <v/>
      </c>
    </row>
    <row r="4010" spans="2:7">
      <c r="B4010" s="46"/>
      <c r="C4010" t="str">
        <f t="shared" si="587"/>
        <v/>
      </c>
      <c r="D4010" s="63" t="str">
        <f t="shared" si="588"/>
        <v/>
      </c>
      <c r="E4010" t="str">
        <f t="shared" si="589"/>
        <v/>
      </c>
      <c r="F4010">
        <f t="shared" si="590"/>
        <v>18.109410430839</v>
      </c>
      <c r="G4010" t="str">
        <f t="shared" si="591"/>
        <v/>
      </c>
    </row>
    <row r="4011" spans="2:7">
      <c r="B4011" s="46"/>
      <c r="C4011" t="str">
        <f t="shared" si="587"/>
        <v/>
      </c>
      <c r="D4011" s="63" t="str">
        <f t="shared" si="588"/>
        <v/>
      </c>
      <c r="E4011" t="str">
        <f t="shared" si="589"/>
        <v/>
      </c>
      <c r="F4011">
        <f t="shared" si="590"/>
        <v>20.1581632653061</v>
      </c>
      <c r="G4011" t="str">
        <f t="shared" si="591"/>
        <v/>
      </c>
    </row>
    <row r="4012" spans="2:7">
      <c r="B4012" s="46"/>
      <c r="C4012" t="str">
        <f t="shared" si="587"/>
        <v/>
      </c>
      <c r="D4012" s="63" t="str">
        <f t="shared" si="588"/>
        <v/>
      </c>
      <c r="E4012" t="str">
        <f t="shared" si="589"/>
        <v/>
      </c>
      <c r="F4012">
        <f t="shared" si="590"/>
        <v>22.1581632653061</v>
      </c>
      <c r="G4012" t="str">
        <f t="shared" si="591"/>
        <v/>
      </c>
    </row>
    <row r="4013" spans="2:7">
      <c r="B4013" s="46"/>
      <c r="C4013" t="str">
        <f t="shared" si="587"/>
        <v/>
      </c>
      <c r="D4013" s="63" t="str">
        <f t="shared" si="588"/>
        <v/>
      </c>
      <c r="E4013" t="str">
        <f t="shared" si="589"/>
        <v/>
      </c>
      <c r="F4013">
        <f t="shared" si="590"/>
        <v>22.8781179138322</v>
      </c>
      <c r="G4013" t="str">
        <f t="shared" si="591"/>
        <v/>
      </c>
    </row>
    <row r="4014" spans="2:7">
      <c r="B4014" s="46"/>
      <c r="C4014" t="str">
        <f t="shared" si="587"/>
        <v/>
      </c>
      <c r="D4014" s="63">
        <f t="shared" si="588"/>
        <v>17.3022300469484</v>
      </c>
      <c r="E4014" t="str">
        <f t="shared" si="589"/>
        <v/>
      </c>
      <c r="F4014" t="str">
        <f t="shared" si="590"/>
        <v/>
      </c>
      <c r="G4014" t="str">
        <f t="shared" si="591"/>
        <v/>
      </c>
    </row>
    <row r="4015" spans="2:7">
      <c r="B4015" s="46"/>
      <c r="C4015" t="str">
        <f t="shared" si="587"/>
        <v/>
      </c>
      <c r="D4015" s="63">
        <f t="shared" si="588"/>
        <v>22.837441314554</v>
      </c>
      <c r="E4015" t="str">
        <f t="shared" si="589"/>
        <v/>
      </c>
      <c r="F4015" t="str">
        <f t="shared" si="590"/>
        <v/>
      </c>
      <c r="G4015" t="str">
        <f t="shared" si="591"/>
        <v/>
      </c>
    </row>
    <row r="4016" spans="2:7">
      <c r="B4016" s="46"/>
      <c r="C4016" t="str">
        <f t="shared" si="587"/>
        <v/>
      </c>
      <c r="D4016" s="63">
        <f t="shared" si="588"/>
        <v>23.7089201877934</v>
      </c>
      <c r="E4016" t="str">
        <f t="shared" si="589"/>
        <v/>
      </c>
      <c r="F4016" t="str">
        <f t="shared" si="590"/>
        <v/>
      </c>
      <c r="G4016" t="str">
        <f t="shared" si="591"/>
        <v/>
      </c>
    </row>
    <row r="4017" spans="2:7">
      <c r="B4017" s="46"/>
      <c r="C4017" t="str">
        <f t="shared" si="587"/>
        <v/>
      </c>
      <c r="D4017" s="63">
        <f t="shared" si="588"/>
        <v>24.3427230046948</v>
      </c>
      <c r="E4017" t="str">
        <f t="shared" si="589"/>
        <v/>
      </c>
      <c r="F4017" t="str">
        <f t="shared" si="590"/>
        <v/>
      </c>
      <c r="G4017" t="str">
        <f t="shared" si="591"/>
        <v/>
      </c>
    </row>
    <row r="4018" spans="2:7">
      <c r="B4018" s="46"/>
      <c r="C4018" t="str">
        <f t="shared" si="587"/>
        <v/>
      </c>
      <c r="D4018" s="63">
        <f t="shared" si="588"/>
        <v>27.5704225352113</v>
      </c>
      <c r="E4018" t="str">
        <f t="shared" si="589"/>
        <v/>
      </c>
      <c r="F4018" t="str">
        <f t="shared" si="590"/>
        <v/>
      </c>
      <c r="G4018" t="str">
        <f t="shared" si="591"/>
        <v/>
      </c>
    </row>
    <row r="4019" spans="2:7">
      <c r="B4019" s="46"/>
      <c r="C4019" t="str">
        <f t="shared" si="587"/>
        <v/>
      </c>
      <c r="D4019" s="63" t="str">
        <f t="shared" si="588"/>
        <v/>
      </c>
      <c r="E4019" t="str">
        <f t="shared" si="589"/>
        <v/>
      </c>
      <c r="F4019" t="str">
        <f t="shared" si="590"/>
        <v/>
      </c>
      <c r="G4019">
        <f t="shared" si="591"/>
        <v>19.1949685534591</v>
      </c>
    </row>
    <row r="4020" spans="2:7">
      <c r="B4020" s="46"/>
      <c r="C4020" t="str">
        <f t="shared" si="587"/>
        <v/>
      </c>
      <c r="D4020" s="63" t="str">
        <f t="shared" si="588"/>
        <v/>
      </c>
      <c r="E4020" t="str">
        <f t="shared" si="589"/>
        <v/>
      </c>
      <c r="F4020" t="str">
        <f t="shared" si="590"/>
        <v/>
      </c>
      <c r="G4020">
        <f t="shared" si="591"/>
        <v>21.9606918238994</v>
      </c>
    </row>
    <row r="4021" spans="2:7">
      <c r="B4021" s="46"/>
      <c r="C4021" t="str">
        <f t="shared" si="587"/>
        <v/>
      </c>
      <c r="D4021" s="63" t="str">
        <f t="shared" si="588"/>
        <v/>
      </c>
      <c r="E4021" t="str">
        <f t="shared" si="589"/>
        <v/>
      </c>
      <c r="F4021" t="str">
        <f t="shared" si="590"/>
        <v/>
      </c>
      <c r="G4021">
        <f t="shared" si="591"/>
        <v>21.9606918238994</v>
      </c>
    </row>
    <row r="4022" spans="2:7">
      <c r="B4022" s="46"/>
      <c r="C4022" t="str">
        <f t="shared" si="587"/>
        <v/>
      </c>
      <c r="D4022" s="63" t="str">
        <f t="shared" si="588"/>
        <v/>
      </c>
      <c r="E4022" t="str">
        <f t="shared" si="589"/>
        <v/>
      </c>
      <c r="F4022" t="str">
        <f t="shared" si="590"/>
        <v/>
      </c>
      <c r="G4022">
        <f t="shared" si="591"/>
        <v>25.2222222222222</v>
      </c>
    </row>
    <row r="4023" spans="2:7">
      <c r="B4023" s="46"/>
      <c r="C4023" t="str">
        <f t="shared" si="587"/>
        <v/>
      </c>
      <c r="D4023" s="63" t="str">
        <f t="shared" si="588"/>
        <v/>
      </c>
      <c r="E4023">
        <f t="shared" si="589"/>
        <v>22.268137254902</v>
      </c>
      <c r="F4023" t="str">
        <f t="shared" si="590"/>
        <v/>
      </c>
      <c r="G4023" t="str">
        <f t="shared" si="591"/>
        <v/>
      </c>
    </row>
    <row r="4024" spans="2:7">
      <c r="B4024" s="46"/>
      <c r="C4024" t="str">
        <f t="shared" si="587"/>
        <v/>
      </c>
      <c r="D4024" s="63" t="str">
        <f t="shared" si="588"/>
        <v/>
      </c>
      <c r="E4024">
        <f t="shared" si="589"/>
        <v>22.268137254902</v>
      </c>
      <c r="F4024" t="str">
        <f t="shared" si="590"/>
        <v/>
      </c>
      <c r="G4024" t="str">
        <f t="shared" si="591"/>
        <v/>
      </c>
    </row>
    <row r="4025" spans="2:7">
      <c r="B4025" s="46"/>
      <c r="C4025" t="str">
        <f t="shared" si="587"/>
        <v/>
      </c>
      <c r="D4025" s="63" t="str">
        <f t="shared" si="588"/>
        <v/>
      </c>
      <c r="E4025">
        <f t="shared" si="589"/>
        <v>24.6995098039216</v>
      </c>
      <c r="F4025" t="str">
        <f t="shared" si="590"/>
        <v/>
      </c>
      <c r="G4025" t="str">
        <f t="shared" si="591"/>
        <v/>
      </c>
    </row>
    <row r="4026" spans="2:7">
      <c r="B4026" s="46"/>
      <c r="C4026" t="str">
        <f t="shared" si="587"/>
        <v/>
      </c>
      <c r="D4026" s="63" t="str">
        <f t="shared" si="588"/>
        <v/>
      </c>
      <c r="E4026">
        <f t="shared" si="589"/>
        <v>25.3416666666667</v>
      </c>
      <c r="F4026" t="str">
        <f t="shared" si="590"/>
        <v/>
      </c>
      <c r="G4026" t="str">
        <f t="shared" si="591"/>
        <v/>
      </c>
    </row>
    <row r="4027" spans="2:7">
      <c r="B4027" s="46"/>
      <c r="C4027">
        <f t="shared" si="587"/>
        <v>19.5358796296296</v>
      </c>
      <c r="D4027" s="63" t="str">
        <f t="shared" si="588"/>
        <v/>
      </c>
      <c r="E4027" t="str">
        <f t="shared" si="589"/>
        <v/>
      </c>
      <c r="F4027" t="str">
        <f t="shared" si="590"/>
        <v/>
      </c>
      <c r="G4027" t="str">
        <f t="shared" si="591"/>
        <v/>
      </c>
    </row>
    <row r="4028" spans="2:7">
      <c r="B4028" s="46"/>
      <c r="C4028">
        <f t="shared" si="587"/>
        <v>20.1608796296296</v>
      </c>
      <c r="D4028" s="63" t="str">
        <f t="shared" si="588"/>
        <v/>
      </c>
      <c r="E4028" t="str">
        <f t="shared" si="589"/>
        <v/>
      </c>
      <c r="F4028" t="str">
        <f t="shared" si="590"/>
        <v/>
      </c>
      <c r="G4028" t="str">
        <f t="shared" si="591"/>
        <v/>
      </c>
    </row>
    <row r="4029" spans="2:7">
      <c r="B4029" s="46"/>
      <c r="C4029">
        <f t="shared" si="587"/>
        <v>21.7233796296296</v>
      </c>
      <c r="D4029" s="63" t="str">
        <f t="shared" si="588"/>
        <v/>
      </c>
      <c r="E4029" t="str">
        <f t="shared" si="589"/>
        <v/>
      </c>
      <c r="F4029" t="str">
        <f t="shared" si="590"/>
        <v/>
      </c>
      <c r="G4029" t="str">
        <f t="shared" si="591"/>
        <v/>
      </c>
    </row>
    <row r="4030" spans="2:7">
      <c r="B4030" s="46"/>
      <c r="C4030">
        <f t="shared" si="587"/>
        <v>22.7054398148148</v>
      </c>
      <c r="D4030" s="63" t="str">
        <f t="shared" si="588"/>
        <v/>
      </c>
      <c r="E4030" t="str">
        <f t="shared" si="589"/>
        <v/>
      </c>
      <c r="F4030" t="str">
        <f t="shared" si="590"/>
        <v/>
      </c>
      <c r="G4030" t="str">
        <f t="shared" si="591"/>
        <v/>
      </c>
    </row>
    <row r="4031" spans="2:7">
      <c r="B4031" s="46"/>
      <c r="C4031">
        <f t="shared" si="587"/>
        <v>22.7054398148148</v>
      </c>
      <c r="D4031" s="63" t="str">
        <f t="shared" si="588"/>
        <v/>
      </c>
      <c r="E4031" t="str">
        <f t="shared" si="589"/>
        <v/>
      </c>
      <c r="F4031" t="str">
        <f t="shared" si="590"/>
        <v/>
      </c>
      <c r="G4031" t="str">
        <f t="shared" si="591"/>
        <v/>
      </c>
    </row>
    <row r="4032" spans="2:7">
      <c r="B4032" s="46"/>
      <c r="C4032">
        <f t="shared" ref="C4032:C4050" si="592">IF(J72=1,S72,"")</f>
        <v>22.8512731481482</v>
      </c>
      <c r="D4032" s="63" t="str">
        <f t="shared" ref="D4032:D4050" si="593">IF(J72=2,S72,"")</f>
        <v/>
      </c>
      <c r="E4032" t="str">
        <f t="shared" ref="E4032:E4050" si="594">IF(J72=3,S72,"")</f>
        <v/>
      </c>
      <c r="F4032" t="str">
        <f t="shared" ref="F4032:F4050" si="595">IF(J72=4,S72,"")</f>
        <v/>
      </c>
      <c r="G4032" t="str">
        <f t="shared" ref="G4032:G4050" si="596">IF(J72=5,S72,"")</f>
        <v/>
      </c>
    </row>
    <row r="4033" spans="2:7">
      <c r="B4033" s="46"/>
      <c r="C4033">
        <f t="shared" si="592"/>
        <v>34.4068287037037</v>
      </c>
      <c r="D4033" s="63" t="str">
        <f t="shared" si="593"/>
        <v/>
      </c>
      <c r="E4033" t="str">
        <f t="shared" si="594"/>
        <v/>
      </c>
      <c r="F4033" t="str">
        <f t="shared" si="595"/>
        <v/>
      </c>
      <c r="G4033" t="str">
        <f t="shared" si="596"/>
        <v/>
      </c>
    </row>
    <row r="4034" spans="2:7">
      <c r="B4034" s="46"/>
      <c r="C4034">
        <f t="shared" si="592"/>
        <v>34.4068287037037</v>
      </c>
      <c r="D4034" s="63" t="str">
        <f t="shared" si="593"/>
        <v/>
      </c>
      <c r="E4034" t="str">
        <f t="shared" si="594"/>
        <v/>
      </c>
      <c r="F4034" t="str">
        <f t="shared" si="595"/>
        <v/>
      </c>
      <c r="G4034" t="str">
        <f t="shared" si="596"/>
        <v/>
      </c>
    </row>
    <row r="4035" spans="2:7">
      <c r="B4035" s="46"/>
      <c r="C4035">
        <f t="shared" si="592"/>
        <v>35.5827546296296</v>
      </c>
      <c r="D4035" s="63" t="str">
        <f t="shared" si="593"/>
        <v/>
      </c>
      <c r="E4035" t="str">
        <f t="shared" si="594"/>
        <v/>
      </c>
      <c r="F4035" t="str">
        <f t="shared" si="595"/>
        <v/>
      </c>
      <c r="G4035" t="str">
        <f t="shared" si="596"/>
        <v/>
      </c>
    </row>
    <row r="4036" spans="2:7">
      <c r="B4036" s="46"/>
      <c r="C4036">
        <f t="shared" si="592"/>
        <v>36.7893518518519</v>
      </c>
      <c r="D4036" s="63" t="str">
        <f t="shared" si="593"/>
        <v/>
      </c>
      <c r="E4036" t="str">
        <f t="shared" si="594"/>
        <v/>
      </c>
      <c r="F4036" t="str">
        <f t="shared" si="595"/>
        <v/>
      </c>
      <c r="G4036" t="str">
        <f t="shared" si="596"/>
        <v/>
      </c>
    </row>
    <row r="4037" spans="2:7">
      <c r="B4037" s="46"/>
      <c r="C4037" t="str">
        <f t="shared" si="592"/>
        <v/>
      </c>
      <c r="D4037" s="63" t="str">
        <f t="shared" si="593"/>
        <v/>
      </c>
      <c r="E4037" t="str">
        <f t="shared" si="594"/>
        <v/>
      </c>
      <c r="F4037">
        <f t="shared" si="595"/>
        <v>23.4404761904762</v>
      </c>
      <c r="G4037" t="str">
        <f t="shared" si="596"/>
        <v/>
      </c>
    </row>
    <row r="4038" spans="2:7">
      <c r="B4038" s="46"/>
      <c r="C4038" t="str">
        <f t="shared" si="592"/>
        <v/>
      </c>
      <c r="D4038" s="63" t="str">
        <f t="shared" si="593"/>
        <v/>
      </c>
      <c r="E4038" t="str">
        <f t="shared" si="594"/>
        <v/>
      </c>
      <c r="F4038">
        <f t="shared" si="595"/>
        <v>24.3616780045352</v>
      </c>
      <c r="G4038" t="str">
        <f t="shared" si="596"/>
        <v/>
      </c>
    </row>
    <row r="4039" spans="2:7">
      <c r="B4039" s="46"/>
      <c r="C4039" t="str">
        <f t="shared" si="592"/>
        <v/>
      </c>
      <c r="D4039" s="63" t="str">
        <f t="shared" si="593"/>
        <v/>
      </c>
      <c r="E4039" t="str">
        <f t="shared" si="594"/>
        <v/>
      </c>
      <c r="F4039">
        <f t="shared" si="595"/>
        <v>25.8378684807256</v>
      </c>
      <c r="G4039" t="str">
        <f t="shared" si="596"/>
        <v/>
      </c>
    </row>
    <row r="4040" spans="2:7">
      <c r="B4040" s="46"/>
      <c r="C4040" t="str">
        <f t="shared" si="592"/>
        <v/>
      </c>
      <c r="D4040" s="63" t="str">
        <f t="shared" si="593"/>
        <v/>
      </c>
      <c r="E4040" t="str">
        <f t="shared" si="594"/>
        <v/>
      </c>
      <c r="F4040">
        <f t="shared" si="595"/>
        <v>29.4625850340136</v>
      </c>
      <c r="G4040" t="str">
        <f t="shared" si="596"/>
        <v/>
      </c>
    </row>
    <row r="4041" spans="2:7">
      <c r="B4041" s="46"/>
      <c r="C4041" t="str">
        <f t="shared" si="592"/>
        <v/>
      </c>
      <c r="D4041" s="63" t="str">
        <f t="shared" si="593"/>
        <v/>
      </c>
      <c r="E4041" t="str">
        <f t="shared" si="594"/>
        <v/>
      </c>
      <c r="F4041">
        <f t="shared" si="595"/>
        <v>30.092970521542</v>
      </c>
      <c r="G4041" t="str">
        <f t="shared" si="596"/>
        <v/>
      </c>
    </row>
    <row r="4042" spans="2:7">
      <c r="B4042" s="46"/>
      <c r="C4042" t="str">
        <f t="shared" si="592"/>
        <v/>
      </c>
      <c r="D4042" s="63" t="str">
        <f t="shared" si="593"/>
        <v/>
      </c>
      <c r="E4042" t="str">
        <f t="shared" si="594"/>
        <v/>
      </c>
      <c r="F4042">
        <f t="shared" si="595"/>
        <v>30.8809523809524</v>
      </c>
      <c r="G4042" t="str">
        <f t="shared" si="596"/>
        <v/>
      </c>
    </row>
    <row r="4043" spans="2:7">
      <c r="B4043" s="46"/>
      <c r="C4043" t="str">
        <f t="shared" si="592"/>
        <v/>
      </c>
      <c r="D4043" s="63" t="str">
        <f t="shared" si="593"/>
        <v/>
      </c>
      <c r="E4043" t="str">
        <f t="shared" si="594"/>
        <v/>
      </c>
      <c r="F4043" t="str">
        <f t="shared" si="595"/>
        <v/>
      </c>
      <c r="G4043">
        <f t="shared" si="596"/>
        <v>26.0235849056604</v>
      </c>
    </row>
    <row r="4044" spans="2:7">
      <c r="B4044" s="46"/>
      <c r="C4044" t="str">
        <f t="shared" si="592"/>
        <v/>
      </c>
      <c r="D4044" s="63" t="str">
        <f t="shared" si="593"/>
        <v/>
      </c>
      <c r="E4044" t="str">
        <f t="shared" si="594"/>
        <v/>
      </c>
      <c r="F4044" t="str">
        <f t="shared" si="595"/>
        <v/>
      </c>
      <c r="G4044">
        <f t="shared" si="596"/>
        <v>26.8977987421384</v>
      </c>
    </row>
    <row r="4045" spans="2:7">
      <c r="B4045" s="46"/>
      <c r="C4045" t="str">
        <f t="shared" si="592"/>
        <v/>
      </c>
      <c r="D4045" s="63" t="str">
        <f t="shared" si="593"/>
        <v/>
      </c>
      <c r="E4045" t="str">
        <f t="shared" si="594"/>
        <v/>
      </c>
      <c r="F4045" t="str">
        <f t="shared" si="595"/>
        <v/>
      </c>
      <c r="G4045">
        <f t="shared" si="596"/>
        <v>27.8448637316562</v>
      </c>
    </row>
    <row r="4046" spans="2:7">
      <c r="B4046" s="46"/>
      <c r="C4046" t="str">
        <f t="shared" si="592"/>
        <v/>
      </c>
      <c r="D4046" s="63" t="str">
        <f t="shared" si="593"/>
        <v/>
      </c>
      <c r="E4046" t="str">
        <f t="shared" si="594"/>
        <v/>
      </c>
      <c r="F4046" t="str">
        <f t="shared" si="595"/>
        <v/>
      </c>
      <c r="G4046">
        <f t="shared" si="596"/>
        <v>29.229035639413</v>
      </c>
    </row>
    <row r="4047" spans="2:7">
      <c r="B4047" s="46"/>
      <c r="C4047" t="str">
        <f t="shared" si="592"/>
        <v/>
      </c>
      <c r="D4047" s="63" t="str">
        <f t="shared" si="593"/>
        <v/>
      </c>
      <c r="E4047">
        <f t="shared" si="594"/>
        <v>25.5460784313725</v>
      </c>
      <c r="F4047" t="str">
        <f t="shared" si="595"/>
        <v/>
      </c>
      <c r="G4047" t="str">
        <f t="shared" si="596"/>
        <v/>
      </c>
    </row>
    <row r="4048" spans="2:7">
      <c r="B4048" s="46"/>
      <c r="C4048" t="str">
        <f t="shared" si="592"/>
        <v/>
      </c>
      <c r="D4048" s="63" t="str">
        <f t="shared" si="593"/>
        <v/>
      </c>
      <c r="E4048">
        <f t="shared" si="594"/>
        <v>28.8676470588235</v>
      </c>
      <c r="F4048" t="str">
        <f t="shared" si="595"/>
        <v/>
      </c>
      <c r="G4048" t="str">
        <f t="shared" si="596"/>
        <v/>
      </c>
    </row>
    <row r="4049" spans="2:7">
      <c r="B4049" s="46"/>
      <c r="C4049">
        <f t="shared" si="592"/>
        <v>39.1041666666667</v>
      </c>
      <c r="D4049" s="63" t="str">
        <f t="shared" si="593"/>
        <v/>
      </c>
      <c r="E4049" t="str">
        <f t="shared" si="594"/>
        <v/>
      </c>
      <c r="F4049" t="str">
        <f t="shared" si="595"/>
        <v/>
      </c>
      <c r="G4049" t="str">
        <f t="shared" si="596"/>
        <v/>
      </c>
    </row>
    <row r="4050" ht="15.75" spans="2:7">
      <c r="B4050" s="46"/>
      <c r="C4050" t="str">
        <f t="shared" si="592"/>
        <v/>
      </c>
      <c r="D4050" s="63" t="str">
        <f t="shared" si="593"/>
        <v/>
      </c>
      <c r="E4050">
        <f t="shared" si="594"/>
        <v>30.843137254902</v>
      </c>
      <c r="F4050" t="str">
        <f t="shared" si="595"/>
        <v/>
      </c>
      <c r="G4050" t="str">
        <f t="shared" si="596"/>
        <v/>
      </c>
    </row>
    <row r="4051" spans="2:7">
      <c r="B4051" s="74" t="s">
        <v>269</v>
      </c>
      <c r="C4051" s="75">
        <f>MAX(C3968:C4050)</f>
        <v>39.1041666666667</v>
      </c>
      <c r="D4051" s="75">
        <f t="shared" ref="D4051:G4051" si="597">MAX(D3968:D4050)</f>
        <v>27.5704225352113</v>
      </c>
      <c r="E4051" s="75">
        <f t="shared" si="597"/>
        <v>30.843137254902</v>
      </c>
      <c r="F4051" s="75">
        <f t="shared" si="597"/>
        <v>30.8809523809524</v>
      </c>
      <c r="G4051" s="75">
        <f t="shared" si="597"/>
        <v>29.229035639413</v>
      </c>
    </row>
    <row r="4052" spans="2:7">
      <c r="B4052" s="76" t="s">
        <v>270</v>
      </c>
      <c r="C4052" s="77">
        <v>1</v>
      </c>
      <c r="D4052" s="78">
        <v>2</v>
      </c>
      <c r="E4052">
        <v>3</v>
      </c>
      <c r="F4052">
        <v>4</v>
      </c>
      <c r="G4052">
        <v>5</v>
      </c>
    </row>
    <row r="4053" spans="2:7">
      <c r="B4053" s="79" t="s">
        <v>271</v>
      </c>
      <c r="C4053" s="72">
        <f>HLOOKUP(MIN(C4051:G4051),C4051:G4052,2,FALSE)</f>
        <v>2</v>
      </c>
      <c r="D4053" s="80"/>
    </row>
    <row r="4056" ht="15.75" spans="2:7">
      <c r="B4056" s="43" t="s">
        <v>354</v>
      </c>
      <c r="C4056" s="44"/>
      <c r="D4056" s="45"/>
    </row>
    <row r="4057" spans="2:7">
      <c r="B4057" s="46"/>
      <c r="C4057" s="61" t="s">
        <v>264</v>
      </c>
      <c r="D4057" s="61" t="s">
        <v>265</v>
      </c>
      <c r="E4057" s="62" t="s">
        <v>286</v>
      </c>
      <c r="F4057" s="62" t="s">
        <v>287</v>
      </c>
      <c r="G4057" s="62" t="s">
        <v>288</v>
      </c>
    </row>
    <row r="4058" spans="2:7">
      <c r="B4058" s="46"/>
      <c r="C4058">
        <f t="shared" ref="C4058:C4121" si="598">IF(J8=1,S8,"")</f>
        <v>0.700231481481482</v>
      </c>
      <c r="D4058" s="63" t="str">
        <f t="shared" ref="D4058:D4121" si="599">IF(J8=2,S8,"")</f>
        <v/>
      </c>
      <c r="E4058" t="str">
        <f t="shared" ref="E4058:E4121" si="600">IF(J8=3,S8,"")</f>
        <v/>
      </c>
      <c r="F4058" t="str">
        <f t="shared" ref="F4058:F4121" si="601">IF(J8=4,S8,"")</f>
        <v/>
      </c>
      <c r="G4058" t="str">
        <f t="shared" ref="G4058:G4121" si="602">IF(J8=5,S8,"")</f>
        <v/>
      </c>
    </row>
    <row r="4059" spans="2:7">
      <c r="B4059" s="46"/>
      <c r="C4059" t="str">
        <f t="shared" si="598"/>
        <v/>
      </c>
      <c r="D4059" s="63">
        <f t="shared" si="599"/>
        <v>0.734154929577465</v>
      </c>
      <c r="E4059" t="str">
        <f t="shared" si="600"/>
        <v/>
      </c>
      <c r="F4059" t="str">
        <f t="shared" si="601"/>
        <v/>
      </c>
      <c r="G4059" t="str">
        <f t="shared" si="602"/>
        <v/>
      </c>
    </row>
    <row r="4060" spans="2:7">
      <c r="B4060" s="46"/>
      <c r="C4060" t="str">
        <f t="shared" si="598"/>
        <v/>
      </c>
      <c r="D4060" s="63" t="str">
        <f t="shared" si="599"/>
        <v/>
      </c>
      <c r="E4060">
        <f t="shared" si="600"/>
        <v>1.83823529411765</v>
      </c>
      <c r="F4060" t="str">
        <f t="shared" si="601"/>
        <v/>
      </c>
      <c r="G4060" t="str">
        <f t="shared" si="602"/>
        <v/>
      </c>
    </row>
    <row r="4061" spans="2:7">
      <c r="B4061" s="46"/>
      <c r="C4061" t="str">
        <f t="shared" si="598"/>
        <v/>
      </c>
      <c r="D4061" s="63" t="str">
        <f t="shared" si="599"/>
        <v/>
      </c>
      <c r="E4061" t="str">
        <f t="shared" si="600"/>
        <v/>
      </c>
      <c r="F4061">
        <f t="shared" si="601"/>
        <v>4.28571428571429</v>
      </c>
      <c r="G4061" t="str">
        <f t="shared" si="602"/>
        <v/>
      </c>
    </row>
    <row r="4062" spans="2:7">
      <c r="B4062" s="46"/>
      <c r="C4062" t="str">
        <f t="shared" si="598"/>
        <v/>
      </c>
      <c r="D4062" s="63" t="str">
        <f t="shared" si="599"/>
        <v/>
      </c>
      <c r="E4062" t="str">
        <f t="shared" si="600"/>
        <v/>
      </c>
      <c r="F4062" t="str">
        <f t="shared" si="601"/>
        <v/>
      </c>
      <c r="G4062">
        <f t="shared" si="602"/>
        <v>3.43396226415094</v>
      </c>
    </row>
    <row r="4063" spans="2:7">
      <c r="B4063" s="46"/>
      <c r="C4063" t="str">
        <f t="shared" si="598"/>
        <v/>
      </c>
      <c r="D4063" s="63" t="str">
        <f t="shared" si="599"/>
        <v/>
      </c>
      <c r="E4063">
        <f t="shared" si="600"/>
        <v>14.5833333333333</v>
      </c>
      <c r="F4063" t="str">
        <f t="shared" si="601"/>
        <v/>
      </c>
      <c r="G4063" t="str">
        <f t="shared" si="602"/>
        <v/>
      </c>
    </row>
    <row r="4064" spans="2:7">
      <c r="B4064" s="46"/>
      <c r="C4064" t="str">
        <f t="shared" si="598"/>
        <v/>
      </c>
      <c r="D4064" s="63" t="str">
        <f t="shared" si="599"/>
        <v/>
      </c>
      <c r="E4064" t="str">
        <f t="shared" si="600"/>
        <v/>
      </c>
      <c r="F4064">
        <f t="shared" si="601"/>
        <v>6.42857142857143</v>
      </c>
      <c r="G4064" t="str">
        <f t="shared" si="602"/>
        <v/>
      </c>
    </row>
    <row r="4065" spans="2:7">
      <c r="B4065" s="46"/>
      <c r="C4065" t="str">
        <f t="shared" si="598"/>
        <v/>
      </c>
      <c r="D4065" s="63" t="str">
        <f t="shared" si="599"/>
        <v/>
      </c>
      <c r="E4065" t="str">
        <f t="shared" si="600"/>
        <v/>
      </c>
      <c r="F4065" t="str">
        <f t="shared" si="601"/>
        <v/>
      </c>
      <c r="G4065">
        <f t="shared" si="602"/>
        <v>3.84591194968553</v>
      </c>
    </row>
    <row r="4066" spans="2:7">
      <c r="B4066" s="46"/>
      <c r="C4066">
        <f t="shared" si="598"/>
        <v>0.844907407407407</v>
      </c>
      <c r="D4066" s="63" t="str">
        <f t="shared" si="599"/>
        <v/>
      </c>
      <c r="E4066" t="str">
        <f t="shared" si="600"/>
        <v/>
      </c>
      <c r="F4066" t="str">
        <f t="shared" si="601"/>
        <v/>
      </c>
      <c r="G4066" t="str">
        <f t="shared" si="602"/>
        <v/>
      </c>
    </row>
    <row r="4067" spans="2:7">
      <c r="B4067" s="46"/>
      <c r="C4067">
        <f t="shared" si="598"/>
        <v>6.79803240740741</v>
      </c>
      <c r="D4067" s="63" t="str">
        <f t="shared" si="599"/>
        <v/>
      </c>
      <c r="E4067" t="str">
        <f t="shared" si="600"/>
        <v/>
      </c>
      <c r="F4067" t="str">
        <f t="shared" si="601"/>
        <v/>
      </c>
      <c r="G4067" t="str">
        <f t="shared" si="602"/>
        <v/>
      </c>
    </row>
    <row r="4068" spans="2:7">
      <c r="B4068" s="46"/>
      <c r="C4068">
        <f t="shared" si="598"/>
        <v>6.79803240740741</v>
      </c>
      <c r="D4068" s="63" t="str">
        <f t="shared" si="599"/>
        <v/>
      </c>
      <c r="E4068" t="str">
        <f t="shared" si="600"/>
        <v/>
      </c>
      <c r="F4068" t="str">
        <f t="shared" si="601"/>
        <v/>
      </c>
      <c r="G4068" t="str">
        <f t="shared" si="602"/>
        <v/>
      </c>
    </row>
    <row r="4069" spans="2:7">
      <c r="B4069" s="46"/>
      <c r="C4069">
        <f t="shared" si="598"/>
        <v>7.52719907407408</v>
      </c>
      <c r="D4069" s="63" t="str">
        <f t="shared" si="599"/>
        <v/>
      </c>
      <c r="E4069" t="str">
        <f t="shared" si="600"/>
        <v/>
      </c>
      <c r="F4069" t="str">
        <f t="shared" si="601"/>
        <v/>
      </c>
      <c r="G4069" t="str">
        <f t="shared" si="602"/>
        <v/>
      </c>
    </row>
    <row r="4070" spans="2:7">
      <c r="B4070" s="46"/>
      <c r="C4070" t="str">
        <f t="shared" si="598"/>
        <v/>
      </c>
      <c r="D4070" s="63">
        <f t="shared" si="599"/>
        <v>2.7881455399061</v>
      </c>
      <c r="E4070" t="str">
        <f t="shared" si="600"/>
        <v/>
      </c>
      <c r="F4070" t="str">
        <f t="shared" si="601"/>
        <v/>
      </c>
      <c r="G4070" t="str">
        <f t="shared" si="602"/>
        <v/>
      </c>
    </row>
    <row r="4071" spans="2:7">
      <c r="B4071" s="46"/>
      <c r="C4071" t="str">
        <f t="shared" si="598"/>
        <v/>
      </c>
      <c r="D4071" s="63">
        <f t="shared" si="599"/>
        <v>4.47535211267606</v>
      </c>
      <c r="E4071" t="str">
        <f t="shared" si="600"/>
        <v/>
      </c>
      <c r="F4071" t="str">
        <f t="shared" si="601"/>
        <v/>
      </c>
      <c r="G4071" t="str">
        <f t="shared" si="602"/>
        <v/>
      </c>
    </row>
    <row r="4072" spans="2:7">
      <c r="B4072" s="46"/>
      <c r="C4072" t="str">
        <f t="shared" si="598"/>
        <v/>
      </c>
      <c r="D4072" s="63">
        <f t="shared" si="599"/>
        <v>6.10680751173709</v>
      </c>
      <c r="E4072" t="str">
        <f t="shared" si="600"/>
        <v/>
      </c>
      <c r="F4072" t="str">
        <f t="shared" si="601"/>
        <v/>
      </c>
      <c r="G4072" t="str">
        <f t="shared" si="602"/>
        <v/>
      </c>
    </row>
    <row r="4073" spans="2:7">
      <c r="B4073" s="46"/>
      <c r="C4073" t="str">
        <f t="shared" si="598"/>
        <v/>
      </c>
      <c r="D4073" s="63">
        <f t="shared" si="599"/>
        <v>8.50821596244131</v>
      </c>
      <c r="E4073" t="str">
        <f t="shared" si="600"/>
        <v/>
      </c>
      <c r="F4073" t="str">
        <f t="shared" si="601"/>
        <v/>
      </c>
      <c r="G4073" t="str">
        <f t="shared" si="602"/>
        <v/>
      </c>
    </row>
    <row r="4074" spans="2:7">
      <c r="B4074" s="46"/>
      <c r="C4074" t="str">
        <f t="shared" si="598"/>
        <v/>
      </c>
      <c r="D4074" s="63">
        <f t="shared" si="599"/>
        <v>10.268779342723</v>
      </c>
      <c r="E4074" t="str">
        <f t="shared" si="600"/>
        <v/>
      </c>
      <c r="F4074" t="str">
        <f t="shared" si="601"/>
        <v/>
      </c>
      <c r="G4074" t="str">
        <f t="shared" si="602"/>
        <v/>
      </c>
    </row>
    <row r="4075" spans="2:7">
      <c r="B4075" s="46"/>
      <c r="C4075" t="str">
        <f t="shared" si="598"/>
        <v/>
      </c>
      <c r="D4075" s="63" t="str">
        <f t="shared" si="599"/>
        <v/>
      </c>
      <c r="E4075" t="str">
        <f t="shared" si="600"/>
        <v/>
      </c>
      <c r="F4075" t="str">
        <f t="shared" si="601"/>
        <v/>
      </c>
      <c r="G4075">
        <f t="shared" si="602"/>
        <v>7.67610062893082</v>
      </c>
    </row>
    <row r="4076" spans="2:7">
      <c r="B4076" s="46"/>
      <c r="C4076" t="str">
        <f t="shared" si="598"/>
        <v/>
      </c>
      <c r="D4076" s="63" t="str">
        <f t="shared" si="599"/>
        <v/>
      </c>
      <c r="E4076" t="str">
        <f t="shared" si="600"/>
        <v/>
      </c>
      <c r="F4076" t="str">
        <f t="shared" si="601"/>
        <v/>
      </c>
      <c r="G4076">
        <f t="shared" si="602"/>
        <v>10.3836477987421</v>
      </c>
    </row>
    <row r="4077" spans="2:7">
      <c r="B4077" s="46"/>
      <c r="C4077" t="str">
        <f t="shared" si="598"/>
        <v/>
      </c>
      <c r="D4077" s="63" t="str">
        <f t="shared" si="599"/>
        <v/>
      </c>
      <c r="E4077" t="str">
        <f t="shared" si="600"/>
        <v/>
      </c>
      <c r="F4077" t="str">
        <f t="shared" si="601"/>
        <v/>
      </c>
      <c r="G4077">
        <f t="shared" si="602"/>
        <v>13.2138364779874</v>
      </c>
    </row>
    <row r="4078" spans="2:7">
      <c r="B4078" s="46"/>
      <c r="C4078" t="str">
        <f t="shared" si="598"/>
        <v/>
      </c>
      <c r="D4078" s="63" t="str">
        <f t="shared" si="599"/>
        <v/>
      </c>
      <c r="E4078" t="str">
        <f t="shared" si="600"/>
        <v/>
      </c>
      <c r="F4078" t="str">
        <f t="shared" si="601"/>
        <v/>
      </c>
      <c r="G4078">
        <f t="shared" si="602"/>
        <v>14.7243186582809</v>
      </c>
    </row>
    <row r="4079" spans="2:7">
      <c r="B4079" s="46"/>
      <c r="C4079" t="str">
        <f t="shared" si="598"/>
        <v/>
      </c>
      <c r="D4079" s="63" t="str">
        <f t="shared" si="599"/>
        <v/>
      </c>
      <c r="E4079" t="str">
        <f t="shared" si="600"/>
        <v/>
      </c>
      <c r="F4079">
        <f t="shared" si="601"/>
        <v>9.17630385487529</v>
      </c>
      <c r="G4079" t="str">
        <f t="shared" si="602"/>
        <v/>
      </c>
    </row>
    <row r="4080" spans="2:7">
      <c r="B4080" s="46"/>
      <c r="C4080" t="str">
        <f t="shared" si="598"/>
        <v/>
      </c>
      <c r="D4080" s="63" t="str">
        <f t="shared" si="599"/>
        <v/>
      </c>
      <c r="E4080" t="str">
        <f t="shared" si="600"/>
        <v/>
      </c>
      <c r="F4080">
        <f t="shared" si="601"/>
        <v>12.328231292517</v>
      </c>
      <c r="G4080" t="str">
        <f t="shared" si="602"/>
        <v/>
      </c>
    </row>
    <row r="4081" spans="2:7">
      <c r="B4081" s="46"/>
      <c r="C4081" t="str">
        <f t="shared" si="598"/>
        <v/>
      </c>
      <c r="D4081" s="63" t="str">
        <f t="shared" si="599"/>
        <v/>
      </c>
      <c r="E4081" t="str">
        <f t="shared" si="600"/>
        <v/>
      </c>
      <c r="F4081">
        <f t="shared" si="601"/>
        <v>15.0017006802721</v>
      </c>
      <c r="G4081" t="str">
        <f t="shared" si="602"/>
        <v/>
      </c>
    </row>
    <row r="4082" spans="2:7">
      <c r="B4082" s="46"/>
      <c r="C4082">
        <f t="shared" si="598"/>
        <v>10.328125</v>
      </c>
      <c r="D4082" s="63" t="str">
        <f t="shared" si="599"/>
        <v/>
      </c>
      <c r="E4082" t="str">
        <f t="shared" si="600"/>
        <v/>
      </c>
      <c r="F4082" t="str">
        <f t="shared" si="601"/>
        <v/>
      </c>
      <c r="G4082" t="str">
        <f t="shared" si="602"/>
        <v/>
      </c>
    </row>
    <row r="4083" spans="2:7">
      <c r="B4083" s="46"/>
      <c r="C4083">
        <f t="shared" si="598"/>
        <v>14.5908564814815</v>
      </c>
      <c r="D4083" s="63" t="str">
        <f t="shared" si="599"/>
        <v/>
      </c>
      <c r="E4083" t="str">
        <f t="shared" si="600"/>
        <v/>
      </c>
      <c r="F4083" t="str">
        <f t="shared" si="601"/>
        <v/>
      </c>
      <c r="G4083" t="str">
        <f t="shared" si="602"/>
        <v/>
      </c>
    </row>
    <row r="4084" spans="2:7">
      <c r="B4084" s="46"/>
      <c r="C4084">
        <f t="shared" si="598"/>
        <v>14.9409722222222</v>
      </c>
      <c r="D4084" s="63" t="str">
        <f t="shared" si="599"/>
        <v/>
      </c>
      <c r="E4084" t="str">
        <f t="shared" si="600"/>
        <v/>
      </c>
      <c r="F4084" t="str">
        <f t="shared" si="601"/>
        <v/>
      </c>
      <c r="G4084" t="str">
        <f t="shared" si="602"/>
        <v/>
      </c>
    </row>
    <row r="4085" spans="2:7">
      <c r="B4085" s="46"/>
      <c r="C4085">
        <f t="shared" si="598"/>
        <v>19.2465277777778</v>
      </c>
      <c r="D4085" s="63" t="str">
        <f t="shared" si="599"/>
        <v/>
      </c>
      <c r="E4085" t="str">
        <f t="shared" si="600"/>
        <v/>
      </c>
      <c r="F4085" t="str">
        <f t="shared" si="601"/>
        <v/>
      </c>
      <c r="G4085" t="str">
        <f t="shared" si="602"/>
        <v/>
      </c>
    </row>
    <row r="4086" spans="2:7">
      <c r="B4086" s="46"/>
      <c r="C4086" t="str">
        <f t="shared" si="598"/>
        <v/>
      </c>
      <c r="D4086" s="63">
        <f t="shared" si="599"/>
        <v>15.0340375586854</v>
      </c>
      <c r="E4086" t="str">
        <f t="shared" si="600"/>
        <v/>
      </c>
      <c r="F4086" t="str">
        <f t="shared" si="601"/>
        <v/>
      </c>
      <c r="G4086" t="str">
        <f t="shared" si="602"/>
        <v/>
      </c>
    </row>
    <row r="4087" spans="2:7">
      <c r="B4087" s="46"/>
      <c r="C4087" t="str">
        <f t="shared" si="598"/>
        <v/>
      </c>
      <c r="D4087" s="63">
        <f t="shared" si="599"/>
        <v>15.0340375586854</v>
      </c>
      <c r="E4087" t="str">
        <f t="shared" si="600"/>
        <v/>
      </c>
      <c r="F4087" t="str">
        <f t="shared" si="601"/>
        <v/>
      </c>
      <c r="G4087" t="str">
        <f t="shared" si="602"/>
        <v/>
      </c>
    </row>
    <row r="4088" spans="2:7">
      <c r="B4088" s="46"/>
      <c r="C4088" t="str">
        <f t="shared" si="598"/>
        <v/>
      </c>
      <c r="D4088" s="63">
        <f t="shared" si="599"/>
        <v>16.1343896713615</v>
      </c>
      <c r="E4088" t="str">
        <f t="shared" si="600"/>
        <v/>
      </c>
      <c r="F4088" t="str">
        <f t="shared" si="601"/>
        <v/>
      </c>
      <c r="G4088" t="str">
        <f t="shared" si="602"/>
        <v/>
      </c>
    </row>
    <row r="4089" spans="2:7">
      <c r="B4089" s="46"/>
      <c r="C4089" t="str">
        <f t="shared" si="598"/>
        <v/>
      </c>
      <c r="D4089" s="63">
        <f t="shared" si="599"/>
        <v>16.8620892018779</v>
      </c>
      <c r="E4089" t="str">
        <f t="shared" si="600"/>
        <v/>
      </c>
      <c r="F4089" t="str">
        <f t="shared" si="601"/>
        <v/>
      </c>
      <c r="G4089" t="str">
        <f t="shared" si="602"/>
        <v/>
      </c>
    </row>
    <row r="4090" spans="2:7">
      <c r="B4090" s="46"/>
      <c r="C4090" t="str">
        <f t="shared" si="598"/>
        <v/>
      </c>
      <c r="D4090" s="63" t="str">
        <f t="shared" si="599"/>
        <v/>
      </c>
      <c r="E4090">
        <f t="shared" si="600"/>
        <v>16.1245098039216</v>
      </c>
      <c r="F4090" t="str">
        <f t="shared" si="601"/>
        <v/>
      </c>
      <c r="G4090" t="str">
        <f t="shared" si="602"/>
        <v/>
      </c>
    </row>
    <row r="4091" spans="2:7">
      <c r="B4091" s="46"/>
      <c r="C4091" t="str">
        <f t="shared" si="598"/>
        <v/>
      </c>
      <c r="D4091" s="63" t="str">
        <f t="shared" si="599"/>
        <v/>
      </c>
      <c r="E4091">
        <f t="shared" si="600"/>
        <v>17.9225490196078</v>
      </c>
      <c r="F4091" t="str">
        <f t="shared" si="601"/>
        <v/>
      </c>
      <c r="G4091" t="str">
        <f t="shared" si="602"/>
        <v/>
      </c>
    </row>
    <row r="4092" spans="2:7">
      <c r="B4092" s="46"/>
      <c r="C4092" t="str">
        <f t="shared" si="598"/>
        <v/>
      </c>
      <c r="D4092" s="63" t="str">
        <f t="shared" si="599"/>
        <v/>
      </c>
      <c r="E4092">
        <f t="shared" si="600"/>
        <v>18.7166666666667</v>
      </c>
      <c r="F4092" t="str">
        <f t="shared" si="601"/>
        <v/>
      </c>
      <c r="G4092" t="str">
        <f t="shared" si="602"/>
        <v/>
      </c>
    </row>
    <row r="4093" spans="2:7">
      <c r="B4093" s="46"/>
      <c r="C4093" t="str">
        <f t="shared" si="598"/>
        <v/>
      </c>
      <c r="D4093" s="63" t="str">
        <f t="shared" si="599"/>
        <v/>
      </c>
      <c r="E4093">
        <f t="shared" si="600"/>
        <v>18.9539215686275</v>
      </c>
      <c r="F4093" t="str">
        <f t="shared" si="601"/>
        <v/>
      </c>
      <c r="G4093" t="str">
        <f t="shared" si="602"/>
        <v/>
      </c>
    </row>
    <row r="4094" spans="2:7">
      <c r="B4094" s="46"/>
      <c r="C4094" t="str">
        <f t="shared" si="598"/>
        <v/>
      </c>
      <c r="D4094" s="63" t="str">
        <f t="shared" si="599"/>
        <v/>
      </c>
      <c r="E4094" t="str">
        <f t="shared" si="600"/>
        <v/>
      </c>
      <c r="F4094" t="str">
        <f t="shared" si="601"/>
        <v/>
      </c>
      <c r="G4094">
        <f t="shared" si="602"/>
        <v>15.4449685534591</v>
      </c>
    </row>
    <row r="4095" spans="2:7">
      <c r="B4095" s="46"/>
      <c r="C4095" t="str">
        <f t="shared" si="598"/>
        <v/>
      </c>
      <c r="D4095" s="63" t="str">
        <f t="shared" si="599"/>
        <v/>
      </c>
      <c r="E4095" t="str">
        <f t="shared" si="600"/>
        <v/>
      </c>
      <c r="F4095" t="str">
        <f t="shared" si="601"/>
        <v/>
      </c>
      <c r="G4095">
        <f t="shared" si="602"/>
        <v>16.4669811320755</v>
      </c>
    </row>
    <row r="4096" spans="2:7">
      <c r="B4096" s="46"/>
      <c r="C4096" t="str">
        <f t="shared" si="598"/>
        <v/>
      </c>
      <c r="D4096" s="63" t="str">
        <f t="shared" si="599"/>
        <v/>
      </c>
      <c r="E4096" t="str">
        <f t="shared" si="600"/>
        <v/>
      </c>
      <c r="F4096" t="str">
        <f t="shared" si="601"/>
        <v/>
      </c>
      <c r="G4096">
        <f t="shared" si="602"/>
        <v>17.7877358490566</v>
      </c>
    </row>
    <row r="4097" spans="2:7">
      <c r="B4097" s="46"/>
      <c r="C4097" t="str">
        <f t="shared" si="598"/>
        <v/>
      </c>
      <c r="D4097" s="63" t="str">
        <f t="shared" si="599"/>
        <v/>
      </c>
      <c r="E4097" t="str">
        <f t="shared" si="600"/>
        <v/>
      </c>
      <c r="F4097" t="str">
        <f t="shared" si="601"/>
        <v/>
      </c>
      <c r="G4097">
        <f t="shared" si="602"/>
        <v>18.377358490566</v>
      </c>
    </row>
    <row r="4098" spans="2:7">
      <c r="B4098" s="46"/>
      <c r="C4098" t="str">
        <f t="shared" si="598"/>
        <v/>
      </c>
      <c r="D4098" s="63" t="str">
        <f t="shared" si="599"/>
        <v/>
      </c>
      <c r="E4098" t="str">
        <f t="shared" si="600"/>
        <v/>
      </c>
      <c r="F4098">
        <f t="shared" si="601"/>
        <v>15.4234693877551</v>
      </c>
      <c r="G4098" t="str">
        <f t="shared" si="602"/>
        <v/>
      </c>
    </row>
    <row r="4099" spans="2:7">
      <c r="B4099" s="46"/>
      <c r="C4099" t="str">
        <f t="shared" si="598"/>
        <v/>
      </c>
      <c r="D4099" s="63" t="str">
        <f t="shared" si="599"/>
        <v/>
      </c>
      <c r="E4099" t="str">
        <f t="shared" si="600"/>
        <v/>
      </c>
      <c r="F4099">
        <f t="shared" si="601"/>
        <v>16.7698412698413</v>
      </c>
      <c r="G4099" t="str">
        <f t="shared" si="602"/>
        <v/>
      </c>
    </row>
    <row r="4100" spans="2:7">
      <c r="B4100" s="46"/>
      <c r="C4100" t="str">
        <f t="shared" si="598"/>
        <v/>
      </c>
      <c r="D4100" s="63" t="str">
        <f t="shared" si="599"/>
        <v/>
      </c>
      <c r="E4100" t="str">
        <f t="shared" si="600"/>
        <v/>
      </c>
      <c r="F4100">
        <f t="shared" si="601"/>
        <v>18.109410430839</v>
      </c>
      <c r="G4100" t="str">
        <f t="shared" si="602"/>
        <v/>
      </c>
    </row>
    <row r="4101" spans="2:7">
      <c r="B4101" s="46"/>
      <c r="C4101" t="str">
        <f t="shared" si="598"/>
        <v/>
      </c>
      <c r="D4101" s="63" t="str">
        <f t="shared" si="599"/>
        <v/>
      </c>
      <c r="E4101" t="str">
        <f t="shared" si="600"/>
        <v/>
      </c>
      <c r="F4101">
        <f t="shared" si="601"/>
        <v>20.1581632653061</v>
      </c>
      <c r="G4101" t="str">
        <f t="shared" si="602"/>
        <v/>
      </c>
    </row>
    <row r="4102" spans="2:7">
      <c r="B4102" s="46"/>
      <c r="C4102" t="str">
        <f t="shared" si="598"/>
        <v/>
      </c>
      <c r="D4102" s="63" t="str">
        <f t="shared" si="599"/>
        <v/>
      </c>
      <c r="E4102" t="str">
        <f t="shared" si="600"/>
        <v/>
      </c>
      <c r="F4102">
        <f t="shared" si="601"/>
        <v>22.1581632653061</v>
      </c>
      <c r="G4102" t="str">
        <f t="shared" si="602"/>
        <v/>
      </c>
    </row>
    <row r="4103" spans="2:7">
      <c r="B4103" s="46"/>
      <c r="C4103" t="str">
        <f t="shared" si="598"/>
        <v/>
      </c>
      <c r="D4103" s="63" t="str">
        <f t="shared" si="599"/>
        <v/>
      </c>
      <c r="E4103" t="str">
        <f t="shared" si="600"/>
        <v/>
      </c>
      <c r="F4103">
        <f t="shared" si="601"/>
        <v>22.8781179138322</v>
      </c>
      <c r="G4103" t="str">
        <f t="shared" si="602"/>
        <v/>
      </c>
    </row>
    <row r="4104" spans="2:7">
      <c r="B4104" s="46"/>
      <c r="C4104" t="str">
        <f t="shared" si="598"/>
        <v/>
      </c>
      <c r="D4104" s="63">
        <f t="shared" si="599"/>
        <v>17.3022300469484</v>
      </c>
      <c r="E4104" t="str">
        <f t="shared" si="600"/>
        <v/>
      </c>
      <c r="F4104" t="str">
        <f t="shared" si="601"/>
        <v/>
      </c>
      <c r="G4104" t="str">
        <f t="shared" si="602"/>
        <v/>
      </c>
    </row>
    <row r="4105" spans="2:7">
      <c r="B4105" s="46"/>
      <c r="C4105" t="str">
        <f t="shared" si="598"/>
        <v/>
      </c>
      <c r="D4105" s="63">
        <f t="shared" si="599"/>
        <v>22.837441314554</v>
      </c>
      <c r="E4105" t="str">
        <f t="shared" si="600"/>
        <v/>
      </c>
      <c r="F4105" t="str">
        <f t="shared" si="601"/>
        <v/>
      </c>
      <c r="G4105" t="str">
        <f t="shared" si="602"/>
        <v/>
      </c>
    </row>
    <row r="4106" spans="2:7">
      <c r="B4106" s="46"/>
      <c r="C4106" t="str">
        <f t="shared" si="598"/>
        <v/>
      </c>
      <c r="D4106" s="63">
        <f t="shared" si="599"/>
        <v>23.7089201877934</v>
      </c>
      <c r="E4106" t="str">
        <f t="shared" si="600"/>
        <v/>
      </c>
      <c r="F4106" t="str">
        <f t="shared" si="601"/>
        <v/>
      </c>
      <c r="G4106" t="str">
        <f t="shared" si="602"/>
        <v/>
      </c>
    </row>
    <row r="4107" spans="2:7">
      <c r="B4107" s="46"/>
      <c r="C4107" t="str">
        <f t="shared" si="598"/>
        <v/>
      </c>
      <c r="D4107" s="63">
        <f t="shared" si="599"/>
        <v>24.3427230046948</v>
      </c>
      <c r="E4107" t="str">
        <f t="shared" si="600"/>
        <v/>
      </c>
      <c r="F4107" t="str">
        <f t="shared" si="601"/>
        <v/>
      </c>
      <c r="G4107" t="str">
        <f t="shared" si="602"/>
        <v/>
      </c>
    </row>
    <row r="4108" spans="2:7">
      <c r="B4108" s="46"/>
      <c r="C4108" t="str">
        <f t="shared" si="598"/>
        <v/>
      </c>
      <c r="D4108" s="63">
        <f t="shared" si="599"/>
        <v>27.5704225352113</v>
      </c>
      <c r="E4108" t="str">
        <f t="shared" si="600"/>
        <v/>
      </c>
      <c r="F4108" t="str">
        <f t="shared" si="601"/>
        <v/>
      </c>
      <c r="G4108" t="str">
        <f t="shared" si="602"/>
        <v/>
      </c>
    </row>
    <row r="4109" spans="2:7">
      <c r="B4109" s="46"/>
      <c r="C4109" t="str">
        <f t="shared" si="598"/>
        <v/>
      </c>
      <c r="D4109" s="63" t="str">
        <f t="shared" si="599"/>
        <v/>
      </c>
      <c r="E4109" t="str">
        <f t="shared" si="600"/>
        <v/>
      </c>
      <c r="F4109" t="str">
        <f t="shared" si="601"/>
        <v/>
      </c>
      <c r="G4109">
        <f t="shared" si="602"/>
        <v>19.1949685534591</v>
      </c>
    </row>
    <row r="4110" spans="2:7">
      <c r="B4110" s="46"/>
      <c r="C4110" t="str">
        <f t="shared" si="598"/>
        <v/>
      </c>
      <c r="D4110" s="63" t="str">
        <f t="shared" si="599"/>
        <v/>
      </c>
      <c r="E4110" t="str">
        <f t="shared" si="600"/>
        <v/>
      </c>
      <c r="F4110" t="str">
        <f t="shared" si="601"/>
        <v/>
      </c>
      <c r="G4110">
        <f t="shared" si="602"/>
        <v>21.9606918238994</v>
      </c>
    </row>
    <row r="4111" spans="2:7">
      <c r="B4111" s="46"/>
      <c r="C4111" t="str">
        <f t="shared" si="598"/>
        <v/>
      </c>
      <c r="D4111" s="63" t="str">
        <f t="shared" si="599"/>
        <v/>
      </c>
      <c r="E4111" t="str">
        <f t="shared" si="600"/>
        <v/>
      </c>
      <c r="F4111" t="str">
        <f t="shared" si="601"/>
        <v/>
      </c>
      <c r="G4111">
        <f t="shared" si="602"/>
        <v>21.9606918238994</v>
      </c>
    </row>
    <row r="4112" spans="2:7">
      <c r="B4112" s="46"/>
      <c r="C4112" t="str">
        <f t="shared" si="598"/>
        <v/>
      </c>
      <c r="D4112" s="63" t="str">
        <f t="shared" si="599"/>
        <v/>
      </c>
      <c r="E4112" t="str">
        <f t="shared" si="600"/>
        <v/>
      </c>
      <c r="F4112" t="str">
        <f t="shared" si="601"/>
        <v/>
      </c>
      <c r="G4112">
        <f t="shared" si="602"/>
        <v>25.2222222222222</v>
      </c>
    </row>
    <row r="4113" spans="2:7">
      <c r="B4113" s="46"/>
      <c r="C4113" t="str">
        <f t="shared" si="598"/>
        <v/>
      </c>
      <c r="D4113" s="63" t="str">
        <f t="shared" si="599"/>
        <v/>
      </c>
      <c r="E4113">
        <f t="shared" si="600"/>
        <v>22.268137254902</v>
      </c>
      <c r="F4113" t="str">
        <f t="shared" si="601"/>
        <v/>
      </c>
      <c r="G4113" t="str">
        <f t="shared" si="602"/>
        <v/>
      </c>
    </row>
    <row r="4114" spans="2:7">
      <c r="B4114" s="46"/>
      <c r="C4114" t="str">
        <f t="shared" si="598"/>
        <v/>
      </c>
      <c r="D4114" s="63" t="str">
        <f t="shared" si="599"/>
        <v/>
      </c>
      <c r="E4114">
        <f t="shared" si="600"/>
        <v>22.268137254902</v>
      </c>
      <c r="F4114" t="str">
        <f t="shared" si="601"/>
        <v/>
      </c>
      <c r="G4114" t="str">
        <f t="shared" si="602"/>
        <v/>
      </c>
    </row>
    <row r="4115" spans="2:7">
      <c r="B4115" s="46"/>
      <c r="C4115" t="str">
        <f t="shared" si="598"/>
        <v/>
      </c>
      <c r="D4115" s="63" t="str">
        <f t="shared" si="599"/>
        <v/>
      </c>
      <c r="E4115">
        <f t="shared" si="600"/>
        <v>24.6995098039216</v>
      </c>
      <c r="F4115" t="str">
        <f t="shared" si="601"/>
        <v/>
      </c>
      <c r="G4115" t="str">
        <f t="shared" si="602"/>
        <v/>
      </c>
    </row>
    <row r="4116" spans="2:7">
      <c r="B4116" s="46"/>
      <c r="C4116" t="str">
        <f t="shared" si="598"/>
        <v/>
      </c>
      <c r="D4116" s="63" t="str">
        <f t="shared" si="599"/>
        <v/>
      </c>
      <c r="E4116">
        <f t="shared" si="600"/>
        <v>25.3416666666667</v>
      </c>
      <c r="F4116" t="str">
        <f t="shared" si="601"/>
        <v/>
      </c>
      <c r="G4116" t="str">
        <f t="shared" si="602"/>
        <v/>
      </c>
    </row>
    <row r="4117" spans="2:7">
      <c r="B4117" s="46"/>
      <c r="C4117">
        <f t="shared" si="598"/>
        <v>19.5358796296296</v>
      </c>
      <c r="D4117" s="63" t="str">
        <f t="shared" si="599"/>
        <v/>
      </c>
      <c r="E4117" t="str">
        <f t="shared" si="600"/>
        <v/>
      </c>
      <c r="F4117" t="str">
        <f t="shared" si="601"/>
        <v/>
      </c>
      <c r="G4117" t="str">
        <f t="shared" si="602"/>
        <v/>
      </c>
    </row>
    <row r="4118" spans="2:7">
      <c r="B4118" s="46"/>
      <c r="C4118">
        <f t="shared" si="598"/>
        <v>20.1608796296296</v>
      </c>
      <c r="D4118" s="63" t="str">
        <f t="shared" si="599"/>
        <v/>
      </c>
      <c r="E4118" t="str">
        <f t="shared" si="600"/>
        <v/>
      </c>
      <c r="F4118" t="str">
        <f t="shared" si="601"/>
        <v/>
      </c>
      <c r="G4118" t="str">
        <f t="shared" si="602"/>
        <v/>
      </c>
    </row>
    <row r="4119" spans="2:7">
      <c r="B4119" s="46"/>
      <c r="C4119">
        <f t="shared" si="598"/>
        <v>21.7233796296296</v>
      </c>
      <c r="D4119" s="63" t="str">
        <f t="shared" si="599"/>
        <v/>
      </c>
      <c r="E4119" t="str">
        <f t="shared" si="600"/>
        <v/>
      </c>
      <c r="F4119" t="str">
        <f t="shared" si="601"/>
        <v/>
      </c>
      <c r="G4119" t="str">
        <f t="shared" si="602"/>
        <v/>
      </c>
    </row>
    <row r="4120" spans="2:7">
      <c r="B4120" s="46"/>
      <c r="C4120">
        <f t="shared" si="598"/>
        <v>22.7054398148148</v>
      </c>
      <c r="D4120" s="63" t="str">
        <f t="shared" si="599"/>
        <v/>
      </c>
      <c r="E4120" t="str">
        <f t="shared" si="600"/>
        <v/>
      </c>
      <c r="F4120" t="str">
        <f t="shared" si="601"/>
        <v/>
      </c>
      <c r="G4120" t="str">
        <f t="shared" si="602"/>
        <v/>
      </c>
    </row>
    <row r="4121" spans="2:7">
      <c r="B4121" s="46"/>
      <c r="C4121">
        <f t="shared" si="598"/>
        <v>22.7054398148148</v>
      </c>
      <c r="D4121" s="63" t="str">
        <f t="shared" si="599"/>
        <v/>
      </c>
      <c r="E4121" t="str">
        <f t="shared" si="600"/>
        <v/>
      </c>
      <c r="F4121" t="str">
        <f t="shared" si="601"/>
        <v/>
      </c>
      <c r="G4121" t="str">
        <f t="shared" si="602"/>
        <v/>
      </c>
    </row>
    <row r="4122" spans="2:7">
      <c r="B4122" s="46"/>
      <c r="C4122">
        <f t="shared" ref="C4122:C4141" si="603">IF(J72=1,S72,"")</f>
        <v>22.8512731481482</v>
      </c>
      <c r="D4122" s="63" t="str">
        <f t="shared" ref="D4122:D4141" si="604">IF(J72=2,S72,"")</f>
        <v/>
      </c>
      <c r="E4122" t="str">
        <f t="shared" ref="E4122:E4141" si="605">IF(J72=3,S72,"")</f>
        <v/>
      </c>
      <c r="F4122" t="str">
        <f t="shared" ref="F4122:F4141" si="606">IF(J72=4,S72,"")</f>
        <v/>
      </c>
      <c r="G4122" t="str">
        <f t="shared" ref="G4122:G4141" si="607">IF(J72=5,S72,"")</f>
        <v/>
      </c>
    </row>
    <row r="4123" spans="2:7">
      <c r="B4123" s="46"/>
      <c r="C4123">
        <f t="shared" si="603"/>
        <v>34.4068287037037</v>
      </c>
      <c r="D4123" s="63" t="str">
        <f t="shared" si="604"/>
        <v/>
      </c>
      <c r="E4123" t="str">
        <f t="shared" si="605"/>
        <v/>
      </c>
      <c r="F4123" t="str">
        <f t="shared" si="606"/>
        <v/>
      </c>
      <c r="G4123" t="str">
        <f t="shared" si="607"/>
        <v/>
      </c>
    </row>
    <row r="4124" spans="2:7">
      <c r="B4124" s="46"/>
      <c r="C4124">
        <f t="shared" si="603"/>
        <v>34.4068287037037</v>
      </c>
      <c r="D4124" s="63" t="str">
        <f t="shared" si="604"/>
        <v/>
      </c>
      <c r="E4124" t="str">
        <f t="shared" si="605"/>
        <v/>
      </c>
      <c r="F4124" t="str">
        <f t="shared" si="606"/>
        <v/>
      </c>
      <c r="G4124" t="str">
        <f t="shared" si="607"/>
        <v/>
      </c>
    </row>
    <row r="4125" spans="2:7">
      <c r="B4125" s="46"/>
      <c r="C4125">
        <f t="shared" si="603"/>
        <v>35.5827546296296</v>
      </c>
      <c r="D4125" s="63" t="str">
        <f t="shared" si="604"/>
        <v/>
      </c>
      <c r="E4125" t="str">
        <f t="shared" si="605"/>
        <v/>
      </c>
      <c r="F4125" t="str">
        <f t="shared" si="606"/>
        <v/>
      </c>
      <c r="G4125" t="str">
        <f t="shared" si="607"/>
        <v/>
      </c>
    </row>
    <row r="4126" spans="2:7">
      <c r="B4126" s="46"/>
      <c r="C4126">
        <f t="shared" si="603"/>
        <v>36.7893518518519</v>
      </c>
      <c r="D4126" s="63" t="str">
        <f t="shared" si="604"/>
        <v/>
      </c>
      <c r="E4126" t="str">
        <f t="shared" si="605"/>
        <v/>
      </c>
      <c r="F4126" t="str">
        <f t="shared" si="606"/>
        <v/>
      </c>
      <c r="G4126" t="str">
        <f t="shared" si="607"/>
        <v/>
      </c>
    </row>
    <row r="4127" spans="2:7">
      <c r="B4127" s="46"/>
      <c r="C4127" t="str">
        <f t="shared" si="603"/>
        <v/>
      </c>
      <c r="D4127" s="63" t="str">
        <f t="shared" si="604"/>
        <v/>
      </c>
      <c r="E4127" t="str">
        <f t="shared" si="605"/>
        <v/>
      </c>
      <c r="F4127">
        <f t="shared" si="606"/>
        <v>23.4404761904762</v>
      </c>
      <c r="G4127" t="str">
        <f t="shared" si="607"/>
        <v/>
      </c>
    </row>
    <row r="4128" spans="2:7">
      <c r="B4128" s="46"/>
      <c r="C4128" t="str">
        <f t="shared" si="603"/>
        <v/>
      </c>
      <c r="D4128" s="63" t="str">
        <f t="shared" si="604"/>
        <v/>
      </c>
      <c r="E4128" t="str">
        <f t="shared" si="605"/>
        <v/>
      </c>
      <c r="F4128">
        <f t="shared" si="606"/>
        <v>24.3616780045352</v>
      </c>
      <c r="G4128" t="str">
        <f t="shared" si="607"/>
        <v/>
      </c>
    </row>
    <row r="4129" spans="2:7">
      <c r="B4129" s="46"/>
      <c r="C4129" t="str">
        <f t="shared" si="603"/>
        <v/>
      </c>
      <c r="D4129" s="63" t="str">
        <f t="shared" si="604"/>
        <v/>
      </c>
      <c r="E4129" t="str">
        <f t="shared" si="605"/>
        <v/>
      </c>
      <c r="F4129">
        <f t="shared" si="606"/>
        <v>25.8378684807256</v>
      </c>
      <c r="G4129" t="str">
        <f t="shared" si="607"/>
        <v/>
      </c>
    </row>
    <row r="4130" spans="2:7">
      <c r="B4130" s="46"/>
      <c r="C4130" t="str">
        <f t="shared" si="603"/>
        <v/>
      </c>
      <c r="D4130" s="63" t="str">
        <f t="shared" si="604"/>
        <v/>
      </c>
      <c r="E4130" t="str">
        <f t="shared" si="605"/>
        <v/>
      </c>
      <c r="F4130">
        <f t="shared" si="606"/>
        <v>29.4625850340136</v>
      </c>
      <c r="G4130" t="str">
        <f t="shared" si="607"/>
        <v/>
      </c>
    </row>
    <row r="4131" spans="2:7">
      <c r="B4131" s="46"/>
      <c r="C4131" t="str">
        <f t="shared" si="603"/>
        <v/>
      </c>
      <c r="D4131" s="63" t="str">
        <f t="shared" si="604"/>
        <v/>
      </c>
      <c r="E4131" t="str">
        <f t="shared" si="605"/>
        <v/>
      </c>
      <c r="F4131">
        <f t="shared" si="606"/>
        <v>30.092970521542</v>
      </c>
      <c r="G4131" t="str">
        <f t="shared" si="607"/>
        <v/>
      </c>
    </row>
    <row r="4132" spans="2:7">
      <c r="B4132" s="46"/>
      <c r="C4132" t="str">
        <f t="shared" si="603"/>
        <v/>
      </c>
      <c r="D4132" s="63" t="str">
        <f t="shared" si="604"/>
        <v/>
      </c>
      <c r="E4132" t="str">
        <f t="shared" si="605"/>
        <v/>
      </c>
      <c r="F4132">
        <f t="shared" si="606"/>
        <v>30.8809523809524</v>
      </c>
      <c r="G4132" t="str">
        <f t="shared" si="607"/>
        <v/>
      </c>
    </row>
    <row r="4133" spans="2:7">
      <c r="B4133" s="46"/>
      <c r="C4133" t="str">
        <f t="shared" si="603"/>
        <v/>
      </c>
      <c r="D4133" s="63" t="str">
        <f t="shared" si="604"/>
        <v/>
      </c>
      <c r="E4133" t="str">
        <f t="shared" si="605"/>
        <v/>
      </c>
      <c r="F4133" t="str">
        <f t="shared" si="606"/>
        <v/>
      </c>
      <c r="G4133">
        <f t="shared" si="607"/>
        <v>26.0235849056604</v>
      </c>
    </row>
    <row r="4134" spans="2:7">
      <c r="B4134" s="46"/>
      <c r="C4134" t="str">
        <f t="shared" si="603"/>
        <v/>
      </c>
      <c r="D4134" s="63" t="str">
        <f t="shared" si="604"/>
        <v/>
      </c>
      <c r="E4134" t="str">
        <f t="shared" si="605"/>
        <v/>
      </c>
      <c r="F4134" t="str">
        <f t="shared" si="606"/>
        <v/>
      </c>
      <c r="G4134">
        <f t="shared" si="607"/>
        <v>26.8977987421384</v>
      </c>
    </row>
    <row r="4135" spans="2:7">
      <c r="B4135" s="46"/>
      <c r="C4135" t="str">
        <f t="shared" si="603"/>
        <v/>
      </c>
      <c r="D4135" s="63" t="str">
        <f t="shared" si="604"/>
        <v/>
      </c>
      <c r="E4135" t="str">
        <f t="shared" si="605"/>
        <v/>
      </c>
      <c r="F4135" t="str">
        <f t="shared" si="606"/>
        <v/>
      </c>
      <c r="G4135">
        <f t="shared" si="607"/>
        <v>27.8448637316562</v>
      </c>
    </row>
    <row r="4136" spans="2:7">
      <c r="B4136" s="46"/>
      <c r="C4136" t="str">
        <f t="shared" si="603"/>
        <v/>
      </c>
      <c r="D4136" s="63" t="str">
        <f t="shared" si="604"/>
        <v/>
      </c>
      <c r="E4136" t="str">
        <f t="shared" si="605"/>
        <v/>
      </c>
      <c r="F4136" t="str">
        <f t="shared" si="606"/>
        <v/>
      </c>
      <c r="G4136">
        <f t="shared" si="607"/>
        <v>29.229035639413</v>
      </c>
    </row>
    <row r="4137" spans="2:7">
      <c r="B4137" s="46"/>
      <c r="C4137" t="str">
        <f t="shared" si="603"/>
        <v/>
      </c>
      <c r="D4137" s="63" t="str">
        <f t="shared" si="604"/>
        <v/>
      </c>
      <c r="E4137">
        <f t="shared" si="605"/>
        <v>25.5460784313725</v>
      </c>
      <c r="F4137" t="str">
        <f t="shared" si="606"/>
        <v/>
      </c>
      <c r="G4137" t="str">
        <f t="shared" si="607"/>
        <v/>
      </c>
    </row>
    <row r="4138" spans="2:7">
      <c r="B4138" s="46"/>
      <c r="C4138" t="str">
        <f t="shared" si="603"/>
        <v/>
      </c>
      <c r="D4138" s="63" t="str">
        <f t="shared" si="604"/>
        <v/>
      </c>
      <c r="E4138">
        <f t="shared" si="605"/>
        <v>28.8676470588235</v>
      </c>
      <c r="F4138" t="str">
        <f t="shared" si="606"/>
        <v/>
      </c>
      <c r="G4138" t="str">
        <f t="shared" si="607"/>
        <v/>
      </c>
    </row>
    <row r="4139" spans="2:7">
      <c r="B4139" s="46"/>
      <c r="C4139">
        <f t="shared" si="603"/>
        <v>39.1041666666667</v>
      </c>
      <c r="D4139" s="63" t="str">
        <f t="shared" si="604"/>
        <v/>
      </c>
      <c r="E4139" t="str">
        <f t="shared" si="605"/>
        <v/>
      </c>
      <c r="F4139" t="str">
        <f t="shared" si="606"/>
        <v/>
      </c>
      <c r="G4139" t="str">
        <f t="shared" si="607"/>
        <v/>
      </c>
    </row>
    <row r="4140" spans="2:7">
      <c r="B4140" s="46"/>
      <c r="C4140" t="str">
        <f t="shared" si="603"/>
        <v/>
      </c>
      <c r="D4140" s="63" t="str">
        <f t="shared" si="604"/>
        <v/>
      </c>
      <c r="E4140">
        <f t="shared" si="605"/>
        <v>30.843137254902</v>
      </c>
      <c r="F4140" t="str">
        <f t="shared" si="606"/>
        <v/>
      </c>
      <c r="G4140" t="str">
        <f t="shared" si="607"/>
        <v/>
      </c>
    </row>
    <row r="4141" ht="15.75" spans="2:7">
      <c r="B4141" s="46"/>
      <c r="C4141" t="str">
        <f t="shared" si="603"/>
        <v/>
      </c>
      <c r="D4141" s="63" t="str">
        <f t="shared" si="604"/>
        <v/>
      </c>
      <c r="E4141">
        <f t="shared" si="605"/>
        <v>32.2524509803922</v>
      </c>
      <c r="F4141" t="str">
        <f t="shared" si="606"/>
        <v/>
      </c>
      <c r="G4141" t="str">
        <f t="shared" si="607"/>
        <v/>
      </c>
    </row>
    <row r="4142" spans="2:7">
      <c r="B4142" s="74" t="s">
        <v>269</v>
      </c>
      <c r="C4142" s="75">
        <f>MAX(C4058:C4141)</f>
        <v>39.1041666666667</v>
      </c>
      <c r="D4142" s="75">
        <f>MAX(D4058:D4141)</f>
        <v>27.5704225352113</v>
      </c>
      <c r="E4142" s="75">
        <f t="shared" ref="E4142:G4142" si="608">MAX(E4058:E4141)</f>
        <v>32.2524509803922</v>
      </c>
      <c r="F4142" s="75">
        <f t="shared" si="608"/>
        <v>30.8809523809524</v>
      </c>
      <c r="G4142" s="75">
        <f t="shared" si="608"/>
        <v>29.229035639413</v>
      </c>
    </row>
    <row r="4143" spans="2:7">
      <c r="B4143" s="76" t="s">
        <v>270</v>
      </c>
      <c r="C4143" s="77">
        <v>1</v>
      </c>
      <c r="D4143" s="78">
        <v>2</v>
      </c>
      <c r="E4143">
        <v>3</v>
      </c>
      <c r="F4143">
        <v>4</v>
      </c>
      <c r="G4143">
        <v>5</v>
      </c>
    </row>
    <row r="4144" spans="2:7">
      <c r="B4144" s="79" t="s">
        <v>271</v>
      </c>
      <c r="C4144" s="72">
        <f>HLOOKUP(MIN(C4142:G4142),C4142:G4143,2,FALSE)</f>
        <v>2</v>
      </c>
      <c r="D4144" s="80"/>
    </row>
    <row r="4146" ht="15.75" spans="2:7">
      <c r="B4146" s="43" t="s">
        <v>355</v>
      </c>
      <c r="C4146" s="44"/>
      <c r="D4146" s="45"/>
    </row>
    <row r="4147" spans="2:7">
      <c r="B4147" s="46"/>
      <c r="C4147" s="61" t="s">
        <v>264</v>
      </c>
      <c r="D4147" s="61" t="s">
        <v>265</v>
      </c>
      <c r="E4147" s="62" t="s">
        <v>286</v>
      </c>
      <c r="F4147" s="62" t="s">
        <v>287</v>
      </c>
      <c r="G4147" s="62" t="s">
        <v>288</v>
      </c>
    </row>
    <row r="4148" spans="2:7">
      <c r="B4148" s="46"/>
      <c r="C4148">
        <f t="shared" ref="C4148:C4211" si="609">IF(J8=1,S8,"")</f>
        <v>0.700231481481482</v>
      </c>
      <c r="D4148" s="63" t="str">
        <f t="shared" ref="D4148:D4211" si="610">IF(J8=2,S8,"")</f>
        <v/>
      </c>
      <c r="E4148" t="str">
        <f t="shared" ref="E4148:E4211" si="611">IF(J8=3,S8,"")</f>
        <v/>
      </c>
      <c r="F4148" t="str">
        <f t="shared" ref="F4148:F4211" si="612">IF(J8=4,S8,"")</f>
        <v/>
      </c>
      <c r="G4148" t="str">
        <f t="shared" ref="G4148:G4211" si="613">IF(J8=5,S8,"")</f>
        <v/>
      </c>
    </row>
    <row r="4149" spans="2:7">
      <c r="B4149" s="46"/>
      <c r="C4149" t="str">
        <f t="shared" si="609"/>
        <v/>
      </c>
      <c r="D4149" s="63">
        <f t="shared" si="610"/>
        <v>0.734154929577465</v>
      </c>
      <c r="E4149" t="str">
        <f t="shared" si="611"/>
        <v/>
      </c>
      <c r="F4149" t="str">
        <f t="shared" si="612"/>
        <v/>
      </c>
      <c r="G4149" t="str">
        <f t="shared" si="613"/>
        <v/>
      </c>
    </row>
    <row r="4150" spans="2:7">
      <c r="B4150" s="46"/>
      <c r="C4150" t="str">
        <f t="shared" si="609"/>
        <v/>
      </c>
      <c r="D4150" s="63" t="str">
        <f t="shared" si="610"/>
        <v/>
      </c>
      <c r="E4150">
        <f t="shared" si="611"/>
        <v>1.83823529411765</v>
      </c>
      <c r="F4150" t="str">
        <f t="shared" si="612"/>
        <v/>
      </c>
      <c r="G4150" t="str">
        <f t="shared" si="613"/>
        <v/>
      </c>
    </row>
    <row r="4151" spans="2:7">
      <c r="B4151" s="46"/>
      <c r="C4151" t="str">
        <f t="shared" si="609"/>
        <v/>
      </c>
      <c r="D4151" s="63" t="str">
        <f t="shared" si="610"/>
        <v/>
      </c>
      <c r="E4151" t="str">
        <f t="shared" si="611"/>
        <v/>
      </c>
      <c r="F4151">
        <f t="shared" si="612"/>
        <v>4.28571428571429</v>
      </c>
      <c r="G4151" t="str">
        <f t="shared" si="613"/>
        <v/>
      </c>
    </row>
    <row r="4152" spans="2:7">
      <c r="B4152" s="46"/>
      <c r="C4152" t="str">
        <f t="shared" si="609"/>
        <v/>
      </c>
      <c r="D4152" s="63" t="str">
        <f t="shared" si="610"/>
        <v/>
      </c>
      <c r="E4152" t="str">
        <f t="shared" si="611"/>
        <v/>
      </c>
      <c r="F4152" t="str">
        <f t="shared" si="612"/>
        <v/>
      </c>
      <c r="G4152">
        <f t="shared" si="613"/>
        <v>3.43396226415094</v>
      </c>
    </row>
    <row r="4153" spans="2:7">
      <c r="B4153" s="46"/>
      <c r="C4153" t="str">
        <f t="shared" si="609"/>
        <v/>
      </c>
      <c r="D4153" s="63" t="str">
        <f t="shared" si="610"/>
        <v/>
      </c>
      <c r="E4153">
        <f t="shared" si="611"/>
        <v>14.5833333333333</v>
      </c>
      <c r="F4153" t="str">
        <f t="shared" si="612"/>
        <v/>
      </c>
      <c r="G4153" t="str">
        <f t="shared" si="613"/>
        <v/>
      </c>
    </row>
    <row r="4154" spans="2:7">
      <c r="B4154" s="46"/>
      <c r="C4154" t="str">
        <f t="shared" si="609"/>
        <v/>
      </c>
      <c r="D4154" s="63" t="str">
        <f t="shared" si="610"/>
        <v/>
      </c>
      <c r="E4154" t="str">
        <f t="shared" si="611"/>
        <v/>
      </c>
      <c r="F4154">
        <f t="shared" si="612"/>
        <v>6.42857142857143</v>
      </c>
      <c r="G4154" t="str">
        <f t="shared" si="613"/>
        <v/>
      </c>
    </row>
    <row r="4155" spans="2:7">
      <c r="B4155" s="46"/>
      <c r="C4155" t="str">
        <f t="shared" si="609"/>
        <v/>
      </c>
      <c r="D4155" s="63" t="str">
        <f t="shared" si="610"/>
        <v/>
      </c>
      <c r="E4155" t="str">
        <f t="shared" si="611"/>
        <v/>
      </c>
      <c r="F4155" t="str">
        <f t="shared" si="612"/>
        <v/>
      </c>
      <c r="G4155">
        <f t="shared" si="613"/>
        <v>3.84591194968553</v>
      </c>
    </row>
    <row r="4156" spans="2:7">
      <c r="B4156" s="46"/>
      <c r="C4156">
        <f t="shared" si="609"/>
        <v>0.844907407407407</v>
      </c>
      <c r="D4156" s="63" t="str">
        <f t="shared" si="610"/>
        <v/>
      </c>
      <c r="E4156" t="str">
        <f t="shared" si="611"/>
        <v/>
      </c>
      <c r="F4156" t="str">
        <f t="shared" si="612"/>
        <v/>
      </c>
      <c r="G4156" t="str">
        <f t="shared" si="613"/>
        <v/>
      </c>
    </row>
    <row r="4157" spans="2:7">
      <c r="B4157" s="46"/>
      <c r="C4157">
        <f t="shared" si="609"/>
        <v>6.79803240740741</v>
      </c>
      <c r="D4157" s="63" t="str">
        <f t="shared" si="610"/>
        <v/>
      </c>
      <c r="E4157" t="str">
        <f t="shared" si="611"/>
        <v/>
      </c>
      <c r="F4157" t="str">
        <f t="shared" si="612"/>
        <v/>
      </c>
      <c r="G4157" t="str">
        <f t="shared" si="613"/>
        <v/>
      </c>
    </row>
    <row r="4158" spans="2:7">
      <c r="B4158" s="46"/>
      <c r="C4158">
        <f t="shared" si="609"/>
        <v>6.79803240740741</v>
      </c>
      <c r="D4158" s="63" t="str">
        <f t="shared" si="610"/>
        <v/>
      </c>
      <c r="E4158" t="str">
        <f t="shared" si="611"/>
        <v/>
      </c>
      <c r="F4158" t="str">
        <f t="shared" si="612"/>
        <v/>
      </c>
      <c r="G4158" t="str">
        <f t="shared" si="613"/>
        <v/>
      </c>
    </row>
    <row r="4159" spans="2:7">
      <c r="B4159" s="46"/>
      <c r="C4159">
        <f t="shared" si="609"/>
        <v>7.52719907407408</v>
      </c>
      <c r="D4159" s="63" t="str">
        <f t="shared" si="610"/>
        <v/>
      </c>
      <c r="E4159" t="str">
        <f t="shared" si="611"/>
        <v/>
      </c>
      <c r="F4159" t="str">
        <f t="shared" si="612"/>
        <v/>
      </c>
      <c r="G4159" t="str">
        <f t="shared" si="613"/>
        <v/>
      </c>
    </row>
    <row r="4160" spans="2:7">
      <c r="B4160" s="46"/>
      <c r="C4160" t="str">
        <f t="shared" si="609"/>
        <v/>
      </c>
      <c r="D4160" s="63">
        <f t="shared" si="610"/>
        <v>2.7881455399061</v>
      </c>
      <c r="E4160" t="str">
        <f t="shared" si="611"/>
        <v/>
      </c>
      <c r="F4160" t="str">
        <f t="shared" si="612"/>
        <v/>
      </c>
      <c r="G4160" t="str">
        <f t="shared" si="613"/>
        <v/>
      </c>
    </row>
    <row r="4161" spans="2:7">
      <c r="B4161" s="46"/>
      <c r="C4161" t="str">
        <f t="shared" si="609"/>
        <v/>
      </c>
      <c r="D4161" s="63">
        <f t="shared" si="610"/>
        <v>4.47535211267606</v>
      </c>
      <c r="E4161" t="str">
        <f t="shared" si="611"/>
        <v/>
      </c>
      <c r="F4161" t="str">
        <f t="shared" si="612"/>
        <v/>
      </c>
      <c r="G4161" t="str">
        <f t="shared" si="613"/>
        <v/>
      </c>
    </row>
    <row r="4162" spans="2:7">
      <c r="B4162" s="46"/>
      <c r="C4162" t="str">
        <f t="shared" si="609"/>
        <v/>
      </c>
      <c r="D4162" s="63">
        <f t="shared" si="610"/>
        <v>6.10680751173709</v>
      </c>
      <c r="E4162" t="str">
        <f t="shared" si="611"/>
        <v/>
      </c>
      <c r="F4162" t="str">
        <f t="shared" si="612"/>
        <v/>
      </c>
      <c r="G4162" t="str">
        <f t="shared" si="613"/>
        <v/>
      </c>
    </row>
    <row r="4163" spans="2:7">
      <c r="B4163" s="46"/>
      <c r="C4163" t="str">
        <f t="shared" si="609"/>
        <v/>
      </c>
      <c r="D4163" s="63">
        <f t="shared" si="610"/>
        <v>8.50821596244131</v>
      </c>
      <c r="E4163" t="str">
        <f t="shared" si="611"/>
        <v/>
      </c>
      <c r="F4163" t="str">
        <f t="shared" si="612"/>
        <v/>
      </c>
      <c r="G4163" t="str">
        <f t="shared" si="613"/>
        <v/>
      </c>
    </row>
    <row r="4164" spans="2:7">
      <c r="B4164" s="46"/>
      <c r="C4164" t="str">
        <f t="shared" si="609"/>
        <v/>
      </c>
      <c r="D4164" s="63">
        <f t="shared" si="610"/>
        <v>10.268779342723</v>
      </c>
      <c r="E4164" t="str">
        <f t="shared" si="611"/>
        <v/>
      </c>
      <c r="F4164" t="str">
        <f t="shared" si="612"/>
        <v/>
      </c>
      <c r="G4164" t="str">
        <f t="shared" si="613"/>
        <v/>
      </c>
    </row>
    <row r="4165" spans="2:7">
      <c r="B4165" s="46"/>
      <c r="C4165" t="str">
        <f t="shared" si="609"/>
        <v/>
      </c>
      <c r="D4165" s="63" t="str">
        <f t="shared" si="610"/>
        <v/>
      </c>
      <c r="E4165" t="str">
        <f t="shared" si="611"/>
        <v/>
      </c>
      <c r="F4165" t="str">
        <f t="shared" si="612"/>
        <v/>
      </c>
      <c r="G4165">
        <f t="shared" si="613"/>
        <v>7.67610062893082</v>
      </c>
    </row>
    <row r="4166" spans="2:7">
      <c r="B4166" s="46"/>
      <c r="C4166" t="str">
        <f t="shared" si="609"/>
        <v/>
      </c>
      <c r="D4166" s="63" t="str">
        <f t="shared" si="610"/>
        <v/>
      </c>
      <c r="E4166" t="str">
        <f t="shared" si="611"/>
        <v/>
      </c>
      <c r="F4166" t="str">
        <f t="shared" si="612"/>
        <v/>
      </c>
      <c r="G4166">
        <f t="shared" si="613"/>
        <v>10.3836477987421</v>
      </c>
    </row>
    <row r="4167" spans="2:7">
      <c r="B4167" s="46"/>
      <c r="C4167" t="str">
        <f t="shared" si="609"/>
        <v/>
      </c>
      <c r="D4167" s="63" t="str">
        <f t="shared" si="610"/>
        <v/>
      </c>
      <c r="E4167" t="str">
        <f t="shared" si="611"/>
        <v/>
      </c>
      <c r="F4167" t="str">
        <f t="shared" si="612"/>
        <v/>
      </c>
      <c r="G4167">
        <f t="shared" si="613"/>
        <v>13.2138364779874</v>
      </c>
    </row>
    <row r="4168" spans="2:7">
      <c r="B4168" s="46"/>
      <c r="C4168" t="str">
        <f t="shared" si="609"/>
        <v/>
      </c>
      <c r="D4168" s="63" t="str">
        <f t="shared" si="610"/>
        <v/>
      </c>
      <c r="E4168" t="str">
        <f t="shared" si="611"/>
        <v/>
      </c>
      <c r="F4168" t="str">
        <f t="shared" si="612"/>
        <v/>
      </c>
      <c r="G4168">
        <f t="shared" si="613"/>
        <v>14.7243186582809</v>
      </c>
    </row>
    <row r="4169" spans="2:7">
      <c r="B4169" s="46"/>
      <c r="C4169" t="str">
        <f t="shared" si="609"/>
        <v/>
      </c>
      <c r="D4169" s="63" t="str">
        <f t="shared" si="610"/>
        <v/>
      </c>
      <c r="E4169" t="str">
        <f t="shared" si="611"/>
        <v/>
      </c>
      <c r="F4169">
        <f t="shared" si="612"/>
        <v>9.17630385487529</v>
      </c>
      <c r="G4169" t="str">
        <f t="shared" si="613"/>
        <v/>
      </c>
    </row>
    <row r="4170" spans="2:7">
      <c r="B4170" s="46"/>
      <c r="C4170" t="str">
        <f t="shared" si="609"/>
        <v/>
      </c>
      <c r="D4170" s="63" t="str">
        <f t="shared" si="610"/>
        <v/>
      </c>
      <c r="E4170" t="str">
        <f t="shared" si="611"/>
        <v/>
      </c>
      <c r="F4170">
        <f t="shared" si="612"/>
        <v>12.328231292517</v>
      </c>
      <c r="G4170" t="str">
        <f t="shared" si="613"/>
        <v/>
      </c>
    </row>
    <row r="4171" spans="2:7">
      <c r="B4171" s="46"/>
      <c r="C4171" t="str">
        <f t="shared" si="609"/>
        <v/>
      </c>
      <c r="D4171" s="63" t="str">
        <f t="shared" si="610"/>
        <v/>
      </c>
      <c r="E4171" t="str">
        <f t="shared" si="611"/>
        <v/>
      </c>
      <c r="F4171">
        <f t="shared" si="612"/>
        <v>15.0017006802721</v>
      </c>
      <c r="G4171" t="str">
        <f t="shared" si="613"/>
        <v/>
      </c>
    </row>
    <row r="4172" spans="2:7">
      <c r="B4172" s="46"/>
      <c r="C4172">
        <f t="shared" si="609"/>
        <v>10.328125</v>
      </c>
      <c r="D4172" s="63" t="str">
        <f t="shared" si="610"/>
        <v/>
      </c>
      <c r="E4172" t="str">
        <f t="shared" si="611"/>
        <v/>
      </c>
      <c r="F4172" t="str">
        <f t="shared" si="612"/>
        <v/>
      </c>
      <c r="G4172" t="str">
        <f t="shared" si="613"/>
        <v/>
      </c>
    </row>
    <row r="4173" spans="2:7">
      <c r="B4173" s="46"/>
      <c r="C4173">
        <f t="shared" si="609"/>
        <v>14.5908564814815</v>
      </c>
      <c r="D4173" s="63" t="str">
        <f t="shared" si="610"/>
        <v/>
      </c>
      <c r="E4173" t="str">
        <f t="shared" si="611"/>
        <v/>
      </c>
      <c r="F4173" t="str">
        <f t="shared" si="612"/>
        <v/>
      </c>
      <c r="G4173" t="str">
        <f t="shared" si="613"/>
        <v/>
      </c>
    </row>
    <row r="4174" spans="2:7">
      <c r="B4174" s="46"/>
      <c r="C4174">
        <f t="shared" si="609"/>
        <v>14.9409722222222</v>
      </c>
      <c r="D4174" s="63" t="str">
        <f t="shared" si="610"/>
        <v/>
      </c>
      <c r="E4174" t="str">
        <f t="shared" si="611"/>
        <v/>
      </c>
      <c r="F4174" t="str">
        <f t="shared" si="612"/>
        <v/>
      </c>
      <c r="G4174" t="str">
        <f t="shared" si="613"/>
        <v/>
      </c>
    </row>
    <row r="4175" spans="2:7">
      <c r="B4175" s="46"/>
      <c r="C4175">
        <f t="shared" si="609"/>
        <v>19.2465277777778</v>
      </c>
      <c r="D4175" s="63" t="str">
        <f t="shared" si="610"/>
        <v/>
      </c>
      <c r="E4175" t="str">
        <f t="shared" si="611"/>
        <v/>
      </c>
      <c r="F4175" t="str">
        <f t="shared" si="612"/>
        <v/>
      </c>
      <c r="G4175" t="str">
        <f t="shared" si="613"/>
        <v/>
      </c>
    </row>
    <row r="4176" spans="2:7">
      <c r="B4176" s="46"/>
      <c r="C4176" t="str">
        <f t="shared" si="609"/>
        <v/>
      </c>
      <c r="D4176" s="63">
        <f t="shared" si="610"/>
        <v>15.0340375586854</v>
      </c>
      <c r="E4176" t="str">
        <f t="shared" si="611"/>
        <v/>
      </c>
      <c r="F4176" t="str">
        <f t="shared" si="612"/>
        <v/>
      </c>
      <c r="G4176" t="str">
        <f t="shared" si="613"/>
        <v/>
      </c>
    </row>
    <row r="4177" spans="2:7">
      <c r="B4177" s="46"/>
      <c r="C4177" t="str">
        <f t="shared" si="609"/>
        <v/>
      </c>
      <c r="D4177" s="63">
        <f t="shared" si="610"/>
        <v>15.0340375586854</v>
      </c>
      <c r="E4177" t="str">
        <f t="shared" si="611"/>
        <v/>
      </c>
      <c r="F4177" t="str">
        <f t="shared" si="612"/>
        <v/>
      </c>
      <c r="G4177" t="str">
        <f t="shared" si="613"/>
        <v/>
      </c>
    </row>
    <row r="4178" spans="2:7">
      <c r="B4178" s="46"/>
      <c r="C4178" t="str">
        <f t="shared" si="609"/>
        <v/>
      </c>
      <c r="D4178" s="63">
        <f t="shared" si="610"/>
        <v>16.1343896713615</v>
      </c>
      <c r="E4178" t="str">
        <f t="shared" si="611"/>
        <v/>
      </c>
      <c r="F4178" t="str">
        <f t="shared" si="612"/>
        <v/>
      </c>
      <c r="G4178" t="str">
        <f t="shared" si="613"/>
        <v/>
      </c>
    </row>
    <row r="4179" spans="2:7">
      <c r="B4179" s="46"/>
      <c r="C4179" t="str">
        <f t="shared" si="609"/>
        <v/>
      </c>
      <c r="D4179" s="63">
        <f t="shared" si="610"/>
        <v>16.8620892018779</v>
      </c>
      <c r="E4179" t="str">
        <f t="shared" si="611"/>
        <v/>
      </c>
      <c r="F4179" t="str">
        <f t="shared" si="612"/>
        <v/>
      </c>
      <c r="G4179" t="str">
        <f t="shared" si="613"/>
        <v/>
      </c>
    </row>
    <row r="4180" spans="2:7">
      <c r="B4180" s="46"/>
      <c r="C4180" t="str">
        <f t="shared" si="609"/>
        <v/>
      </c>
      <c r="D4180" s="63" t="str">
        <f t="shared" si="610"/>
        <v/>
      </c>
      <c r="E4180">
        <f t="shared" si="611"/>
        <v>16.1245098039216</v>
      </c>
      <c r="F4180" t="str">
        <f t="shared" si="612"/>
        <v/>
      </c>
      <c r="G4180" t="str">
        <f t="shared" si="613"/>
        <v/>
      </c>
    </row>
    <row r="4181" spans="2:7">
      <c r="B4181" s="46"/>
      <c r="C4181" t="str">
        <f t="shared" si="609"/>
        <v/>
      </c>
      <c r="D4181" s="63" t="str">
        <f t="shared" si="610"/>
        <v/>
      </c>
      <c r="E4181">
        <f t="shared" si="611"/>
        <v>17.9225490196078</v>
      </c>
      <c r="F4181" t="str">
        <f t="shared" si="612"/>
        <v/>
      </c>
      <c r="G4181" t="str">
        <f t="shared" si="613"/>
        <v/>
      </c>
    </row>
    <row r="4182" spans="2:7">
      <c r="B4182" s="46"/>
      <c r="C4182" t="str">
        <f t="shared" si="609"/>
        <v/>
      </c>
      <c r="D4182" s="63" t="str">
        <f t="shared" si="610"/>
        <v/>
      </c>
      <c r="E4182">
        <f t="shared" si="611"/>
        <v>18.7166666666667</v>
      </c>
      <c r="F4182" t="str">
        <f t="shared" si="612"/>
        <v/>
      </c>
      <c r="G4182" t="str">
        <f t="shared" si="613"/>
        <v/>
      </c>
    </row>
    <row r="4183" spans="2:7">
      <c r="B4183" s="46"/>
      <c r="C4183" t="str">
        <f t="shared" si="609"/>
        <v/>
      </c>
      <c r="D4183" s="63" t="str">
        <f t="shared" si="610"/>
        <v/>
      </c>
      <c r="E4183">
        <f t="shared" si="611"/>
        <v>18.9539215686275</v>
      </c>
      <c r="F4183" t="str">
        <f t="shared" si="612"/>
        <v/>
      </c>
      <c r="G4183" t="str">
        <f t="shared" si="613"/>
        <v/>
      </c>
    </row>
    <row r="4184" spans="2:7">
      <c r="B4184" s="46"/>
      <c r="C4184" t="str">
        <f t="shared" si="609"/>
        <v/>
      </c>
      <c r="D4184" s="63" t="str">
        <f t="shared" si="610"/>
        <v/>
      </c>
      <c r="E4184" t="str">
        <f t="shared" si="611"/>
        <v/>
      </c>
      <c r="F4184" t="str">
        <f t="shared" si="612"/>
        <v/>
      </c>
      <c r="G4184">
        <f t="shared" si="613"/>
        <v>15.4449685534591</v>
      </c>
    </row>
    <row r="4185" spans="2:7">
      <c r="B4185" s="46"/>
      <c r="C4185" t="str">
        <f t="shared" si="609"/>
        <v/>
      </c>
      <c r="D4185" s="63" t="str">
        <f t="shared" si="610"/>
        <v/>
      </c>
      <c r="E4185" t="str">
        <f t="shared" si="611"/>
        <v/>
      </c>
      <c r="F4185" t="str">
        <f t="shared" si="612"/>
        <v/>
      </c>
      <c r="G4185">
        <f t="shared" si="613"/>
        <v>16.4669811320755</v>
      </c>
    </row>
    <row r="4186" spans="2:7">
      <c r="B4186" s="46"/>
      <c r="C4186" t="str">
        <f t="shared" si="609"/>
        <v/>
      </c>
      <c r="D4186" s="63" t="str">
        <f t="shared" si="610"/>
        <v/>
      </c>
      <c r="E4186" t="str">
        <f t="shared" si="611"/>
        <v/>
      </c>
      <c r="F4186" t="str">
        <f t="shared" si="612"/>
        <v/>
      </c>
      <c r="G4186">
        <f t="shared" si="613"/>
        <v>17.7877358490566</v>
      </c>
    </row>
    <row r="4187" spans="2:7">
      <c r="B4187" s="46"/>
      <c r="C4187" t="str">
        <f t="shared" si="609"/>
        <v/>
      </c>
      <c r="D4187" s="63" t="str">
        <f t="shared" si="610"/>
        <v/>
      </c>
      <c r="E4187" t="str">
        <f t="shared" si="611"/>
        <v/>
      </c>
      <c r="F4187" t="str">
        <f t="shared" si="612"/>
        <v/>
      </c>
      <c r="G4187">
        <f t="shared" si="613"/>
        <v>18.377358490566</v>
      </c>
    </row>
    <row r="4188" spans="2:7">
      <c r="B4188" s="46"/>
      <c r="C4188" t="str">
        <f t="shared" si="609"/>
        <v/>
      </c>
      <c r="D4188" s="63" t="str">
        <f t="shared" si="610"/>
        <v/>
      </c>
      <c r="E4188" t="str">
        <f t="shared" si="611"/>
        <v/>
      </c>
      <c r="F4188">
        <f t="shared" si="612"/>
        <v>15.4234693877551</v>
      </c>
      <c r="G4188" t="str">
        <f t="shared" si="613"/>
        <v/>
      </c>
    </row>
    <row r="4189" spans="2:7">
      <c r="B4189" s="46"/>
      <c r="C4189" t="str">
        <f t="shared" si="609"/>
        <v/>
      </c>
      <c r="D4189" s="63" t="str">
        <f t="shared" si="610"/>
        <v/>
      </c>
      <c r="E4189" t="str">
        <f t="shared" si="611"/>
        <v/>
      </c>
      <c r="F4189">
        <f t="shared" si="612"/>
        <v>16.7698412698413</v>
      </c>
      <c r="G4189" t="str">
        <f t="shared" si="613"/>
        <v/>
      </c>
    </row>
    <row r="4190" spans="2:7">
      <c r="B4190" s="46"/>
      <c r="C4190" t="str">
        <f t="shared" si="609"/>
        <v/>
      </c>
      <c r="D4190" s="63" t="str">
        <f t="shared" si="610"/>
        <v/>
      </c>
      <c r="E4190" t="str">
        <f t="shared" si="611"/>
        <v/>
      </c>
      <c r="F4190">
        <f t="shared" si="612"/>
        <v>18.109410430839</v>
      </c>
      <c r="G4190" t="str">
        <f t="shared" si="613"/>
        <v/>
      </c>
    </row>
    <row r="4191" spans="2:7">
      <c r="B4191" s="46"/>
      <c r="C4191" t="str">
        <f t="shared" si="609"/>
        <v/>
      </c>
      <c r="D4191" s="63" t="str">
        <f t="shared" si="610"/>
        <v/>
      </c>
      <c r="E4191" t="str">
        <f t="shared" si="611"/>
        <v/>
      </c>
      <c r="F4191">
        <f t="shared" si="612"/>
        <v>20.1581632653061</v>
      </c>
      <c r="G4191" t="str">
        <f t="shared" si="613"/>
        <v/>
      </c>
    </row>
    <row r="4192" spans="2:7">
      <c r="B4192" s="46"/>
      <c r="C4192" t="str">
        <f t="shared" si="609"/>
        <v/>
      </c>
      <c r="D4192" s="63" t="str">
        <f t="shared" si="610"/>
        <v/>
      </c>
      <c r="E4192" t="str">
        <f t="shared" si="611"/>
        <v/>
      </c>
      <c r="F4192">
        <f t="shared" si="612"/>
        <v>22.1581632653061</v>
      </c>
      <c r="G4192" t="str">
        <f t="shared" si="613"/>
        <v/>
      </c>
    </row>
    <row r="4193" spans="2:7">
      <c r="B4193" s="46"/>
      <c r="C4193" t="str">
        <f t="shared" si="609"/>
        <v/>
      </c>
      <c r="D4193" s="63" t="str">
        <f t="shared" si="610"/>
        <v/>
      </c>
      <c r="E4193" t="str">
        <f t="shared" si="611"/>
        <v/>
      </c>
      <c r="F4193">
        <f t="shared" si="612"/>
        <v>22.8781179138322</v>
      </c>
      <c r="G4193" t="str">
        <f t="shared" si="613"/>
        <v/>
      </c>
    </row>
    <row r="4194" spans="2:7">
      <c r="B4194" s="46"/>
      <c r="C4194" t="str">
        <f t="shared" si="609"/>
        <v/>
      </c>
      <c r="D4194" s="63">
        <f t="shared" si="610"/>
        <v>17.3022300469484</v>
      </c>
      <c r="E4194" t="str">
        <f t="shared" si="611"/>
        <v/>
      </c>
      <c r="F4194" t="str">
        <f t="shared" si="612"/>
        <v/>
      </c>
      <c r="G4194" t="str">
        <f t="shared" si="613"/>
        <v/>
      </c>
    </row>
    <row r="4195" spans="2:7">
      <c r="B4195" s="46"/>
      <c r="C4195" t="str">
        <f t="shared" si="609"/>
        <v/>
      </c>
      <c r="D4195" s="63">
        <f t="shared" si="610"/>
        <v>22.837441314554</v>
      </c>
      <c r="E4195" t="str">
        <f t="shared" si="611"/>
        <v/>
      </c>
      <c r="F4195" t="str">
        <f t="shared" si="612"/>
        <v/>
      </c>
      <c r="G4195" t="str">
        <f t="shared" si="613"/>
        <v/>
      </c>
    </row>
    <row r="4196" spans="2:7">
      <c r="B4196" s="46"/>
      <c r="C4196" t="str">
        <f t="shared" si="609"/>
        <v/>
      </c>
      <c r="D4196" s="63">
        <f t="shared" si="610"/>
        <v>23.7089201877934</v>
      </c>
      <c r="E4196" t="str">
        <f t="shared" si="611"/>
        <v/>
      </c>
      <c r="F4196" t="str">
        <f t="shared" si="612"/>
        <v/>
      </c>
      <c r="G4196" t="str">
        <f t="shared" si="613"/>
        <v/>
      </c>
    </row>
    <row r="4197" spans="2:7">
      <c r="B4197" s="46"/>
      <c r="C4197" t="str">
        <f t="shared" si="609"/>
        <v/>
      </c>
      <c r="D4197" s="63">
        <f t="shared" si="610"/>
        <v>24.3427230046948</v>
      </c>
      <c r="E4197" t="str">
        <f t="shared" si="611"/>
        <v/>
      </c>
      <c r="F4197" t="str">
        <f t="shared" si="612"/>
        <v/>
      </c>
      <c r="G4197" t="str">
        <f t="shared" si="613"/>
        <v/>
      </c>
    </row>
    <row r="4198" spans="2:7">
      <c r="B4198" s="46"/>
      <c r="C4198" t="str">
        <f t="shared" si="609"/>
        <v/>
      </c>
      <c r="D4198" s="63">
        <f t="shared" si="610"/>
        <v>27.5704225352113</v>
      </c>
      <c r="E4198" t="str">
        <f t="shared" si="611"/>
        <v/>
      </c>
      <c r="F4198" t="str">
        <f t="shared" si="612"/>
        <v/>
      </c>
      <c r="G4198" t="str">
        <f t="shared" si="613"/>
        <v/>
      </c>
    </row>
    <row r="4199" spans="2:7">
      <c r="B4199" s="46"/>
      <c r="C4199" t="str">
        <f t="shared" si="609"/>
        <v/>
      </c>
      <c r="D4199" s="63" t="str">
        <f t="shared" si="610"/>
        <v/>
      </c>
      <c r="E4199" t="str">
        <f t="shared" si="611"/>
        <v/>
      </c>
      <c r="F4199" t="str">
        <f t="shared" si="612"/>
        <v/>
      </c>
      <c r="G4199">
        <f t="shared" si="613"/>
        <v>19.1949685534591</v>
      </c>
    </row>
    <row r="4200" spans="2:7">
      <c r="B4200" s="46"/>
      <c r="C4200" t="str">
        <f t="shared" si="609"/>
        <v/>
      </c>
      <c r="D4200" s="63" t="str">
        <f t="shared" si="610"/>
        <v/>
      </c>
      <c r="E4200" t="str">
        <f t="shared" si="611"/>
        <v/>
      </c>
      <c r="F4200" t="str">
        <f t="shared" si="612"/>
        <v/>
      </c>
      <c r="G4200">
        <f t="shared" si="613"/>
        <v>21.9606918238994</v>
      </c>
    </row>
    <row r="4201" spans="2:7">
      <c r="B4201" s="46"/>
      <c r="C4201" t="str">
        <f t="shared" si="609"/>
        <v/>
      </c>
      <c r="D4201" s="63" t="str">
        <f t="shared" si="610"/>
        <v/>
      </c>
      <c r="E4201" t="str">
        <f t="shared" si="611"/>
        <v/>
      </c>
      <c r="F4201" t="str">
        <f t="shared" si="612"/>
        <v/>
      </c>
      <c r="G4201">
        <f t="shared" si="613"/>
        <v>21.9606918238994</v>
      </c>
    </row>
    <row r="4202" spans="2:7">
      <c r="B4202" s="46"/>
      <c r="C4202" t="str">
        <f t="shared" si="609"/>
        <v/>
      </c>
      <c r="D4202" s="63" t="str">
        <f t="shared" si="610"/>
        <v/>
      </c>
      <c r="E4202" t="str">
        <f t="shared" si="611"/>
        <v/>
      </c>
      <c r="F4202" t="str">
        <f t="shared" si="612"/>
        <v/>
      </c>
      <c r="G4202">
        <f t="shared" si="613"/>
        <v>25.2222222222222</v>
      </c>
    </row>
    <row r="4203" spans="2:7">
      <c r="B4203" s="46"/>
      <c r="C4203" t="str">
        <f t="shared" si="609"/>
        <v/>
      </c>
      <c r="D4203" s="63" t="str">
        <f t="shared" si="610"/>
        <v/>
      </c>
      <c r="E4203">
        <f t="shared" si="611"/>
        <v>22.268137254902</v>
      </c>
      <c r="F4203" t="str">
        <f t="shared" si="612"/>
        <v/>
      </c>
      <c r="G4203" t="str">
        <f t="shared" si="613"/>
        <v/>
      </c>
    </row>
    <row r="4204" spans="2:7">
      <c r="B4204" s="46"/>
      <c r="C4204" t="str">
        <f t="shared" si="609"/>
        <v/>
      </c>
      <c r="D4204" s="63" t="str">
        <f t="shared" si="610"/>
        <v/>
      </c>
      <c r="E4204">
        <f t="shared" si="611"/>
        <v>22.268137254902</v>
      </c>
      <c r="F4204" t="str">
        <f t="shared" si="612"/>
        <v/>
      </c>
      <c r="G4204" t="str">
        <f t="shared" si="613"/>
        <v/>
      </c>
    </row>
    <row r="4205" spans="2:7">
      <c r="B4205" s="46"/>
      <c r="C4205" t="str">
        <f t="shared" si="609"/>
        <v/>
      </c>
      <c r="D4205" s="63" t="str">
        <f t="shared" si="610"/>
        <v/>
      </c>
      <c r="E4205">
        <f t="shared" si="611"/>
        <v>24.6995098039216</v>
      </c>
      <c r="F4205" t="str">
        <f t="shared" si="612"/>
        <v/>
      </c>
      <c r="G4205" t="str">
        <f t="shared" si="613"/>
        <v/>
      </c>
    </row>
    <row r="4206" spans="2:7">
      <c r="B4206" s="46"/>
      <c r="C4206" t="str">
        <f t="shared" si="609"/>
        <v/>
      </c>
      <c r="D4206" s="63" t="str">
        <f t="shared" si="610"/>
        <v/>
      </c>
      <c r="E4206">
        <f t="shared" si="611"/>
        <v>25.3416666666667</v>
      </c>
      <c r="F4206" t="str">
        <f t="shared" si="612"/>
        <v/>
      </c>
      <c r="G4206" t="str">
        <f t="shared" si="613"/>
        <v/>
      </c>
    </row>
    <row r="4207" spans="2:7">
      <c r="B4207" s="46"/>
      <c r="C4207">
        <f t="shared" si="609"/>
        <v>19.5358796296296</v>
      </c>
      <c r="D4207" s="63" t="str">
        <f t="shared" si="610"/>
        <v/>
      </c>
      <c r="E4207" t="str">
        <f t="shared" si="611"/>
        <v/>
      </c>
      <c r="F4207" t="str">
        <f t="shared" si="612"/>
        <v/>
      </c>
      <c r="G4207" t="str">
        <f t="shared" si="613"/>
        <v/>
      </c>
    </row>
    <row r="4208" spans="2:7">
      <c r="B4208" s="46"/>
      <c r="C4208">
        <f t="shared" si="609"/>
        <v>20.1608796296296</v>
      </c>
      <c r="D4208" s="63" t="str">
        <f t="shared" si="610"/>
        <v/>
      </c>
      <c r="E4208" t="str">
        <f t="shared" si="611"/>
        <v/>
      </c>
      <c r="F4208" t="str">
        <f t="shared" si="612"/>
        <v/>
      </c>
      <c r="G4208" t="str">
        <f t="shared" si="613"/>
        <v/>
      </c>
    </row>
    <row r="4209" spans="2:7">
      <c r="B4209" s="46"/>
      <c r="C4209">
        <f t="shared" si="609"/>
        <v>21.7233796296296</v>
      </c>
      <c r="D4209" s="63" t="str">
        <f t="shared" si="610"/>
        <v/>
      </c>
      <c r="E4209" t="str">
        <f t="shared" si="611"/>
        <v/>
      </c>
      <c r="F4209" t="str">
        <f t="shared" si="612"/>
        <v/>
      </c>
      <c r="G4209" t="str">
        <f t="shared" si="613"/>
        <v/>
      </c>
    </row>
    <row r="4210" spans="2:7">
      <c r="B4210" s="46"/>
      <c r="C4210">
        <f t="shared" si="609"/>
        <v>22.7054398148148</v>
      </c>
      <c r="D4210" s="63" t="str">
        <f t="shared" si="610"/>
        <v/>
      </c>
      <c r="E4210" t="str">
        <f t="shared" si="611"/>
        <v/>
      </c>
      <c r="F4210" t="str">
        <f t="shared" si="612"/>
        <v/>
      </c>
      <c r="G4210" t="str">
        <f t="shared" si="613"/>
        <v/>
      </c>
    </row>
    <row r="4211" spans="2:7">
      <c r="B4211" s="46"/>
      <c r="C4211">
        <f t="shared" si="609"/>
        <v>22.7054398148148</v>
      </c>
      <c r="D4211" s="63" t="str">
        <f t="shared" si="610"/>
        <v/>
      </c>
      <c r="E4211" t="str">
        <f t="shared" si="611"/>
        <v/>
      </c>
      <c r="F4211" t="str">
        <f t="shared" si="612"/>
        <v/>
      </c>
      <c r="G4211" t="str">
        <f t="shared" si="613"/>
        <v/>
      </c>
    </row>
    <row r="4212" spans="2:7">
      <c r="B4212" s="46"/>
      <c r="C4212">
        <f t="shared" ref="C4212:C4232" si="614">IF(J72=1,S72,"")</f>
        <v>22.8512731481482</v>
      </c>
      <c r="D4212" s="63" t="str">
        <f t="shared" ref="D4212:D4232" si="615">IF(J72=2,S72,"")</f>
        <v/>
      </c>
      <c r="E4212" t="str">
        <f t="shared" ref="E4212:E4232" si="616">IF(J72=3,S72,"")</f>
        <v/>
      </c>
      <c r="F4212" t="str">
        <f t="shared" ref="F4212:F4232" si="617">IF(J72=4,S72,"")</f>
        <v/>
      </c>
      <c r="G4212" t="str">
        <f t="shared" ref="G4212:G4232" si="618">IF(J72=5,S72,"")</f>
        <v/>
      </c>
    </row>
    <row r="4213" spans="2:7">
      <c r="B4213" s="46"/>
      <c r="C4213">
        <f t="shared" si="614"/>
        <v>34.4068287037037</v>
      </c>
      <c r="D4213" s="63" t="str">
        <f t="shared" si="615"/>
        <v/>
      </c>
      <c r="E4213" t="str">
        <f t="shared" si="616"/>
        <v/>
      </c>
      <c r="F4213" t="str">
        <f t="shared" si="617"/>
        <v/>
      </c>
      <c r="G4213" t="str">
        <f t="shared" si="618"/>
        <v/>
      </c>
    </row>
    <row r="4214" spans="2:7">
      <c r="B4214" s="46"/>
      <c r="C4214">
        <f t="shared" si="614"/>
        <v>34.4068287037037</v>
      </c>
      <c r="D4214" s="63" t="str">
        <f t="shared" si="615"/>
        <v/>
      </c>
      <c r="E4214" t="str">
        <f t="shared" si="616"/>
        <v/>
      </c>
      <c r="F4214" t="str">
        <f t="shared" si="617"/>
        <v/>
      </c>
      <c r="G4214" t="str">
        <f t="shared" si="618"/>
        <v/>
      </c>
    </row>
    <row r="4215" spans="2:7">
      <c r="B4215" s="46"/>
      <c r="C4215">
        <f t="shared" si="614"/>
        <v>35.5827546296296</v>
      </c>
      <c r="D4215" s="63" t="str">
        <f t="shared" si="615"/>
        <v/>
      </c>
      <c r="E4215" t="str">
        <f t="shared" si="616"/>
        <v/>
      </c>
      <c r="F4215" t="str">
        <f t="shared" si="617"/>
        <v/>
      </c>
      <c r="G4215" t="str">
        <f t="shared" si="618"/>
        <v/>
      </c>
    </row>
    <row r="4216" spans="2:7">
      <c r="B4216" s="46"/>
      <c r="C4216">
        <f t="shared" si="614"/>
        <v>36.7893518518519</v>
      </c>
      <c r="D4216" s="63" t="str">
        <f t="shared" si="615"/>
        <v/>
      </c>
      <c r="E4216" t="str">
        <f t="shared" si="616"/>
        <v/>
      </c>
      <c r="F4216" t="str">
        <f t="shared" si="617"/>
        <v/>
      </c>
      <c r="G4216" t="str">
        <f t="shared" si="618"/>
        <v/>
      </c>
    </row>
    <row r="4217" spans="2:7">
      <c r="B4217" s="46"/>
      <c r="C4217" t="str">
        <f t="shared" si="614"/>
        <v/>
      </c>
      <c r="D4217" s="63" t="str">
        <f t="shared" si="615"/>
        <v/>
      </c>
      <c r="E4217" t="str">
        <f t="shared" si="616"/>
        <v/>
      </c>
      <c r="F4217">
        <f t="shared" si="617"/>
        <v>23.4404761904762</v>
      </c>
      <c r="G4217" t="str">
        <f t="shared" si="618"/>
        <v/>
      </c>
    </row>
    <row r="4218" spans="2:7">
      <c r="B4218" s="46"/>
      <c r="C4218" t="str">
        <f t="shared" si="614"/>
        <v/>
      </c>
      <c r="D4218" s="63" t="str">
        <f t="shared" si="615"/>
        <v/>
      </c>
      <c r="E4218" t="str">
        <f t="shared" si="616"/>
        <v/>
      </c>
      <c r="F4218">
        <f t="shared" si="617"/>
        <v>24.3616780045352</v>
      </c>
      <c r="G4218" t="str">
        <f t="shared" si="618"/>
        <v/>
      </c>
    </row>
    <row r="4219" spans="2:7">
      <c r="B4219" s="46"/>
      <c r="C4219" t="str">
        <f t="shared" si="614"/>
        <v/>
      </c>
      <c r="D4219" s="63" t="str">
        <f t="shared" si="615"/>
        <v/>
      </c>
      <c r="E4219" t="str">
        <f t="shared" si="616"/>
        <v/>
      </c>
      <c r="F4219">
        <f t="shared" si="617"/>
        <v>25.8378684807256</v>
      </c>
      <c r="G4219" t="str">
        <f t="shared" si="618"/>
        <v/>
      </c>
    </row>
    <row r="4220" spans="2:7">
      <c r="B4220" s="46"/>
      <c r="C4220" t="str">
        <f t="shared" si="614"/>
        <v/>
      </c>
      <c r="D4220" s="63" t="str">
        <f t="shared" si="615"/>
        <v/>
      </c>
      <c r="E4220" t="str">
        <f t="shared" si="616"/>
        <v/>
      </c>
      <c r="F4220">
        <f t="shared" si="617"/>
        <v>29.4625850340136</v>
      </c>
      <c r="G4220" t="str">
        <f t="shared" si="618"/>
        <v/>
      </c>
    </row>
    <row r="4221" spans="2:7">
      <c r="B4221" s="46"/>
      <c r="C4221" t="str">
        <f t="shared" si="614"/>
        <v/>
      </c>
      <c r="D4221" s="63" t="str">
        <f t="shared" si="615"/>
        <v/>
      </c>
      <c r="E4221" t="str">
        <f t="shared" si="616"/>
        <v/>
      </c>
      <c r="F4221">
        <f t="shared" si="617"/>
        <v>30.092970521542</v>
      </c>
      <c r="G4221" t="str">
        <f t="shared" si="618"/>
        <v/>
      </c>
    </row>
    <row r="4222" spans="2:7">
      <c r="B4222" s="46"/>
      <c r="C4222" t="str">
        <f t="shared" si="614"/>
        <v/>
      </c>
      <c r="D4222" s="63" t="str">
        <f t="shared" si="615"/>
        <v/>
      </c>
      <c r="E4222" t="str">
        <f t="shared" si="616"/>
        <v/>
      </c>
      <c r="F4222">
        <f t="shared" si="617"/>
        <v>30.8809523809524</v>
      </c>
      <c r="G4222" t="str">
        <f t="shared" si="618"/>
        <v/>
      </c>
    </row>
    <row r="4223" spans="2:7">
      <c r="B4223" s="46"/>
      <c r="C4223" t="str">
        <f t="shared" si="614"/>
        <v/>
      </c>
      <c r="D4223" s="63" t="str">
        <f t="shared" si="615"/>
        <v/>
      </c>
      <c r="E4223" t="str">
        <f t="shared" si="616"/>
        <v/>
      </c>
      <c r="F4223" t="str">
        <f t="shared" si="617"/>
        <v/>
      </c>
      <c r="G4223">
        <f t="shared" si="618"/>
        <v>26.0235849056604</v>
      </c>
    </row>
    <row r="4224" spans="2:7">
      <c r="B4224" s="46"/>
      <c r="C4224" t="str">
        <f t="shared" si="614"/>
        <v/>
      </c>
      <c r="D4224" s="63" t="str">
        <f t="shared" si="615"/>
        <v/>
      </c>
      <c r="E4224" t="str">
        <f t="shared" si="616"/>
        <v/>
      </c>
      <c r="F4224" t="str">
        <f t="shared" si="617"/>
        <v/>
      </c>
      <c r="G4224">
        <f t="shared" si="618"/>
        <v>26.8977987421384</v>
      </c>
    </row>
    <row r="4225" spans="2:7">
      <c r="B4225" s="46"/>
      <c r="C4225" t="str">
        <f t="shared" si="614"/>
        <v/>
      </c>
      <c r="D4225" s="63" t="str">
        <f t="shared" si="615"/>
        <v/>
      </c>
      <c r="E4225" t="str">
        <f t="shared" si="616"/>
        <v/>
      </c>
      <c r="F4225" t="str">
        <f t="shared" si="617"/>
        <v/>
      </c>
      <c r="G4225">
        <f t="shared" si="618"/>
        <v>27.8448637316562</v>
      </c>
    </row>
    <row r="4226" spans="2:7">
      <c r="B4226" s="46"/>
      <c r="C4226" t="str">
        <f t="shared" si="614"/>
        <v/>
      </c>
      <c r="D4226" s="63" t="str">
        <f t="shared" si="615"/>
        <v/>
      </c>
      <c r="E4226" t="str">
        <f t="shared" si="616"/>
        <v/>
      </c>
      <c r="F4226" t="str">
        <f t="shared" si="617"/>
        <v/>
      </c>
      <c r="G4226">
        <f t="shared" si="618"/>
        <v>29.229035639413</v>
      </c>
    </row>
    <row r="4227" spans="2:7">
      <c r="B4227" s="46"/>
      <c r="C4227" t="str">
        <f t="shared" si="614"/>
        <v/>
      </c>
      <c r="D4227" s="63" t="str">
        <f t="shared" si="615"/>
        <v/>
      </c>
      <c r="E4227">
        <f t="shared" si="616"/>
        <v>25.5460784313725</v>
      </c>
      <c r="F4227" t="str">
        <f t="shared" si="617"/>
        <v/>
      </c>
      <c r="G4227" t="str">
        <f t="shared" si="618"/>
        <v/>
      </c>
    </row>
    <row r="4228" spans="2:7">
      <c r="B4228" s="46"/>
      <c r="C4228" t="str">
        <f t="shared" si="614"/>
        <v/>
      </c>
      <c r="D4228" s="63" t="str">
        <f t="shared" si="615"/>
        <v/>
      </c>
      <c r="E4228">
        <f t="shared" si="616"/>
        <v>28.8676470588235</v>
      </c>
      <c r="F4228" t="str">
        <f t="shared" si="617"/>
        <v/>
      </c>
      <c r="G4228" t="str">
        <f t="shared" si="618"/>
        <v/>
      </c>
    </row>
    <row r="4229" spans="2:7">
      <c r="B4229" s="46"/>
      <c r="C4229">
        <f t="shared" si="614"/>
        <v>39.1041666666667</v>
      </c>
      <c r="D4229" s="63" t="str">
        <f t="shared" si="615"/>
        <v/>
      </c>
      <c r="E4229" t="str">
        <f t="shared" si="616"/>
        <v/>
      </c>
      <c r="F4229" t="str">
        <f t="shared" si="617"/>
        <v/>
      </c>
      <c r="G4229" t="str">
        <f t="shared" si="618"/>
        <v/>
      </c>
    </row>
    <row r="4230" spans="2:7">
      <c r="B4230" s="46"/>
      <c r="C4230" t="str">
        <f t="shared" si="614"/>
        <v/>
      </c>
      <c r="D4230" s="63" t="str">
        <f t="shared" si="615"/>
        <v/>
      </c>
      <c r="E4230">
        <f t="shared" si="616"/>
        <v>30.843137254902</v>
      </c>
      <c r="F4230" t="str">
        <f t="shared" si="617"/>
        <v/>
      </c>
      <c r="G4230" t="str">
        <f t="shared" si="618"/>
        <v/>
      </c>
    </row>
    <row r="4231" spans="2:7">
      <c r="B4231" s="46"/>
      <c r="C4231" t="str">
        <f t="shared" si="614"/>
        <v/>
      </c>
      <c r="D4231" s="63" t="str">
        <f t="shared" si="615"/>
        <v/>
      </c>
      <c r="E4231">
        <f t="shared" si="616"/>
        <v>32.2524509803922</v>
      </c>
      <c r="F4231" t="str">
        <f t="shared" si="617"/>
        <v/>
      </c>
      <c r="G4231" t="str">
        <f t="shared" si="618"/>
        <v/>
      </c>
    </row>
    <row r="4232" ht="15.75" spans="2:7">
      <c r="B4232" s="46"/>
      <c r="C4232" t="str">
        <f t="shared" si="614"/>
        <v/>
      </c>
      <c r="D4232" s="63">
        <f t="shared" si="615"/>
        <v>30.1643192488263</v>
      </c>
      <c r="E4232" t="str">
        <f t="shared" si="616"/>
        <v/>
      </c>
      <c r="F4232" t="str">
        <f t="shared" si="617"/>
        <v/>
      </c>
      <c r="G4232" t="str">
        <f t="shared" si="618"/>
        <v/>
      </c>
    </row>
    <row r="4233" spans="2:7">
      <c r="B4233" s="74" t="s">
        <v>269</v>
      </c>
      <c r="C4233" s="75">
        <f>MAX(C4148:C4232)</f>
        <v>39.1041666666667</v>
      </c>
      <c r="D4233" s="75">
        <f>MAX(D4148:D4232)</f>
        <v>30.1643192488263</v>
      </c>
      <c r="E4233" s="75">
        <f>MAX(E4148:E4232)</f>
        <v>32.2524509803922</v>
      </c>
      <c r="F4233" s="75">
        <f t="shared" ref="F4233:G4233" si="619">MAX(F4148:F4232)</f>
        <v>30.8809523809524</v>
      </c>
      <c r="G4233" s="75">
        <f t="shared" si="619"/>
        <v>29.229035639413</v>
      </c>
    </row>
    <row r="4234" spans="2:7">
      <c r="B4234" s="76" t="s">
        <v>270</v>
      </c>
      <c r="C4234" s="77">
        <v>1</v>
      </c>
      <c r="D4234" s="78">
        <v>2</v>
      </c>
      <c r="E4234">
        <v>3</v>
      </c>
      <c r="F4234">
        <v>4</v>
      </c>
      <c r="G4234">
        <v>5</v>
      </c>
    </row>
    <row r="4235" spans="2:7">
      <c r="B4235" s="79" t="s">
        <v>271</v>
      </c>
      <c r="C4235" s="72">
        <f>HLOOKUP(MIN(C4233:G4233),C4233:G4234,2,FALSE)</f>
        <v>5</v>
      </c>
      <c r="D4235" s="80"/>
    </row>
    <row r="4237" ht="15.75" spans="2:7">
      <c r="B4237" s="43" t="s">
        <v>356</v>
      </c>
      <c r="C4237" s="44"/>
      <c r="D4237" s="45"/>
    </row>
    <row r="4238" spans="2:7">
      <c r="B4238" s="46"/>
      <c r="C4238" s="61" t="s">
        <v>264</v>
      </c>
      <c r="D4238" s="61" t="s">
        <v>265</v>
      </c>
      <c r="E4238" s="62" t="s">
        <v>286</v>
      </c>
      <c r="F4238" s="62" t="s">
        <v>287</v>
      </c>
      <c r="G4238" s="62" t="s">
        <v>288</v>
      </c>
    </row>
    <row r="4239" spans="2:7">
      <c r="B4239" s="46"/>
      <c r="C4239">
        <f t="shared" ref="C4239:C4302" si="620">IF(J8=1,S8,"")</f>
        <v>0.700231481481482</v>
      </c>
      <c r="D4239" s="63" t="str">
        <f t="shared" ref="D4239:D4302" si="621">IF(J8=2,S8,"")</f>
        <v/>
      </c>
      <c r="E4239" t="str">
        <f t="shared" ref="E4239:E4302" si="622">IF(J8=3,S8,"")</f>
        <v/>
      </c>
      <c r="F4239" t="str">
        <f t="shared" ref="F4239:F4302" si="623">IF(J8=4,S8,"")</f>
        <v/>
      </c>
      <c r="G4239" t="str">
        <f t="shared" ref="G4239:G4302" si="624">IF(J8=5,S8,"")</f>
        <v/>
      </c>
    </row>
    <row r="4240" spans="2:7">
      <c r="B4240" s="46"/>
      <c r="C4240" t="str">
        <f t="shared" si="620"/>
        <v/>
      </c>
      <c r="D4240" s="63">
        <f t="shared" si="621"/>
        <v>0.734154929577465</v>
      </c>
      <c r="E4240" t="str">
        <f t="shared" si="622"/>
        <v/>
      </c>
      <c r="F4240" t="str">
        <f t="shared" si="623"/>
        <v/>
      </c>
      <c r="G4240" t="str">
        <f t="shared" si="624"/>
        <v/>
      </c>
    </row>
    <row r="4241" spans="2:7">
      <c r="B4241" s="46"/>
      <c r="C4241" t="str">
        <f t="shared" si="620"/>
        <v/>
      </c>
      <c r="D4241" s="63" t="str">
        <f t="shared" si="621"/>
        <v/>
      </c>
      <c r="E4241">
        <f t="shared" si="622"/>
        <v>1.83823529411765</v>
      </c>
      <c r="F4241" t="str">
        <f t="shared" si="623"/>
        <v/>
      </c>
      <c r="G4241" t="str">
        <f t="shared" si="624"/>
        <v/>
      </c>
    </row>
    <row r="4242" spans="2:7">
      <c r="B4242" s="46"/>
      <c r="C4242" t="str">
        <f t="shared" si="620"/>
        <v/>
      </c>
      <c r="D4242" s="63" t="str">
        <f t="shared" si="621"/>
        <v/>
      </c>
      <c r="E4242" t="str">
        <f t="shared" si="622"/>
        <v/>
      </c>
      <c r="F4242">
        <f t="shared" si="623"/>
        <v>4.28571428571429</v>
      </c>
      <c r="G4242" t="str">
        <f t="shared" si="624"/>
        <v/>
      </c>
    </row>
    <row r="4243" spans="2:7">
      <c r="B4243" s="46"/>
      <c r="C4243" t="str">
        <f t="shared" si="620"/>
        <v/>
      </c>
      <c r="D4243" s="63" t="str">
        <f t="shared" si="621"/>
        <v/>
      </c>
      <c r="E4243" t="str">
        <f t="shared" si="622"/>
        <v/>
      </c>
      <c r="F4243" t="str">
        <f t="shared" si="623"/>
        <v/>
      </c>
      <c r="G4243">
        <f t="shared" si="624"/>
        <v>3.43396226415094</v>
      </c>
    </row>
    <row r="4244" spans="2:7">
      <c r="B4244" s="46"/>
      <c r="C4244" t="str">
        <f t="shared" si="620"/>
        <v/>
      </c>
      <c r="D4244" s="63" t="str">
        <f t="shared" si="621"/>
        <v/>
      </c>
      <c r="E4244">
        <f t="shared" si="622"/>
        <v>14.5833333333333</v>
      </c>
      <c r="F4244" t="str">
        <f t="shared" si="623"/>
        <v/>
      </c>
      <c r="G4244" t="str">
        <f t="shared" si="624"/>
        <v/>
      </c>
    </row>
    <row r="4245" spans="2:7">
      <c r="B4245" s="46"/>
      <c r="C4245" t="str">
        <f t="shared" si="620"/>
        <v/>
      </c>
      <c r="D4245" s="63" t="str">
        <f t="shared" si="621"/>
        <v/>
      </c>
      <c r="E4245" t="str">
        <f t="shared" si="622"/>
        <v/>
      </c>
      <c r="F4245">
        <f t="shared" si="623"/>
        <v>6.42857142857143</v>
      </c>
      <c r="G4245" t="str">
        <f t="shared" si="624"/>
        <v/>
      </c>
    </row>
    <row r="4246" spans="2:7">
      <c r="B4246" s="46"/>
      <c r="C4246" t="str">
        <f t="shared" si="620"/>
        <v/>
      </c>
      <c r="D4246" s="63" t="str">
        <f t="shared" si="621"/>
        <v/>
      </c>
      <c r="E4246" t="str">
        <f t="shared" si="622"/>
        <v/>
      </c>
      <c r="F4246" t="str">
        <f t="shared" si="623"/>
        <v/>
      </c>
      <c r="G4246">
        <f t="shared" si="624"/>
        <v>3.84591194968553</v>
      </c>
    </row>
    <row r="4247" spans="2:7">
      <c r="B4247" s="46"/>
      <c r="C4247">
        <f t="shared" si="620"/>
        <v>0.844907407407407</v>
      </c>
      <c r="D4247" s="63" t="str">
        <f t="shared" si="621"/>
        <v/>
      </c>
      <c r="E4247" t="str">
        <f t="shared" si="622"/>
        <v/>
      </c>
      <c r="F4247" t="str">
        <f t="shared" si="623"/>
        <v/>
      </c>
      <c r="G4247" t="str">
        <f t="shared" si="624"/>
        <v/>
      </c>
    </row>
    <row r="4248" spans="2:7">
      <c r="B4248" s="46"/>
      <c r="C4248">
        <f t="shared" si="620"/>
        <v>6.79803240740741</v>
      </c>
      <c r="D4248" s="63" t="str">
        <f t="shared" si="621"/>
        <v/>
      </c>
      <c r="E4248" t="str">
        <f t="shared" si="622"/>
        <v/>
      </c>
      <c r="F4248" t="str">
        <f t="shared" si="623"/>
        <v/>
      </c>
      <c r="G4248" t="str">
        <f t="shared" si="624"/>
        <v/>
      </c>
    </row>
    <row r="4249" spans="2:7">
      <c r="B4249" s="46"/>
      <c r="C4249">
        <f t="shared" si="620"/>
        <v>6.79803240740741</v>
      </c>
      <c r="D4249" s="63" t="str">
        <f t="shared" si="621"/>
        <v/>
      </c>
      <c r="E4249" t="str">
        <f t="shared" si="622"/>
        <v/>
      </c>
      <c r="F4249" t="str">
        <f t="shared" si="623"/>
        <v/>
      </c>
      <c r="G4249" t="str">
        <f t="shared" si="624"/>
        <v/>
      </c>
    </row>
    <row r="4250" spans="2:7">
      <c r="B4250" s="46"/>
      <c r="C4250">
        <f t="shared" si="620"/>
        <v>7.52719907407408</v>
      </c>
      <c r="D4250" s="63" t="str">
        <f t="shared" si="621"/>
        <v/>
      </c>
      <c r="E4250" t="str">
        <f t="shared" si="622"/>
        <v/>
      </c>
      <c r="F4250" t="str">
        <f t="shared" si="623"/>
        <v/>
      </c>
      <c r="G4250" t="str">
        <f t="shared" si="624"/>
        <v/>
      </c>
    </row>
    <row r="4251" spans="2:7">
      <c r="B4251" s="46"/>
      <c r="C4251" t="str">
        <f t="shared" si="620"/>
        <v/>
      </c>
      <c r="D4251" s="63">
        <f t="shared" si="621"/>
        <v>2.7881455399061</v>
      </c>
      <c r="E4251" t="str">
        <f t="shared" si="622"/>
        <v/>
      </c>
      <c r="F4251" t="str">
        <f t="shared" si="623"/>
        <v/>
      </c>
      <c r="G4251" t="str">
        <f t="shared" si="624"/>
        <v/>
      </c>
    </row>
    <row r="4252" spans="2:7">
      <c r="B4252" s="46"/>
      <c r="C4252" t="str">
        <f t="shared" si="620"/>
        <v/>
      </c>
      <c r="D4252" s="63">
        <f t="shared" si="621"/>
        <v>4.47535211267606</v>
      </c>
      <c r="E4252" t="str">
        <f t="shared" si="622"/>
        <v/>
      </c>
      <c r="F4252" t="str">
        <f t="shared" si="623"/>
        <v/>
      </c>
      <c r="G4252" t="str">
        <f t="shared" si="624"/>
        <v/>
      </c>
    </row>
    <row r="4253" spans="2:7">
      <c r="B4253" s="46"/>
      <c r="C4253" t="str">
        <f t="shared" si="620"/>
        <v/>
      </c>
      <c r="D4253" s="63">
        <f t="shared" si="621"/>
        <v>6.10680751173709</v>
      </c>
      <c r="E4253" t="str">
        <f t="shared" si="622"/>
        <v/>
      </c>
      <c r="F4253" t="str">
        <f t="shared" si="623"/>
        <v/>
      </c>
      <c r="G4253" t="str">
        <f t="shared" si="624"/>
        <v/>
      </c>
    </row>
    <row r="4254" spans="2:7">
      <c r="B4254" s="46"/>
      <c r="C4254" t="str">
        <f t="shared" si="620"/>
        <v/>
      </c>
      <c r="D4254" s="63">
        <f t="shared" si="621"/>
        <v>8.50821596244131</v>
      </c>
      <c r="E4254" t="str">
        <f t="shared" si="622"/>
        <v/>
      </c>
      <c r="F4254" t="str">
        <f t="shared" si="623"/>
        <v/>
      </c>
      <c r="G4254" t="str">
        <f t="shared" si="624"/>
        <v/>
      </c>
    </row>
    <row r="4255" spans="2:7">
      <c r="B4255" s="46"/>
      <c r="C4255" t="str">
        <f t="shared" si="620"/>
        <v/>
      </c>
      <c r="D4255" s="63">
        <f t="shared" si="621"/>
        <v>10.268779342723</v>
      </c>
      <c r="E4255" t="str">
        <f t="shared" si="622"/>
        <v/>
      </c>
      <c r="F4255" t="str">
        <f t="shared" si="623"/>
        <v/>
      </c>
      <c r="G4255" t="str">
        <f t="shared" si="624"/>
        <v/>
      </c>
    </row>
    <row r="4256" spans="2:7">
      <c r="B4256" s="46"/>
      <c r="C4256" t="str">
        <f t="shared" si="620"/>
        <v/>
      </c>
      <c r="D4256" s="63" t="str">
        <f t="shared" si="621"/>
        <v/>
      </c>
      <c r="E4256" t="str">
        <f t="shared" si="622"/>
        <v/>
      </c>
      <c r="F4256" t="str">
        <f t="shared" si="623"/>
        <v/>
      </c>
      <c r="G4256">
        <f t="shared" si="624"/>
        <v>7.67610062893082</v>
      </c>
    </row>
    <row r="4257" spans="2:7">
      <c r="B4257" s="46"/>
      <c r="C4257" t="str">
        <f t="shared" si="620"/>
        <v/>
      </c>
      <c r="D4257" s="63" t="str">
        <f t="shared" si="621"/>
        <v/>
      </c>
      <c r="E4257" t="str">
        <f t="shared" si="622"/>
        <v/>
      </c>
      <c r="F4257" t="str">
        <f t="shared" si="623"/>
        <v/>
      </c>
      <c r="G4257">
        <f t="shared" si="624"/>
        <v>10.3836477987421</v>
      </c>
    </row>
    <row r="4258" spans="2:7">
      <c r="B4258" s="46"/>
      <c r="C4258" t="str">
        <f t="shared" si="620"/>
        <v/>
      </c>
      <c r="D4258" s="63" t="str">
        <f t="shared" si="621"/>
        <v/>
      </c>
      <c r="E4258" t="str">
        <f t="shared" si="622"/>
        <v/>
      </c>
      <c r="F4258" t="str">
        <f t="shared" si="623"/>
        <v/>
      </c>
      <c r="G4258">
        <f t="shared" si="624"/>
        <v>13.2138364779874</v>
      </c>
    </row>
    <row r="4259" spans="2:7">
      <c r="B4259" s="46"/>
      <c r="C4259" t="str">
        <f t="shared" si="620"/>
        <v/>
      </c>
      <c r="D4259" s="63" t="str">
        <f t="shared" si="621"/>
        <v/>
      </c>
      <c r="E4259" t="str">
        <f t="shared" si="622"/>
        <v/>
      </c>
      <c r="F4259" t="str">
        <f t="shared" si="623"/>
        <v/>
      </c>
      <c r="G4259">
        <f t="shared" si="624"/>
        <v>14.7243186582809</v>
      </c>
    </row>
    <row r="4260" spans="2:7">
      <c r="B4260" s="46"/>
      <c r="C4260" t="str">
        <f t="shared" si="620"/>
        <v/>
      </c>
      <c r="D4260" s="63" t="str">
        <f t="shared" si="621"/>
        <v/>
      </c>
      <c r="E4260" t="str">
        <f t="shared" si="622"/>
        <v/>
      </c>
      <c r="F4260">
        <f t="shared" si="623"/>
        <v>9.17630385487529</v>
      </c>
      <c r="G4260" t="str">
        <f t="shared" si="624"/>
        <v/>
      </c>
    </row>
    <row r="4261" spans="2:7">
      <c r="B4261" s="46"/>
      <c r="C4261" t="str">
        <f t="shared" si="620"/>
        <v/>
      </c>
      <c r="D4261" s="63" t="str">
        <f t="shared" si="621"/>
        <v/>
      </c>
      <c r="E4261" t="str">
        <f t="shared" si="622"/>
        <v/>
      </c>
      <c r="F4261">
        <f t="shared" si="623"/>
        <v>12.328231292517</v>
      </c>
      <c r="G4261" t="str">
        <f t="shared" si="624"/>
        <v/>
      </c>
    </row>
    <row r="4262" spans="2:7">
      <c r="B4262" s="46"/>
      <c r="C4262" t="str">
        <f t="shared" si="620"/>
        <v/>
      </c>
      <c r="D4262" s="63" t="str">
        <f t="shared" si="621"/>
        <v/>
      </c>
      <c r="E4262" t="str">
        <f t="shared" si="622"/>
        <v/>
      </c>
      <c r="F4262">
        <f t="shared" si="623"/>
        <v>15.0017006802721</v>
      </c>
      <c r="G4262" t="str">
        <f t="shared" si="624"/>
        <v/>
      </c>
    </row>
    <row r="4263" spans="2:7">
      <c r="B4263" s="46"/>
      <c r="C4263">
        <f t="shared" si="620"/>
        <v>10.328125</v>
      </c>
      <c r="D4263" s="63" t="str">
        <f t="shared" si="621"/>
        <v/>
      </c>
      <c r="E4263" t="str">
        <f t="shared" si="622"/>
        <v/>
      </c>
      <c r="F4263" t="str">
        <f t="shared" si="623"/>
        <v/>
      </c>
      <c r="G4263" t="str">
        <f t="shared" si="624"/>
        <v/>
      </c>
    </row>
    <row r="4264" spans="2:7">
      <c r="B4264" s="46"/>
      <c r="C4264">
        <f t="shared" si="620"/>
        <v>14.5908564814815</v>
      </c>
      <c r="D4264" s="63" t="str">
        <f t="shared" si="621"/>
        <v/>
      </c>
      <c r="E4264" t="str">
        <f t="shared" si="622"/>
        <v/>
      </c>
      <c r="F4264" t="str">
        <f t="shared" si="623"/>
        <v/>
      </c>
      <c r="G4264" t="str">
        <f t="shared" si="624"/>
        <v/>
      </c>
    </row>
    <row r="4265" spans="2:7">
      <c r="B4265" s="46"/>
      <c r="C4265">
        <f t="shared" si="620"/>
        <v>14.9409722222222</v>
      </c>
      <c r="D4265" s="63" t="str">
        <f t="shared" si="621"/>
        <v/>
      </c>
      <c r="E4265" t="str">
        <f t="shared" si="622"/>
        <v/>
      </c>
      <c r="F4265" t="str">
        <f t="shared" si="623"/>
        <v/>
      </c>
      <c r="G4265" t="str">
        <f t="shared" si="624"/>
        <v/>
      </c>
    </row>
    <row r="4266" spans="2:7">
      <c r="B4266" s="46"/>
      <c r="C4266">
        <f t="shared" si="620"/>
        <v>19.2465277777778</v>
      </c>
      <c r="D4266" s="63" t="str">
        <f t="shared" si="621"/>
        <v/>
      </c>
      <c r="E4266" t="str">
        <f t="shared" si="622"/>
        <v/>
      </c>
      <c r="F4266" t="str">
        <f t="shared" si="623"/>
        <v/>
      </c>
      <c r="G4266" t="str">
        <f t="shared" si="624"/>
        <v/>
      </c>
    </row>
    <row r="4267" spans="2:7">
      <c r="B4267" s="46"/>
      <c r="C4267" t="str">
        <f t="shared" si="620"/>
        <v/>
      </c>
      <c r="D4267" s="63">
        <f t="shared" si="621"/>
        <v>15.0340375586854</v>
      </c>
      <c r="E4267" t="str">
        <f t="shared" si="622"/>
        <v/>
      </c>
      <c r="F4267" t="str">
        <f t="shared" si="623"/>
        <v/>
      </c>
      <c r="G4267" t="str">
        <f t="shared" si="624"/>
        <v/>
      </c>
    </row>
    <row r="4268" spans="2:7">
      <c r="B4268" s="46"/>
      <c r="C4268" t="str">
        <f t="shared" si="620"/>
        <v/>
      </c>
      <c r="D4268" s="63">
        <f t="shared" si="621"/>
        <v>15.0340375586854</v>
      </c>
      <c r="E4268" t="str">
        <f t="shared" si="622"/>
        <v/>
      </c>
      <c r="F4268" t="str">
        <f t="shared" si="623"/>
        <v/>
      </c>
      <c r="G4268" t="str">
        <f t="shared" si="624"/>
        <v/>
      </c>
    </row>
    <row r="4269" spans="2:7">
      <c r="B4269" s="46"/>
      <c r="C4269" t="str">
        <f t="shared" si="620"/>
        <v/>
      </c>
      <c r="D4269" s="63">
        <f t="shared" si="621"/>
        <v>16.1343896713615</v>
      </c>
      <c r="E4269" t="str">
        <f t="shared" si="622"/>
        <v/>
      </c>
      <c r="F4269" t="str">
        <f t="shared" si="623"/>
        <v/>
      </c>
      <c r="G4269" t="str">
        <f t="shared" si="624"/>
        <v/>
      </c>
    </row>
    <row r="4270" spans="2:7">
      <c r="B4270" s="46"/>
      <c r="C4270" t="str">
        <f t="shared" si="620"/>
        <v/>
      </c>
      <c r="D4270" s="63">
        <f t="shared" si="621"/>
        <v>16.8620892018779</v>
      </c>
      <c r="E4270" t="str">
        <f t="shared" si="622"/>
        <v/>
      </c>
      <c r="F4270" t="str">
        <f t="shared" si="623"/>
        <v/>
      </c>
      <c r="G4270" t="str">
        <f t="shared" si="624"/>
        <v/>
      </c>
    </row>
    <row r="4271" spans="2:7">
      <c r="B4271" s="46"/>
      <c r="C4271" t="str">
        <f t="shared" si="620"/>
        <v/>
      </c>
      <c r="D4271" s="63" t="str">
        <f t="shared" si="621"/>
        <v/>
      </c>
      <c r="E4271">
        <f t="shared" si="622"/>
        <v>16.1245098039216</v>
      </c>
      <c r="F4271" t="str">
        <f t="shared" si="623"/>
        <v/>
      </c>
      <c r="G4271" t="str">
        <f t="shared" si="624"/>
        <v/>
      </c>
    </row>
    <row r="4272" spans="2:7">
      <c r="B4272" s="46"/>
      <c r="C4272" t="str">
        <f t="shared" si="620"/>
        <v/>
      </c>
      <c r="D4272" s="63" t="str">
        <f t="shared" si="621"/>
        <v/>
      </c>
      <c r="E4272">
        <f t="shared" si="622"/>
        <v>17.9225490196078</v>
      </c>
      <c r="F4272" t="str">
        <f t="shared" si="623"/>
        <v/>
      </c>
      <c r="G4272" t="str">
        <f t="shared" si="624"/>
        <v/>
      </c>
    </row>
    <row r="4273" spans="2:7">
      <c r="B4273" s="46"/>
      <c r="C4273" t="str">
        <f t="shared" si="620"/>
        <v/>
      </c>
      <c r="D4273" s="63" t="str">
        <f t="shared" si="621"/>
        <v/>
      </c>
      <c r="E4273">
        <f t="shared" si="622"/>
        <v>18.7166666666667</v>
      </c>
      <c r="F4273" t="str">
        <f t="shared" si="623"/>
        <v/>
      </c>
      <c r="G4273" t="str">
        <f t="shared" si="624"/>
        <v/>
      </c>
    </row>
    <row r="4274" spans="2:7">
      <c r="B4274" s="46"/>
      <c r="C4274" t="str">
        <f t="shared" si="620"/>
        <v/>
      </c>
      <c r="D4274" s="63" t="str">
        <f t="shared" si="621"/>
        <v/>
      </c>
      <c r="E4274">
        <f t="shared" si="622"/>
        <v>18.9539215686275</v>
      </c>
      <c r="F4274" t="str">
        <f t="shared" si="623"/>
        <v/>
      </c>
      <c r="G4274" t="str">
        <f t="shared" si="624"/>
        <v/>
      </c>
    </row>
    <row r="4275" spans="2:7">
      <c r="B4275" s="46"/>
      <c r="C4275" t="str">
        <f t="shared" si="620"/>
        <v/>
      </c>
      <c r="D4275" s="63" t="str">
        <f t="shared" si="621"/>
        <v/>
      </c>
      <c r="E4275" t="str">
        <f t="shared" si="622"/>
        <v/>
      </c>
      <c r="F4275" t="str">
        <f t="shared" si="623"/>
        <v/>
      </c>
      <c r="G4275">
        <f t="shared" si="624"/>
        <v>15.4449685534591</v>
      </c>
    </row>
    <row r="4276" spans="2:7">
      <c r="B4276" s="46"/>
      <c r="C4276" t="str">
        <f t="shared" si="620"/>
        <v/>
      </c>
      <c r="D4276" s="63" t="str">
        <f t="shared" si="621"/>
        <v/>
      </c>
      <c r="E4276" t="str">
        <f t="shared" si="622"/>
        <v/>
      </c>
      <c r="F4276" t="str">
        <f t="shared" si="623"/>
        <v/>
      </c>
      <c r="G4276">
        <f t="shared" si="624"/>
        <v>16.4669811320755</v>
      </c>
    </row>
    <row r="4277" spans="2:7">
      <c r="B4277" s="46"/>
      <c r="C4277" t="str">
        <f t="shared" si="620"/>
        <v/>
      </c>
      <c r="D4277" s="63" t="str">
        <f t="shared" si="621"/>
        <v/>
      </c>
      <c r="E4277" t="str">
        <f t="shared" si="622"/>
        <v/>
      </c>
      <c r="F4277" t="str">
        <f t="shared" si="623"/>
        <v/>
      </c>
      <c r="G4277">
        <f t="shared" si="624"/>
        <v>17.7877358490566</v>
      </c>
    </row>
    <row r="4278" spans="2:7">
      <c r="B4278" s="46"/>
      <c r="C4278" t="str">
        <f t="shared" si="620"/>
        <v/>
      </c>
      <c r="D4278" s="63" t="str">
        <f t="shared" si="621"/>
        <v/>
      </c>
      <c r="E4278" t="str">
        <f t="shared" si="622"/>
        <v/>
      </c>
      <c r="F4278" t="str">
        <f t="shared" si="623"/>
        <v/>
      </c>
      <c r="G4278">
        <f t="shared" si="624"/>
        <v>18.377358490566</v>
      </c>
    </row>
    <row r="4279" spans="2:7">
      <c r="B4279" s="46"/>
      <c r="C4279" t="str">
        <f t="shared" si="620"/>
        <v/>
      </c>
      <c r="D4279" s="63" t="str">
        <f t="shared" si="621"/>
        <v/>
      </c>
      <c r="E4279" t="str">
        <f t="shared" si="622"/>
        <v/>
      </c>
      <c r="F4279">
        <f t="shared" si="623"/>
        <v>15.4234693877551</v>
      </c>
      <c r="G4279" t="str">
        <f t="shared" si="624"/>
        <v/>
      </c>
    </row>
    <row r="4280" spans="2:7">
      <c r="B4280" s="46"/>
      <c r="C4280" t="str">
        <f t="shared" si="620"/>
        <v/>
      </c>
      <c r="D4280" s="63" t="str">
        <f t="shared" si="621"/>
        <v/>
      </c>
      <c r="E4280" t="str">
        <f t="shared" si="622"/>
        <v/>
      </c>
      <c r="F4280">
        <f t="shared" si="623"/>
        <v>16.7698412698413</v>
      </c>
      <c r="G4280" t="str">
        <f t="shared" si="624"/>
        <v/>
      </c>
    </row>
    <row r="4281" spans="2:7">
      <c r="B4281" s="46"/>
      <c r="C4281" t="str">
        <f t="shared" si="620"/>
        <v/>
      </c>
      <c r="D4281" s="63" t="str">
        <f t="shared" si="621"/>
        <v/>
      </c>
      <c r="E4281" t="str">
        <f t="shared" si="622"/>
        <v/>
      </c>
      <c r="F4281">
        <f t="shared" si="623"/>
        <v>18.109410430839</v>
      </c>
      <c r="G4281" t="str">
        <f t="shared" si="624"/>
        <v/>
      </c>
    </row>
    <row r="4282" spans="2:7">
      <c r="B4282" s="46"/>
      <c r="C4282" t="str">
        <f t="shared" si="620"/>
        <v/>
      </c>
      <c r="D4282" s="63" t="str">
        <f t="shared" si="621"/>
        <v/>
      </c>
      <c r="E4282" t="str">
        <f t="shared" si="622"/>
        <v/>
      </c>
      <c r="F4282">
        <f t="shared" si="623"/>
        <v>20.1581632653061</v>
      </c>
      <c r="G4282" t="str">
        <f t="shared" si="624"/>
        <v/>
      </c>
    </row>
    <row r="4283" spans="2:7">
      <c r="B4283" s="46"/>
      <c r="C4283" t="str">
        <f t="shared" si="620"/>
        <v/>
      </c>
      <c r="D4283" s="63" t="str">
        <f t="shared" si="621"/>
        <v/>
      </c>
      <c r="E4283" t="str">
        <f t="shared" si="622"/>
        <v/>
      </c>
      <c r="F4283">
        <f t="shared" si="623"/>
        <v>22.1581632653061</v>
      </c>
      <c r="G4283" t="str">
        <f t="shared" si="624"/>
        <v/>
      </c>
    </row>
    <row r="4284" spans="2:7">
      <c r="B4284" s="46"/>
      <c r="C4284" t="str">
        <f t="shared" si="620"/>
        <v/>
      </c>
      <c r="D4284" s="63" t="str">
        <f t="shared" si="621"/>
        <v/>
      </c>
      <c r="E4284" t="str">
        <f t="shared" si="622"/>
        <v/>
      </c>
      <c r="F4284">
        <f t="shared" si="623"/>
        <v>22.8781179138322</v>
      </c>
      <c r="G4284" t="str">
        <f t="shared" si="624"/>
        <v/>
      </c>
    </row>
    <row r="4285" spans="2:7">
      <c r="B4285" s="46"/>
      <c r="C4285" t="str">
        <f t="shared" si="620"/>
        <v/>
      </c>
      <c r="D4285" s="63">
        <f t="shared" si="621"/>
        <v>17.3022300469484</v>
      </c>
      <c r="E4285" t="str">
        <f t="shared" si="622"/>
        <v/>
      </c>
      <c r="F4285" t="str">
        <f t="shared" si="623"/>
        <v/>
      </c>
      <c r="G4285" t="str">
        <f t="shared" si="624"/>
        <v/>
      </c>
    </row>
    <row r="4286" spans="2:7">
      <c r="B4286" s="46"/>
      <c r="C4286" t="str">
        <f t="shared" si="620"/>
        <v/>
      </c>
      <c r="D4286" s="63">
        <f t="shared" si="621"/>
        <v>22.837441314554</v>
      </c>
      <c r="E4286" t="str">
        <f t="shared" si="622"/>
        <v/>
      </c>
      <c r="F4286" t="str">
        <f t="shared" si="623"/>
        <v/>
      </c>
      <c r="G4286" t="str">
        <f t="shared" si="624"/>
        <v/>
      </c>
    </row>
    <row r="4287" spans="2:7">
      <c r="B4287" s="46"/>
      <c r="C4287" t="str">
        <f t="shared" si="620"/>
        <v/>
      </c>
      <c r="D4287" s="63">
        <f t="shared" si="621"/>
        <v>23.7089201877934</v>
      </c>
      <c r="E4287" t="str">
        <f t="shared" si="622"/>
        <v/>
      </c>
      <c r="F4287" t="str">
        <f t="shared" si="623"/>
        <v/>
      </c>
      <c r="G4287" t="str">
        <f t="shared" si="624"/>
        <v/>
      </c>
    </row>
    <row r="4288" spans="2:7">
      <c r="B4288" s="46"/>
      <c r="C4288" t="str">
        <f t="shared" si="620"/>
        <v/>
      </c>
      <c r="D4288" s="63">
        <f t="shared" si="621"/>
        <v>24.3427230046948</v>
      </c>
      <c r="E4288" t="str">
        <f t="shared" si="622"/>
        <v/>
      </c>
      <c r="F4288" t="str">
        <f t="shared" si="623"/>
        <v/>
      </c>
      <c r="G4288" t="str">
        <f t="shared" si="624"/>
        <v/>
      </c>
    </row>
    <row r="4289" spans="2:7">
      <c r="B4289" s="46"/>
      <c r="C4289" t="str">
        <f t="shared" si="620"/>
        <v/>
      </c>
      <c r="D4289" s="63">
        <f t="shared" si="621"/>
        <v>27.5704225352113</v>
      </c>
      <c r="E4289" t="str">
        <f t="shared" si="622"/>
        <v/>
      </c>
      <c r="F4289" t="str">
        <f t="shared" si="623"/>
        <v/>
      </c>
      <c r="G4289" t="str">
        <f t="shared" si="624"/>
        <v/>
      </c>
    </row>
    <row r="4290" spans="2:7">
      <c r="B4290" s="46"/>
      <c r="C4290" t="str">
        <f t="shared" si="620"/>
        <v/>
      </c>
      <c r="D4290" s="63" t="str">
        <f t="shared" si="621"/>
        <v/>
      </c>
      <c r="E4290" t="str">
        <f t="shared" si="622"/>
        <v/>
      </c>
      <c r="F4290" t="str">
        <f t="shared" si="623"/>
        <v/>
      </c>
      <c r="G4290">
        <f t="shared" si="624"/>
        <v>19.1949685534591</v>
      </c>
    </row>
    <row r="4291" spans="2:7">
      <c r="B4291" s="46"/>
      <c r="C4291" t="str">
        <f t="shared" si="620"/>
        <v/>
      </c>
      <c r="D4291" s="63" t="str">
        <f t="shared" si="621"/>
        <v/>
      </c>
      <c r="E4291" t="str">
        <f t="shared" si="622"/>
        <v/>
      </c>
      <c r="F4291" t="str">
        <f t="shared" si="623"/>
        <v/>
      </c>
      <c r="G4291">
        <f t="shared" si="624"/>
        <v>21.9606918238994</v>
      </c>
    </row>
    <row r="4292" spans="2:7">
      <c r="B4292" s="46"/>
      <c r="C4292" t="str">
        <f t="shared" si="620"/>
        <v/>
      </c>
      <c r="D4292" s="63" t="str">
        <f t="shared" si="621"/>
        <v/>
      </c>
      <c r="E4292" t="str">
        <f t="shared" si="622"/>
        <v/>
      </c>
      <c r="F4292" t="str">
        <f t="shared" si="623"/>
        <v/>
      </c>
      <c r="G4292">
        <f t="shared" si="624"/>
        <v>21.9606918238994</v>
      </c>
    </row>
    <row r="4293" spans="2:7">
      <c r="B4293" s="46"/>
      <c r="C4293" t="str">
        <f t="shared" si="620"/>
        <v/>
      </c>
      <c r="D4293" s="63" t="str">
        <f t="shared" si="621"/>
        <v/>
      </c>
      <c r="E4293" t="str">
        <f t="shared" si="622"/>
        <v/>
      </c>
      <c r="F4293" t="str">
        <f t="shared" si="623"/>
        <v/>
      </c>
      <c r="G4293">
        <f t="shared" si="624"/>
        <v>25.2222222222222</v>
      </c>
    </row>
    <row r="4294" spans="2:7">
      <c r="B4294" s="46"/>
      <c r="C4294" t="str">
        <f t="shared" si="620"/>
        <v/>
      </c>
      <c r="D4294" s="63" t="str">
        <f t="shared" si="621"/>
        <v/>
      </c>
      <c r="E4294">
        <f t="shared" si="622"/>
        <v>22.268137254902</v>
      </c>
      <c r="F4294" t="str">
        <f t="shared" si="623"/>
        <v/>
      </c>
      <c r="G4294" t="str">
        <f t="shared" si="624"/>
        <v/>
      </c>
    </row>
    <row r="4295" spans="2:7">
      <c r="B4295" s="46"/>
      <c r="C4295" t="str">
        <f t="shared" si="620"/>
        <v/>
      </c>
      <c r="D4295" s="63" t="str">
        <f t="shared" si="621"/>
        <v/>
      </c>
      <c r="E4295">
        <f t="shared" si="622"/>
        <v>22.268137254902</v>
      </c>
      <c r="F4295" t="str">
        <f t="shared" si="623"/>
        <v/>
      </c>
      <c r="G4295" t="str">
        <f t="shared" si="624"/>
        <v/>
      </c>
    </row>
    <row r="4296" spans="2:7">
      <c r="B4296" s="46"/>
      <c r="C4296" t="str">
        <f t="shared" si="620"/>
        <v/>
      </c>
      <c r="D4296" s="63" t="str">
        <f t="shared" si="621"/>
        <v/>
      </c>
      <c r="E4296">
        <f t="shared" si="622"/>
        <v>24.6995098039216</v>
      </c>
      <c r="F4296" t="str">
        <f t="shared" si="623"/>
        <v/>
      </c>
      <c r="G4296" t="str">
        <f t="shared" si="624"/>
        <v/>
      </c>
    </row>
    <row r="4297" spans="2:7">
      <c r="B4297" s="46"/>
      <c r="C4297" t="str">
        <f t="shared" si="620"/>
        <v/>
      </c>
      <c r="D4297" s="63" t="str">
        <f t="shared" si="621"/>
        <v/>
      </c>
      <c r="E4297">
        <f t="shared" si="622"/>
        <v>25.3416666666667</v>
      </c>
      <c r="F4297" t="str">
        <f t="shared" si="623"/>
        <v/>
      </c>
      <c r="G4297" t="str">
        <f t="shared" si="624"/>
        <v/>
      </c>
    </row>
    <row r="4298" spans="2:7">
      <c r="B4298" s="46"/>
      <c r="C4298">
        <f t="shared" si="620"/>
        <v>19.5358796296296</v>
      </c>
      <c r="D4298" s="63" t="str">
        <f t="shared" si="621"/>
        <v/>
      </c>
      <c r="E4298" t="str">
        <f t="shared" si="622"/>
        <v/>
      </c>
      <c r="F4298" t="str">
        <f t="shared" si="623"/>
        <v/>
      </c>
      <c r="G4298" t="str">
        <f t="shared" si="624"/>
        <v/>
      </c>
    </row>
    <row r="4299" spans="2:7">
      <c r="B4299" s="46"/>
      <c r="C4299">
        <f t="shared" si="620"/>
        <v>20.1608796296296</v>
      </c>
      <c r="D4299" s="63" t="str">
        <f t="shared" si="621"/>
        <v/>
      </c>
      <c r="E4299" t="str">
        <f t="shared" si="622"/>
        <v/>
      </c>
      <c r="F4299" t="str">
        <f t="shared" si="623"/>
        <v/>
      </c>
      <c r="G4299" t="str">
        <f t="shared" si="624"/>
        <v/>
      </c>
    </row>
    <row r="4300" spans="2:7">
      <c r="B4300" s="46"/>
      <c r="C4300">
        <f t="shared" si="620"/>
        <v>21.7233796296296</v>
      </c>
      <c r="D4300" s="63" t="str">
        <f t="shared" si="621"/>
        <v/>
      </c>
      <c r="E4300" t="str">
        <f t="shared" si="622"/>
        <v/>
      </c>
      <c r="F4300" t="str">
        <f t="shared" si="623"/>
        <v/>
      </c>
      <c r="G4300" t="str">
        <f t="shared" si="624"/>
        <v/>
      </c>
    </row>
    <row r="4301" spans="2:7">
      <c r="B4301" s="46"/>
      <c r="C4301">
        <f t="shared" si="620"/>
        <v>22.7054398148148</v>
      </c>
      <c r="D4301" s="63" t="str">
        <f t="shared" si="621"/>
        <v/>
      </c>
      <c r="E4301" t="str">
        <f t="shared" si="622"/>
        <v/>
      </c>
      <c r="F4301" t="str">
        <f t="shared" si="623"/>
        <v/>
      </c>
      <c r="G4301" t="str">
        <f t="shared" si="624"/>
        <v/>
      </c>
    </row>
    <row r="4302" spans="2:7">
      <c r="B4302" s="46"/>
      <c r="C4302">
        <f t="shared" si="620"/>
        <v>22.7054398148148</v>
      </c>
      <c r="D4302" s="63" t="str">
        <f t="shared" si="621"/>
        <v/>
      </c>
      <c r="E4302" t="str">
        <f t="shared" si="622"/>
        <v/>
      </c>
      <c r="F4302" t="str">
        <f t="shared" si="623"/>
        <v/>
      </c>
      <c r="G4302" t="str">
        <f t="shared" si="624"/>
        <v/>
      </c>
    </row>
    <row r="4303" spans="2:7">
      <c r="B4303" s="46"/>
      <c r="C4303">
        <f t="shared" ref="C4303:C4324" si="625">IF(J72=1,S72,"")</f>
        <v>22.8512731481482</v>
      </c>
      <c r="D4303" s="63" t="str">
        <f t="shared" ref="D4303:D4324" si="626">IF(J72=2,S72,"")</f>
        <v/>
      </c>
      <c r="E4303" t="str">
        <f t="shared" ref="E4303:E4324" si="627">IF(J72=3,S72,"")</f>
        <v/>
      </c>
      <c r="F4303" t="str">
        <f t="shared" ref="F4303:F4324" si="628">IF(J72=4,S72,"")</f>
        <v/>
      </c>
      <c r="G4303" t="str">
        <f t="shared" ref="G4303:G4324" si="629">IF(J72=5,S72,"")</f>
        <v/>
      </c>
    </row>
    <row r="4304" spans="2:7">
      <c r="B4304" s="46"/>
      <c r="C4304">
        <f t="shared" si="625"/>
        <v>34.4068287037037</v>
      </c>
      <c r="D4304" s="63" t="str">
        <f t="shared" si="626"/>
        <v/>
      </c>
      <c r="E4304" t="str">
        <f t="shared" si="627"/>
        <v/>
      </c>
      <c r="F4304" t="str">
        <f t="shared" si="628"/>
        <v/>
      </c>
      <c r="G4304" t="str">
        <f t="shared" si="629"/>
        <v/>
      </c>
    </row>
    <row r="4305" spans="2:7">
      <c r="B4305" s="46"/>
      <c r="C4305">
        <f t="shared" si="625"/>
        <v>34.4068287037037</v>
      </c>
      <c r="D4305" s="63" t="str">
        <f t="shared" si="626"/>
        <v/>
      </c>
      <c r="E4305" t="str">
        <f t="shared" si="627"/>
        <v/>
      </c>
      <c r="F4305" t="str">
        <f t="shared" si="628"/>
        <v/>
      </c>
      <c r="G4305" t="str">
        <f t="shared" si="629"/>
        <v/>
      </c>
    </row>
    <row r="4306" spans="2:7">
      <c r="B4306" s="46"/>
      <c r="C4306">
        <f t="shared" si="625"/>
        <v>35.5827546296296</v>
      </c>
      <c r="D4306" s="63" t="str">
        <f t="shared" si="626"/>
        <v/>
      </c>
      <c r="E4306" t="str">
        <f t="shared" si="627"/>
        <v/>
      </c>
      <c r="F4306" t="str">
        <f t="shared" si="628"/>
        <v/>
      </c>
      <c r="G4306" t="str">
        <f t="shared" si="629"/>
        <v/>
      </c>
    </row>
    <row r="4307" spans="2:7">
      <c r="B4307" s="46"/>
      <c r="C4307">
        <f t="shared" si="625"/>
        <v>36.7893518518519</v>
      </c>
      <c r="D4307" s="63" t="str">
        <f t="shared" si="626"/>
        <v/>
      </c>
      <c r="E4307" t="str">
        <f t="shared" si="627"/>
        <v/>
      </c>
      <c r="F4307" t="str">
        <f t="shared" si="628"/>
        <v/>
      </c>
      <c r="G4307" t="str">
        <f t="shared" si="629"/>
        <v/>
      </c>
    </row>
    <row r="4308" spans="2:7">
      <c r="B4308" s="46"/>
      <c r="C4308" t="str">
        <f t="shared" si="625"/>
        <v/>
      </c>
      <c r="D4308" s="63" t="str">
        <f t="shared" si="626"/>
        <v/>
      </c>
      <c r="E4308" t="str">
        <f t="shared" si="627"/>
        <v/>
      </c>
      <c r="F4308">
        <f t="shared" si="628"/>
        <v>23.4404761904762</v>
      </c>
      <c r="G4308" t="str">
        <f t="shared" si="629"/>
        <v/>
      </c>
    </row>
    <row r="4309" spans="2:7">
      <c r="B4309" s="46"/>
      <c r="C4309" t="str">
        <f t="shared" si="625"/>
        <v/>
      </c>
      <c r="D4309" s="63" t="str">
        <f t="shared" si="626"/>
        <v/>
      </c>
      <c r="E4309" t="str">
        <f t="shared" si="627"/>
        <v/>
      </c>
      <c r="F4309">
        <f t="shared" si="628"/>
        <v>24.3616780045352</v>
      </c>
      <c r="G4309" t="str">
        <f t="shared" si="629"/>
        <v/>
      </c>
    </row>
    <row r="4310" spans="2:7">
      <c r="B4310" s="46"/>
      <c r="C4310" t="str">
        <f t="shared" si="625"/>
        <v/>
      </c>
      <c r="D4310" s="63" t="str">
        <f t="shared" si="626"/>
        <v/>
      </c>
      <c r="E4310" t="str">
        <f t="shared" si="627"/>
        <v/>
      </c>
      <c r="F4310">
        <f t="shared" si="628"/>
        <v>25.8378684807256</v>
      </c>
      <c r="G4310" t="str">
        <f t="shared" si="629"/>
        <v/>
      </c>
    </row>
    <row r="4311" spans="2:7">
      <c r="B4311" s="46"/>
      <c r="C4311" t="str">
        <f t="shared" si="625"/>
        <v/>
      </c>
      <c r="D4311" s="63" t="str">
        <f t="shared" si="626"/>
        <v/>
      </c>
      <c r="E4311" t="str">
        <f t="shared" si="627"/>
        <v/>
      </c>
      <c r="F4311">
        <f t="shared" si="628"/>
        <v>29.4625850340136</v>
      </c>
      <c r="G4311" t="str">
        <f t="shared" si="629"/>
        <v/>
      </c>
    </row>
    <row r="4312" spans="2:7">
      <c r="B4312" s="46"/>
      <c r="C4312" t="str">
        <f t="shared" si="625"/>
        <v/>
      </c>
      <c r="D4312" s="63" t="str">
        <f t="shared" si="626"/>
        <v/>
      </c>
      <c r="E4312" t="str">
        <f t="shared" si="627"/>
        <v/>
      </c>
      <c r="F4312">
        <f t="shared" si="628"/>
        <v>30.092970521542</v>
      </c>
      <c r="G4312" t="str">
        <f t="shared" si="629"/>
        <v/>
      </c>
    </row>
    <row r="4313" spans="2:7">
      <c r="B4313" s="46"/>
      <c r="C4313" t="str">
        <f t="shared" si="625"/>
        <v/>
      </c>
      <c r="D4313" s="63" t="str">
        <f t="shared" si="626"/>
        <v/>
      </c>
      <c r="E4313" t="str">
        <f t="shared" si="627"/>
        <v/>
      </c>
      <c r="F4313">
        <f t="shared" si="628"/>
        <v>30.8809523809524</v>
      </c>
      <c r="G4313" t="str">
        <f t="shared" si="629"/>
        <v/>
      </c>
    </row>
    <row r="4314" spans="2:7">
      <c r="B4314" s="46"/>
      <c r="C4314" t="str">
        <f t="shared" si="625"/>
        <v/>
      </c>
      <c r="D4314" s="63" t="str">
        <f t="shared" si="626"/>
        <v/>
      </c>
      <c r="E4314" t="str">
        <f t="shared" si="627"/>
        <v/>
      </c>
      <c r="F4314" t="str">
        <f t="shared" si="628"/>
        <v/>
      </c>
      <c r="G4314">
        <f t="shared" si="629"/>
        <v>26.0235849056604</v>
      </c>
    </row>
    <row r="4315" spans="2:7">
      <c r="B4315" s="46"/>
      <c r="C4315" t="str">
        <f t="shared" si="625"/>
        <v/>
      </c>
      <c r="D4315" s="63" t="str">
        <f t="shared" si="626"/>
        <v/>
      </c>
      <c r="E4315" t="str">
        <f t="shared" si="627"/>
        <v/>
      </c>
      <c r="F4315" t="str">
        <f t="shared" si="628"/>
        <v/>
      </c>
      <c r="G4315">
        <f t="shared" si="629"/>
        <v>26.8977987421384</v>
      </c>
    </row>
    <row r="4316" spans="2:7">
      <c r="B4316" s="46"/>
      <c r="C4316" t="str">
        <f t="shared" si="625"/>
        <v/>
      </c>
      <c r="D4316" s="63" t="str">
        <f t="shared" si="626"/>
        <v/>
      </c>
      <c r="E4316" t="str">
        <f t="shared" si="627"/>
        <v/>
      </c>
      <c r="F4316" t="str">
        <f t="shared" si="628"/>
        <v/>
      </c>
      <c r="G4316">
        <f t="shared" si="629"/>
        <v>27.8448637316562</v>
      </c>
    </row>
    <row r="4317" spans="2:7">
      <c r="B4317" s="46"/>
      <c r="C4317" t="str">
        <f t="shared" si="625"/>
        <v/>
      </c>
      <c r="D4317" s="63" t="str">
        <f t="shared" si="626"/>
        <v/>
      </c>
      <c r="E4317" t="str">
        <f t="shared" si="627"/>
        <v/>
      </c>
      <c r="F4317" t="str">
        <f t="shared" si="628"/>
        <v/>
      </c>
      <c r="G4317">
        <f t="shared" si="629"/>
        <v>29.229035639413</v>
      </c>
    </row>
    <row r="4318" spans="2:7">
      <c r="B4318" s="46"/>
      <c r="C4318" t="str">
        <f t="shared" si="625"/>
        <v/>
      </c>
      <c r="D4318" s="63" t="str">
        <f t="shared" si="626"/>
        <v/>
      </c>
      <c r="E4318">
        <f t="shared" si="627"/>
        <v>25.5460784313725</v>
      </c>
      <c r="F4318" t="str">
        <f t="shared" si="628"/>
        <v/>
      </c>
      <c r="G4318" t="str">
        <f t="shared" si="629"/>
        <v/>
      </c>
    </row>
    <row r="4319" spans="2:7">
      <c r="B4319" s="46"/>
      <c r="C4319" t="str">
        <f t="shared" si="625"/>
        <v/>
      </c>
      <c r="D4319" s="63" t="str">
        <f t="shared" si="626"/>
        <v/>
      </c>
      <c r="E4319">
        <f t="shared" si="627"/>
        <v>28.8676470588235</v>
      </c>
      <c r="F4319" t="str">
        <f t="shared" si="628"/>
        <v/>
      </c>
      <c r="G4319" t="str">
        <f t="shared" si="629"/>
        <v/>
      </c>
    </row>
    <row r="4320" spans="2:7">
      <c r="B4320" s="46"/>
      <c r="C4320">
        <f t="shared" si="625"/>
        <v>39.1041666666667</v>
      </c>
      <c r="D4320" s="63" t="str">
        <f t="shared" si="626"/>
        <v/>
      </c>
      <c r="E4320" t="str">
        <f t="shared" si="627"/>
        <v/>
      </c>
      <c r="F4320" t="str">
        <f t="shared" si="628"/>
        <v/>
      </c>
      <c r="G4320" t="str">
        <f t="shared" si="629"/>
        <v/>
      </c>
    </row>
    <row r="4321" spans="2:7">
      <c r="B4321" s="46"/>
      <c r="C4321" t="str">
        <f t="shared" si="625"/>
        <v/>
      </c>
      <c r="D4321" s="63" t="str">
        <f t="shared" si="626"/>
        <v/>
      </c>
      <c r="E4321">
        <f t="shared" si="627"/>
        <v>30.843137254902</v>
      </c>
      <c r="F4321" t="str">
        <f t="shared" si="628"/>
        <v/>
      </c>
      <c r="G4321" t="str">
        <f t="shared" si="629"/>
        <v/>
      </c>
    </row>
    <row r="4322" spans="2:7">
      <c r="B4322" s="46"/>
      <c r="C4322" t="str">
        <f t="shared" si="625"/>
        <v/>
      </c>
      <c r="D4322" s="63" t="str">
        <f t="shared" si="626"/>
        <v/>
      </c>
      <c r="E4322">
        <f t="shared" si="627"/>
        <v>32.2524509803922</v>
      </c>
      <c r="F4322" t="str">
        <f t="shared" si="628"/>
        <v/>
      </c>
      <c r="G4322" t="str">
        <f t="shared" si="629"/>
        <v/>
      </c>
    </row>
    <row r="4323" spans="2:7">
      <c r="B4323" s="46"/>
      <c r="C4323" t="str">
        <f t="shared" si="625"/>
        <v/>
      </c>
      <c r="D4323" s="63">
        <f t="shared" si="626"/>
        <v>30.1643192488263</v>
      </c>
      <c r="E4323" t="str">
        <f t="shared" si="627"/>
        <v/>
      </c>
      <c r="F4323" t="str">
        <f t="shared" si="628"/>
        <v/>
      </c>
      <c r="G4323" t="str">
        <f t="shared" si="629"/>
        <v/>
      </c>
    </row>
    <row r="4324" ht="15.75" spans="2:7">
      <c r="B4324" s="46"/>
      <c r="C4324" t="str">
        <f t="shared" si="625"/>
        <v/>
      </c>
      <c r="D4324" s="63">
        <f t="shared" si="626"/>
        <v>32.7840375586854</v>
      </c>
      <c r="E4324" t="str">
        <f t="shared" si="627"/>
        <v/>
      </c>
      <c r="F4324" t="str">
        <f t="shared" si="628"/>
        <v/>
      </c>
      <c r="G4324" t="str">
        <f t="shared" si="629"/>
        <v/>
      </c>
    </row>
    <row r="4325" ht="15.75" spans="2:7">
      <c r="B4325" s="74" t="s">
        <v>269</v>
      </c>
      <c r="C4325" s="53">
        <f>MAX(C4239:C4324)</f>
        <v>39.1041666666667</v>
      </c>
      <c r="D4325" s="53">
        <f t="shared" ref="D4325:G4325" si="630">MAX(D4239:D4324)</f>
        <v>32.7840375586854</v>
      </c>
      <c r="E4325" s="53">
        <f t="shared" si="630"/>
        <v>32.2524509803922</v>
      </c>
      <c r="F4325" s="53">
        <f t="shared" si="630"/>
        <v>30.8809523809524</v>
      </c>
      <c r="G4325" s="53">
        <f t="shared" si="630"/>
        <v>29.229035639413</v>
      </c>
    </row>
    <row r="4326" spans="2:7">
      <c r="B4326" s="76" t="s">
        <v>270</v>
      </c>
      <c r="C4326" s="77">
        <v>1</v>
      </c>
      <c r="D4326" s="78">
        <v>2</v>
      </c>
      <c r="E4326">
        <v>3</v>
      </c>
      <c r="F4326">
        <v>4</v>
      </c>
      <c r="G4326">
        <v>5</v>
      </c>
    </row>
    <row r="4327" spans="2:7">
      <c r="B4327" s="79" t="s">
        <v>271</v>
      </c>
      <c r="C4327" s="72">
        <f>HLOOKUP(MIN(C4325:G4325),C4325:G4326,2,FALSE)</f>
        <v>5</v>
      </c>
      <c r="D4327" s="80"/>
    </row>
    <row r="4329" ht="15.75" spans="2:7">
      <c r="B4329" s="43" t="s">
        <v>357</v>
      </c>
      <c r="C4329" s="44"/>
      <c r="D4329" s="45"/>
    </row>
    <row r="4330" spans="2:7">
      <c r="B4330" s="46"/>
      <c r="C4330" s="61" t="s">
        <v>264</v>
      </c>
      <c r="D4330" s="61" t="s">
        <v>265</v>
      </c>
      <c r="E4330" s="62" t="s">
        <v>286</v>
      </c>
      <c r="F4330" s="62" t="s">
        <v>287</v>
      </c>
      <c r="G4330" s="62" t="s">
        <v>288</v>
      </c>
    </row>
    <row r="4331" spans="2:7">
      <c r="B4331" s="46"/>
      <c r="C4331">
        <f t="shared" ref="C4331:C4394" si="631">IF(J8=1,S8,"")</f>
        <v>0.700231481481482</v>
      </c>
      <c r="D4331" s="63" t="str">
        <f t="shared" ref="D4331:D4394" si="632">IF(J8=2,S8,"")</f>
        <v/>
      </c>
      <c r="E4331" t="str">
        <f t="shared" ref="E4331:E4394" si="633">IF(J8=3,S8,"")</f>
        <v/>
      </c>
      <c r="F4331" t="str">
        <f t="shared" ref="F4331:F4394" si="634">IF(J8=4,S8,"")</f>
        <v/>
      </c>
      <c r="G4331" t="str">
        <f t="shared" ref="G4331:G4394" si="635">IF(J8=5,S8,"")</f>
        <v/>
      </c>
    </row>
    <row r="4332" spans="2:7">
      <c r="B4332" s="46"/>
      <c r="C4332" t="str">
        <f t="shared" si="631"/>
        <v/>
      </c>
      <c r="D4332" s="63">
        <f t="shared" si="632"/>
        <v>0.734154929577465</v>
      </c>
      <c r="E4332" t="str">
        <f t="shared" si="633"/>
        <v/>
      </c>
      <c r="F4332" t="str">
        <f t="shared" si="634"/>
        <v/>
      </c>
      <c r="G4332" t="str">
        <f t="shared" si="635"/>
        <v/>
      </c>
    </row>
    <row r="4333" spans="2:7">
      <c r="B4333" s="46"/>
      <c r="C4333" t="str">
        <f t="shared" si="631"/>
        <v/>
      </c>
      <c r="D4333" s="63" t="str">
        <f t="shared" si="632"/>
        <v/>
      </c>
      <c r="E4333">
        <f t="shared" si="633"/>
        <v>1.83823529411765</v>
      </c>
      <c r="F4333" t="str">
        <f t="shared" si="634"/>
        <v/>
      </c>
      <c r="G4333" t="str">
        <f t="shared" si="635"/>
        <v/>
      </c>
    </row>
    <row r="4334" spans="2:7">
      <c r="B4334" s="46"/>
      <c r="C4334" t="str">
        <f t="shared" si="631"/>
        <v/>
      </c>
      <c r="D4334" s="63" t="str">
        <f t="shared" si="632"/>
        <v/>
      </c>
      <c r="E4334" t="str">
        <f t="shared" si="633"/>
        <v/>
      </c>
      <c r="F4334">
        <f t="shared" si="634"/>
        <v>4.28571428571429</v>
      </c>
      <c r="G4334" t="str">
        <f t="shared" si="635"/>
        <v/>
      </c>
    </row>
    <row r="4335" spans="2:7">
      <c r="B4335" s="46"/>
      <c r="C4335" t="str">
        <f t="shared" si="631"/>
        <v/>
      </c>
      <c r="D4335" s="63" t="str">
        <f t="shared" si="632"/>
        <v/>
      </c>
      <c r="E4335" t="str">
        <f t="shared" si="633"/>
        <v/>
      </c>
      <c r="F4335" t="str">
        <f t="shared" si="634"/>
        <v/>
      </c>
      <c r="G4335">
        <f t="shared" si="635"/>
        <v>3.43396226415094</v>
      </c>
    </row>
    <row r="4336" spans="2:7">
      <c r="B4336" s="46"/>
      <c r="C4336" t="str">
        <f t="shared" si="631"/>
        <v/>
      </c>
      <c r="D4336" s="63" t="str">
        <f t="shared" si="632"/>
        <v/>
      </c>
      <c r="E4336">
        <f t="shared" si="633"/>
        <v>14.5833333333333</v>
      </c>
      <c r="F4336" t="str">
        <f t="shared" si="634"/>
        <v/>
      </c>
      <c r="G4336" t="str">
        <f t="shared" si="635"/>
        <v/>
      </c>
    </row>
    <row r="4337" spans="2:7">
      <c r="B4337" s="46"/>
      <c r="C4337" t="str">
        <f t="shared" si="631"/>
        <v/>
      </c>
      <c r="D4337" s="63" t="str">
        <f t="shared" si="632"/>
        <v/>
      </c>
      <c r="E4337" t="str">
        <f t="shared" si="633"/>
        <v/>
      </c>
      <c r="F4337">
        <f t="shared" si="634"/>
        <v>6.42857142857143</v>
      </c>
      <c r="G4337" t="str">
        <f t="shared" si="635"/>
        <v/>
      </c>
    </row>
    <row r="4338" spans="2:7">
      <c r="B4338" s="46"/>
      <c r="C4338" t="str">
        <f t="shared" si="631"/>
        <v/>
      </c>
      <c r="D4338" s="63" t="str">
        <f t="shared" si="632"/>
        <v/>
      </c>
      <c r="E4338" t="str">
        <f t="shared" si="633"/>
        <v/>
      </c>
      <c r="F4338" t="str">
        <f t="shared" si="634"/>
        <v/>
      </c>
      <c r="G4338">
        <f t="shared" si="635"/>
        <v>3.84591194968553</v>
      </c>
    </row>
    <row r="4339" spans="2:7">
      <c r="B4339" s="46"/>
      <c r="C4339">
        <f t="shared" si="631"/>
        <v>0.844907407407407</v>
      </c>
      <c r="D4339" s="63" t="str">
        <f t="shared" si="632"/>
        <v/>
      </c>
      <c r="E4339" t="str">
        <f t="shared" si="633"/>
        <v/>
      </c>
      <c r="F4339" t="str">
        <f t="shared" si="634"/>
        <v/>
      </c>
      <c r="G4339" t="str">
        <f t="shared" si="635"/>
        <v/>
      </c>
    </row>
    <row r="4340" spans="2:7">
      <c r="B4340" s="46"/>
      <c r="C4340">
        <f t="shared" si="631"/>
        <v>6.79803240740741</v>
      </c>
      <c r="D4340" s="63" t="str">
        <f t="shared" si="632"/>
        <v/>
      </c>
      <c r="E4340" t="str">
        <f t="shared" si="633"/>
        <v/>
      </c>
      <c r="F4340" t="str">
        <f t="shared" si="634"/>
        <v/>
      </c>
      <c r="G4340" t="str">
        <f t="shared" si="635"/>
        <v/>
      </c>
    </row>
    <row r="4341" spans="2:7">
      <c r="B4341" s="46"/>
      <c r="C4341">
        <f t="shared" si="631"/>
        <v>6.79803240740741</v>
      </c>
      <c r="D4341" s="63" t="str">
        <f t="shared" si="632"/>
        <v/>
      </c>
      <c r="E4341" t="str">
        <f t="shared" si="633"/>
        <v/>
      </c>
      <c r="F4341" t="str">
        <f t="shared" si="634"/>
        <v/>
      </c>
      <c r="G4341" t="str">
        <f t="shared" si="635"/>
        <v/>
      </c>
    </row>
    <row r="4342" spans="2:7">
      <c r="B4342" s="46"/>
      <c r="C4342">
        <f t="shared" si="631"/>
        <v>7.52719907407408</v>
      </c>
      <c r="D4342" s="63" t="str">
        <f t="shared" si="632"/>
        <v/>
      </c>
      <c r="E4342" t="str">
        <f t="shared" si="633"/>
        <v/>
      </c>
      <c r="F4342" t="str">
        <f t="shared" si="634"/>
        <v/>
      </c>
      <c r="G4342" t="str">
        <f t="shared" si="635"/>
        <v/>
      </c>
    </row>
    <row r="4343" spans="2:7">
      <c r="B4343" s="46"/>
      <c r="C4343" t="str">
        <f t="shared" si="631"/>
        <v/>
      </c>
      <c r="D4343" s="63">
        <f t="shared" si="632"/>
        <v>2.7881455399061</v>
      </c>
      <c r="E4343" t="str">
        <f t="shared" si="633"/>
        <v/>
      </c>
      <c r="F4343" t="str">
        <f t="shared" si="634"/>
        <v/>
      </c>
      <c r="G4343" t="str">
        <f t="shared" si="635"/>
        <v/>
      </c>
    </row>
    <row r="4344" spans="2:7">
      <c r="B4344" s="46"/>
      <c r="C4344" t="str">
        <f t="shared" si="631"/>
        <v/>
      </c>
      <c r="D4344" s="63">
        <f t="shared" si="632"/>
        <v>4.47535211267606</v>
      </c>
      <c r="E4344" t="str">
        <f t="shared" si="633"/>
        <v/>
      </c>
      <c r="F4344" t="str">
        <f t="shared" si="634"/>
        <v/>
      </c>
      <c r="G4344" t="str">
        <f t="shared" si="635"/>
        <v/>
      </c>
    </row>
    <row r="4345" spans="2:7">
      <c r="B4345" s="46"/>
      <c r="C4345" t="str">
        <f t="shared" si="631"/>
        <v/>
      </c>
      <c r="D4345" s="63">
        <f t="shared" si="632"/>
        <v>6.10680751173709</v>
      </c>
      <c r="E4345" t="str">
        <f t="shared" si="633"/>
        <v/>
      </c>
      <c r="F4345" t="str">
        <f t="shared" si="634"/>
        <v/>
      </c>
      <c r="G4345" t="str">
        <f t="shared" si="635"/>
        <v/>
      </c>
    </row>
    <row r="4346" spans="2:7">
      <c r="B4346" s="46"/>
      <c r="C4346" t="str">
        <f t="shared" si="631"/>
        <v/>
      </c>
      <c r="D4346" s="63">
        <f t="shared" si="632"/>
        <v>8.50821596244131</v>
      </c>
      <c r="E4346" t="str">
        <f t="shared" si="633"/>
        <v/>
      </c>
      <c r="F4346" t="str">
        <f t="shared" si="634"/>
        <v/>
      </c>
      <c r="G4346" t="str">
        <f t="shared" si="635"/>
        <v/>
      </c>
    </row>
    <row r="4347" spans="2:7">
      <c r="B4347" s="46"/>
      <c r="C4347" t="str">
        <f t="shared" si="631"/>
        <v/>
      </c>
      <c r="D4347" s="63">
        <f t="shared" si="632"/>
        <v>10.268779342723</v>
      </c>
      <c r="E4347" t="str">
        <f t="shared" si="633"/>
        <v/>
      </c>
      <c r="F4347" t="str">
        <f t="shared" si="634"/>
        <v/>
      </c>
      <c r="G4347" t="str">
        <f t="shared" si="635"/>
        <v/>
      </c>
    </row>
    <row r="4348" spans="2:7">
      <c r="B4348" s="46"/>
      <c r="C4348" t="str">
        <f t="shared" si="631"/>
        <v/>
      </c>
      <c r="D4348" s="63" t="str">
        <f t="shared" si="632"/>
        <v/>
      </c>
      <c r="E4348" t="str">
        <f t="shared" si="633"/>
        <v/>
      </c>
      <c r="F4348" t="str">
        <f t="shared" si="634"/>
        <v/>
      </c>
      <c r="G4348">
        <f t="shared" si="635"/>
        <v>7.67610062893082</v>
      </c>
    </row>
    <row r="4349" spans="2:7">
      <c r="B4349" s="46"/>
      <c r="C4349" t="str">
        <f t="shared" si="631"/>
        <v/>
      </c>
      <c r="D4349" s="63" t="str">
        <f t="shared" si="632"/>
        <v/>
      </c>
      <c r="E4349" t="str">
        <f t="shared" si="633"/>
        <v/>
      </c>
      <c r="F4349" t="str">
        <f t="shared" si="634"/>
        <v/>
      </c>
      <c r="G4349">
        <f t="shared" si="635"/>
        <v>10.3836477987421</v>
      </c>
    </row>
    <row r="4350" spans="2:7">
      <c r="B4350" s="46"/>
      <c r="C4350" t="str">
        <f t="shared" si="631"/>
        <v/>
      </c>
      <c r="D4350" s="63" t="str">
        <f t="shared" si="632"/>
        <v/>
      </c>
      <c r="E4350" t="str">
        <f t="shared" si="633"/>
        <v/>
      </c>
      <c r="F4350" t="str">
        <f t="shared" si="634"/>
        <v/>
      </c>
      <c r="G4350">
        <f t="shared" si="635"/>
        <v>13.2138364779874</v>
      </c>
    </row>
    <row r="4351" spans="2:7">
      <c r="B4351" s="46"/>
      <c r="C4351" t="str">
        <f t="shared" si="631"/>
        <v/>
      </c>
      <c r="D4351" s="63" t="str">
        <f t="shared" si="632"/>
        <v/>
      </c>
      <c r="E4351" t="str">
        <f t="shared" si="633"/>
        <v/>
      </c>
      <c r="F4351" t="str">
        <f t="shared" si="634"/>
        <v/>
      </c>
      <c r="G4351">
        <f t="shared" si="635"/>
        <v>14.7243186582809</v>
      </c>
    </row>
    <row r="4352" spans="2:7">
      <c r="B4352" s="46"/>
      <c r="C4352" t="str">
        <f t="shared" si="631"/>
        <v/>
      </c>
      <c r="D4352" s="63" t="str">
        <f t="shared" si="632"/>
        <v/>
      </c>
      <c r="E4352" t="str">
        <f t="shared" si="633"/>
        <v/>
      </c>
      <c r="F4352">
        <f t="shared" si="634"/>
        <v>9.17630385487529</v>
      </c>
      <c r="G4352" t="str">
        <f t="shared" si="635"/>
        <v/>
      </c>
    </row>
    <row r="4353" spans="2:7">
      <c r="B4353" s="46"/>
      <c r="C4353" t="str">
        <f t="shared" si="631"/>
        <v/>
      </c>
      <c r="D4353" s="63" t="str">
        <f t="shared" si="632"/>
        <v/>
      </c>
      <c r="E4353" t="str">
        <f t="shared" si="633"/>
        <v/>
      </c>
      <c r="F4353">
        <f t="shared" si="634"/>
        <v>12.328231292517</v>
      </c>
      <c r="G4353" t="str">
        <f t="shared" si="635"/>
        <v/>
      </c>
    </row>
    <row r="4354" spans="2:7">
      <c r="B4354" s="46"/>
      <c r="C4354" t="str">
        <f t="shared" si="631"/>
        <v/>
      </c>
      <c r="D4354" s="63" t="str">
        <f t="shared" si="632"/>
        <v/>
      </c>
      <c r="E4354" t="str">
        <f t="shared" si="633"/>
        <v/>
      </c>
      <c r="F4354">
        <f t="shared" si="634"/>
        <v>15.0017006802721</v>
      </c>
      <c r="G4354" t="str">
        <f t="shared" si="635"/>
        <v/>
      </c>
    </row>
    <row r="4355" spans="2:7">
      <c r="B4355" s="46"/>
      <c r="C4355">
        <f t="shared" si="631"/>
        <v>10.328125</v>
      </c>
      <c r="D4355" s="63" t="str">
        <f t="shared" si="632"/>
        <v/>
      </c>
      <c r="E4355" t="str">
        <f t="shared" si="633"/>
        <v/>
      </c>
      <c r="F4355" t="str">
        <f t="shared" si="634"/>
        <v/>
      </c>
      <c r="G4355" t="str">
        <f t="shared" si="635"/>
        <v/>
      </c>
    </row>
    <row r="4356" spans="2:7">
      <c r="B4356" s="46"/>
      <c r="C4356">
        <f t="shared" si="631"/>
        <v>14.5908564814815</v>
      </c>
      <c r="D4356" s="63" t="str">
        <f t="shared" si="632"/>
        <v/>
      </c>
      <c r="E4356" t="str">
        <f t="shared" si="633"/>
        <v/>
      </c>
      <c r="F4356" t="str">
        <f t="shared" si="634"/>
        <v/>
      </c>
      <c r="G4356" t="str">
        <f t="shared" si="635"/>
        <v/>
      </c>
    </row>
    <row r="4357" spans="2:7">
      <c r="B4357" s="46"/>
      <c r="C4357">
        <f t="shared" si="631"/>
        <v>14.9409722222222</v>
      </c>
      <c r="D4357" s="63" t="str">
        <f t="shared" si="632"/>
        <v/>
      </c>
      <c r="E4357" t="str">
        <f t="shared" si="633"/>
        <v/>
      </c>
      <c r="F4357" t="str">
        <f t="shared" si="634"/>
        <v/>
      </c>
      <c r="G4357" t="str">
        <f t="shared" si="635"/>
        <v/>
      </c>
    </row>
    <row r="4358" spans="2:7">
      <c r="B4358" s="46"/>
      <c r="C4358">
        <f t="shared" si="631"/>
        <v>19.2465277777778</v>
      </c>
      <c r="D4358" s="63" t="str">
        <f t="shared" si="632"/>
        <v/>
      </c>
      <c r="E4358" t="str">
        <f t="shared" si="633"/>
        <v/>
      </c>
      <c r="F4358" t="str">
        <f t="shared" si="634"/>
        <v/>
      </c>
      <c r="G4358" t="str">
        <f t="shared" si="635"/>
        <v/>
      </c>
    </row>
    <row r="4359" spans="2:7">
      <c r="B4359" s="46"/>
      <c r="C4359" t="str">
        <f t="shared" si="631"/>
        <v/>
      </c>
      <c r="D4359" s="63">
        <f t="shared" si="632"/>
        <v>15.0340375586854</v>
      </c>
      <c r="E4359" t="str">
        <f t="shared" si="633"/>
        <v/>
      </c>
      <c r="F4359" t="str">
        <f t="shared" si="634"/>
        <v/>
      </c>
      <c r="G4359" t="str">
        <f t="shared" si="635"/>
        <v/>
      </c>
    </row>
    <row r="4360" spans="2:7">
      <c r="B4360" s="46"/>
      <c r="C4360" t="str">
        <f t="shared" si="631"/>
        <v/>
      </c>
      <c r="D4360" s="63">
        <f t="shared" si="632"/>
        <v>15.0340375586854</v>
      </c>
      <c r="E4360" t="str">
        <f t="shared" si="633"/>
        <v/>
      </c>
      <c r="F4360" t="str">
        <f t="shared" si="634"/>
        <v/>
      </c>
      <c r="G4360" t="str">
        <f t="shared" si="635"/>
        <v/>
      </c>
    </row>
    <row r="4361" spans="2:7">
      <c r="B4361" s="46"/>
      <c r="C4361" t="str">
        <f t="shared" si="631"/>
        <v/>
      </c>
      <c r="D4361" s="63">
        <f t="shared" si="632"/>
        <v>16.1343896713615</v>
      </c>
      <c r="E4361" t="str">
        <f t="shared" si="633"/>
        <v/>
      </c>
      <c r="F4361" t="str">
        <f t="shared" si="634"/>
        <v/>
      </c>
      <c r="G4361" t="str">
        <f t="shared" si="635"/>
        <v/>
      </c>
    </row>
    <row r="4362" spans="2:7">
      <c r="B4362" s="46"/>
      <c r="C4362" t="str">
        <f t="shared" si="631"/>
        <v/>
      </c>
      <c r="D4362" s="63">
        <f t="shared" si="632"/>
        <v>16.8620892018779</v>
      </c>
      <c r="E4362" t="str">
        <f t="shared" si="633"/>
        <v/>
      </c>
      <c r="F4362" t="str">
        <f t="shared" si="634"/>
        <v/>
      </c>
      <c r="G4362" t="str">
        <f t="shared" si="635"/>
        <v/>
      </c>
    </row>
    <row r="4363" spans="2:7">
      <c r="B4363" s="46"/>
      <c r="C4363" t="str">
        <f t="shared" si="631"/>
        <v/>
      </c>
      <c r="D4363" s="63" t="str">
        <f t="shared" si="632"/>
        <v/>
      </c>
      <c r="E4363">
        <f t="shared" si="633"/>
        <v>16.1245098039216</v>
      </c>
      <c r="F4363" t="str">
        <f t="shared" si="634"/>
        <v/>
      </c>
      <c r="G4363" t="str">
        <f t="shared" si="635"/>
        <v/>
      </c>
    </row>
    <row r="4364" spans="2:7">
      <c r="B4364" s="46"/>
      <c r="C4364" t="str">
        <f t="shared" si="631"/>
        <v/>
      </c>
      <c r="D4364" s="63" t="str">
        <f t="shared" si="632"/>
        <v/>
      </c>
      <c r="E4364">
        <f t="shared" si="633"/>
        <v>17.9225490196078</v>
      </c>
      <c r="F4364" t="str">
        <f t="shared" si="634"/>
        <v/>
      </c>
      <c r="G4364" t="str">
        <f t="shared" si="635"/>
        <v/>
      </c>
    </row>
    <row r="4365" spans="2:7">
      <c r="B4365" s="46"/>
      <c r="C4365" t="str">
        <f t="shared" si="631"/>
        <v/>
      </c>
      <c r="D4365" s="63" t="str">
        <f t="shared" si="632"/>
        <v/>
      </c>
      <c r="E4365">
        <f t="shared" si="633"/>
        <v>18.7166666666667</v>
      </c>
      <c r="F4365" t="str">
        <f t="shared" si="634"/>
        <v/>
      </c>
      <c r="G4365" t="str">
        <f t="shared" si="635"/>
        <v/>
      </c>
    </row>
    <row r="4366" spans="2:7">
      <c r="B4366" s="46"/>
      <c r="C4366" t="str">
        <f t="shared" si="631"/>
        <v/>
      </c>
      <c r="D4366" s="63" t="str">
        <f t="shared" si="632"/>
        <v/>
      </c>
      <c r="E4366">
        <f t="shared" si="633"/>
        <v>18.9539215686275</v>
      </c>
      <c r="F4366" t="str">
        <f t="shared" si="634"/>
        <v/>
      </c>
      <c r="G4366" t="str">
        <f t="shared" si="635"/>
        <v/>
      </c>
    </row>
    <row r="4367" spans="2:7">
      <c r="B4367" s="46"/>
      <c r="C4367" t="str">
        <f t="shared" si="631"/>
        <v/>
      </c>
      <c r="D4367" s="63" t="str">
        <f t="shared" si="632"/>
        <v/>
      </c>
      <c r="E4367" t="str">
        <f t="shared" si="633"/>
        <v/>
      </c>
      <c r="F4367" t="str">
        <f t="shared" si="634"/>
        <v/>
      </c>
      <c r="G4367">
        <f t="shared" si="635"/>
        <v>15.4449685534591</v>
      </c>
    </row>
    <row r="4368" spans="2:7">
      <c r="B4368" s="46"/>
      <c r="C4368" t="str">
        <f t="shared" si="631"/>
        <v/>
      </c>
      <c r="D4368" s="63" t="str">
        <f t="shared" si="632"/>
        <v/>
      </c>
      <c r="E4368" t="str">
        <f t="shared" si="633"/>
        <v/>
      </c>
      <c r="F4368" t="str">
        <f t="shared" si="634"/>
        <v/>
      </c>
      <c r="G4368">
        <f t="shared" si="635"/>
        <v>16.4669811320755</v>
      </c>
    </row>
    <row r="4369" spans="2:7">
      <c r="B4369" s="46"/>
      <c r="C4369" t="str">
        <f t="shared" si="631"/>
        <v/>
      </c>
      <c r="D4369" s="63" t="str">
        <f t="shared" si="632"/>
        <v/>
      </c>
      <c r="E4369" t="str">
        <f t="shared" si="633"/>
        <v/>
      </c>
      <c r="F4369" t="str">
        <f t="shared" si="634"/>
        <v/>
      </c>
      <c r="G4369">
        <f t="shared" si="635"/>
        <v>17.7877358490566</v>
      </c>
    </row>
    <row r="4370" spans="2:7">
      <c r="B4370" s="46"/>
      <c r="C4370" t="str">
        <f t="shared" si="631"/>
        <v/>
      </c>
      <c r="D4370" s="63" t="str">
        <f t="shared" si="632"/>
        <v/>
      </c>
      <c r="E4370" t="str">
        <f t="shared" si="633"/>
        <v/>
      </c>
      <c r="F4370" t="str">
        <f t="shared" si="634"/>
        <v/>
      </c>
      <c r="G4370">
        <f t="shared" si="635"/>
        <v>18.377358490566</v>
      </c>
    </row>
    <row r="4371" spans="2:7">
      <c r="B4371" s="46"/>
      <c r="C4371" t="str">
        <f t="shared" si="631"/>
        <v/>
      </c>
      <c r="D4371" s="63" t="str">
        <f t="shared" si="632"/>
        <v/>
      </c>
      <c r="E4371" t="str">
        <f t="shared" si="633"/>
        <v/>
      </c>
      <c r="F4371">
        <f t="shared" si="634"/>
        <v>15.4234693877551</v>
      </c>
      <c r="G4371" t="str">
        <f t="shared" si="635"/>
        <v/>
      </c>
    </row>
    <row r="4372" spans="2:7">
      <c r="B4372" s="46"/>
      <c r="C4372" t="str">
        <f t="shared" si="631"/>
        <v/>
      </c>
      <c r="D4372" s="63" t="str">
        <f t="shared" si="632"/>
        <v/>
      </c>
      <c r="E4372" t="str">
        <f t="shared" si="633"/>
        <v/>
      </c>
      <c r="F4372">
        <f t="shared" si="634"/>
        <v>16.7698412698413</v>
      </c>
      <c r="G4372" t="str">
        <f t="shared" si="635"/>
        <v/>
      </c>
    </row>
    <row r="4373" spans="2:7">
      <c r="B4373" s="46"/>
      <c r="C4373" t="str">
        <f t="shared" si="631"/>
        <v/>
      </c>
      <c r="D4373" s="63" t="str">
        <f t="shared" si="632"/>
        <v/>
      </c>
      <c r="E4373" t="str">
        <f t="shared" si="633"/>
        <v/>
      </c>
      <c r="F4373">
        <f t="shared" si="634"/>
        <v>18.109410430839</v>
      </c>
      <c r="G4373" t="str">
        <f t="shared" si="635"/>
        <v/>
      </c>
    </row>
    <row r="4374" spans="2:7">
      <c r="B4374" s="46"/>
      <c r="C4374" t="str">
        <f t="shared" si="631"/>
        <v/>
      </c>
      <c r="D4374" s="63" t="str">
        <f t="shared" si="632"/>
        <v/>
      </c>
      <c r="E4374" t="str">
        <f t="shared" si="633"/>
        <v/>
      </c>
      <c r="F4374">
        <f t="shared" si="634"/>
        <v>20.1581632653061</v>
      </c>
      <c r="G4374" t="str">
        <f t="shared" si="635"/>
        <v/>
      </c>
    </row>
    <row r="4375" spans="2:7">
      <c r="B4375" s="46"/>
      <c r="C4375" t="str">
        <f t="shared" si="631"/>
        <v/>
      </c>
      <c r="D4375" s="63" t="str">
        <f t="shared" si="632"/>
        <v/>
      </c>
      <c r="E4375" t="str">
        <f t="shared" si="633"/>
        <v/>
      </c>
      <c r="F4375">
        <f t="shared" si="634"/>
        <v>22.1581632653061</v>
      </c>
      <c r="G4375" t="str">
        <f t="shared" si="635"/>
        <v/>
      </c>
    </row>
    <row r="4376" spans="2:7">
      <c r="B4376" s="46"/>
      <c r="C4376" t="str">
        <f t="shared" si="631"/>
        <v/>
      </c>
      <c r="D4376" s="63" t="str">
        <f t="shared" si="632"/>
        <v/>
      </c>
      <c r="E4376" t="str">
        <f t="shared" si="633"/>
        <v/>
      </c>
      <c r="F4376">
        <f t="shared" si="634"/>
        <v>22.8781179138322</v>
      </c>
      <c r="G4376" t="str">
        <f t="shared" si="635"/>
        <v/>
      </c>
    </row>
    <row r="4377" spans="2:7">
      <c r="B4377" s="46"/>
      <c r="C4377" t="str">
        <f t="shared" si="631"/>
        <v/>
      </c>
      <c r="D4377" s="63">
        <f t="shared" si="632"/>
        <v>17.3022300469484</v>
      </c>
      <c r="E4377" t="str">
        <f t="shared" si="633"/>
        <v/>
      </c>
      <c r="F4377" t="str">
        <f t="shared" si="634"/>
        <v/>
      </c>
      <c r="G4377" t="str">
        <f t="shared" si="635"/>
        <v/>
      </c>
    </row>
    <row r="4378" spans="2:7">
      <c r="B4378" s="46"/>
      <c r="C4378" t="str">
        <f t="shared" si="631"/>
        <v/>
      </c>
      <c r="D4378" s="63">
        <f t="shared" si="632"/>
        <v>22.837441314554</v>
      </c>
      <c r="E4378" t="str">
        <f t="shared" si="633"/>
        <v/>
      </c>
      <c r="F4378" t="str">
        <f t="shared" si="634"/>
        <v/>
      </c>
      <c r="G4378" t="str">
        <f t="shared" si="635"/>
        <v/>
      </c>
    </row>
    <row r="4379" spans="2:7">
      <c r="B4379" s="46"/>
      <c r="C4379" t="str">
        <f t="shared" si="631"/>
        <v/>
      </c>
      <c r="D4379" s="63">
        <f t="shared" si="632"/>
        <v>23.7089201877934</v>
      </c>
      <c r="E4379" t="str">
        <f t="shared" si="633"/>
        <v/>
      </c>
      <c r="F4379" t="str">
        <f t="shared" si="634"/>
        <v/>
      </c>
      <c r="G4379" t="str">
        <f t="shared" si="635"/>
        <v/>
      </c>
    </row>
    <row r="4380" spans="2:7">
      <c r="B4380" s="46"/>
      <c r="C4380" t="str">
        <f t="shared" si="631"/>
        <v/>
      </c>
      <c r="D4380" s="63">
        <f t="shared" si="632"/>
        <v>24.3427230046948</v>
      </c>
      <c r="E4380" t="str">
        <f t="shared" si="633"/>
        <v/>
      </c>
      <c r="F4380" t="str">
        <f t="shared" si="634"/>
        <v/>
      </c>
      <c r="G4380" t="str">
        <f t="shared" si="635"/>
        <v/>
      </c>
    </row>
    <row r="4381" spans="2:7">
      <c r="B4381" s="46"/>
      <c r="C4381" t="str">
        <f t="shared" si="631"/>
        <v/>
      </c>
      <c r="D4381" s="63">
        <f t="shared" si="632"/>
        <v>27.5704225352113</v>
      </c>
      <c r="E4381" t="str">
        <f t="shared" si="633"/>
        <v/>
      </c>
      <c r="F4381" t="str">
        <f t="shared" si="634"/>
        <v/>
      </c>
      <c r="G4381" t="str">
        <f t="shared" si="635"/>
        <v/>
      </c>
    </row>
    <row r="4382" spans="2:7">
      <c r="B4382" s="46"/>
      <c r="C4382" t="str">
        <f t="shared" si="631"/>
        <v/>
      </c>
      <c r="D4382" s="63" t="str">
        <f t="shared" si="632"/>
        <v/>
      </c>
      <c r="E4382" t="str">
        <f t="shared" si="633"/>
        <v/>
      </c>
      <c r="F4382" t="str">
        <f t="shared" si="634"/>
        <v/>
      </c>
      <c r="G4382">
        <f t="shared" si="635"/>
        <v>19.1949685534591</v>
      </c>
    </row>
    <row r="4383" spans="2:7">
      <c r="B4383" s="46"/>
      <c r="C4383" t="str">
        <f t="shared" si="631"/>
        <v/>
      </c>
      <c r="D4383" s="63" t="str">
        <f t="shared" si="632"/>
        <v/>
      </c>
      <c r="E4383" t="str">
        <f t="shared" si="633"/>
        <v/>
      </c>
      <c r="F4383" t="str">
        <f t="shared" si="634"/>
        <v/>
      </c>
      <c r="G4383">
        <f t="shared" si="635"/>
        <v>21.9606918238994</v>
      </c>
    </row>
    <row r="4384" spans="2:7">
      <c r="B4384" s="46"/>
      <c r="C4384" t="str">
        <f t="shared" si="631"/>
        <v/>
      </c>
      <c r="D4384" s="63" t="str">
        <f t="shared" si="632"/>
        <v/>
      </c>
      <c r="E4384" t="str">
        <f t="shared" si="633"/>
        <v/>
      </c>
      <c r="F4384" t="str">
        <f t="shared" si="634"/>
        <v/>
      </c>
      <c r="G4384">
        <f t="shared" si="635"/>
        <v>21.9606918238994</v>
      </c>
    </row>
    <row r="4385" spans="2:7">
      <c r="B4385" s="46"/>
      <c r="C4385" t="str">
        <f t="shared" si="631"/>
        <v/>
      </c>
      <c r="D4385" s="63" t="str">
        <f t="shared" si="632"/>
        <v/>
      </c>
      <c r="E4385" t="str">
        <f t="shared" si="633"/>
        <v/>
      </c>
      <c r="F4385" t="str">
        <f t="shared" si="634"/>
        <v/>
      </c>
      <c r="G4385">
        <f t="shared" si="635"/>
        <v>25.2222222222222</v>
      </c>
    </row>
    <row r="4386" spans="2:7">
      <c r="B4386" s="46"/>
      <c r="C4386" t="str">
        <f t="shared" si="631"/>
        <v/>
      </c>
      <c r="D4386" s="63" t="str">
        <f t="shared" si="632"/>
        <v/>
      </c>
      <c r="E4386">
        <f t="shared" si="633"/>
        <v>22.268137254902</v>
      </c>
      <c r="F4386" t="str">
        <f t="shared" si="634"/>
        <v/>
      </c>
      <c r="G4386" t="str">
        <f t="shared" si="635"/>
        <v/>
      </c>
    </row>
    <row r="4387" spans="2:7">
      <c r="B4387" s="46"/>
      <c r="C4387" t="str">
        <f t="shared" si="631"/>
        <v/>
      </c>
      <c r="D4387" s="63" t="str">
        <f t="shared" si="632"/>
        <v/>
      </c>
      <c r="E4387">
        <f t="shared" si="633"/>
        <v>22.268137254902</v>
      </c>
      <c r="F4387" t="str">
        <f t="shared" si="634"/>
        <v/>
      </c>
      <c r="G4387" t="str">
        <f t="shared" si="635"/>
        <v/>
      </c>
    </row>
    <row r="4388" spans="2:7">
      <c r="B4388" s="46"/>
      <c r="C4388" t="str">
        <f t="shared" si="631"/>
        <v/>
      </c>
      <c r="D4388" s="63" t="str">
        <f t="shared" si="632"/>
        <v/>
      </c>
      <c r="E4388">
        <f t="shared" si="633"/>
        <v>24.6995098039216</v>
      </c>
      <c r="F4388" t="str">
        <f t="shared" si="634"/>
        <v/>
      </c>
      <c r="G4388" t="str">
        <f t="shared" si="635"/>
        <v/>
      </c>
    </row>
    <row r="4389" spans="2:7">
      <c r="B4389" s="46"/>
      <c r="C4389" t="str">
        <f t="shared" si="631"/>
        <v/>
      </c>
      <c r="D4389" s="63" t="str">
        <f t="shared" si="632"/>
        <v/>
      </c>
      <c r="E4389">
        <f t="shared" si="633"/>
        <v>25.3416666666667</v>
      </c>
      <c r="F4389" t="str">
        <f t="shared" si="634"/>
        <v/>
      </c>
      <c r="G4389" t="str">
        <f t="shared" si="635"/>
        <v/>
      </c>
    </row>
    <row r="4390" spans="2:7">
      <c r="B4390" s="46"/>
      <c r="C4390">
        <f t="shared" si="631"/>
        <v>19.5358796296296</v>
      </c>
      <c r="D4390" s="63" t="str">
        <f t="shared" si="632"/>
        <v/>
      </c>
      <c r="E4390" t="str">
        <f t="shared" si="633"/>
        <v/>
      </c>
      <c r="F4390" t="str">
        <f t="shared" si="634"/>
        <v/>
      </c>
      <c r="G4390" t="str">
        <f t="shared" si="635"/>
        <v/>
      </c>
    </row>
    <row r="4391" spans="2:7">
      <c r="B4391" s="46"/>
      <c r="C4391">
        <f t="shared" si="631"/>
        <v>20.1608796296296</v>
      </c>
      <c r="D4391" s="63" t="str">
        <f t="shared" si="632"/>
        <v/>
      </c>
      <c r="E4391" t="str">
        <f t="shared" si="633"/>
        <v/>
      </c>
      <c r="F4391" t="str">
        <f t="shared" si="634"/>
        <v/>
      </c>
      <c r="G4391" t="str">
        <f t="shared" si="635"/>
        <v/>
      </c>
    </row>
    <row r="4392" spans="2:7">
      <c r="B4392" s="46"/>
      <c r="C4392">
        <f t="shared" si="631"/>
        <v>21.7233796296296</v>
      </c>
      <c r="D4392" s="63" t="str">
        <f t="shared" si="632"/>
        <v/>
      </c>
      <c r="E4392" t="str">
        <f t="shared" si="633"/>
        <v/>
      </c>
      <c r="F4392" t="str">
        <f t="shared" si="634"/>
        <v/>
      </c>
      <c r="G4392" t="str">
        <f t="shared" si="635"/>
        <v/>
      </c>
    </row>
    <row r="4393" spans="2:7">
      <c r="B4393" s="46"/>
      <c r="C4393">
        <f t="shared" si="631"/>
        <v>22.7054398148148</v>
      </c>
      <c r="D4393" s="63" t="str">
        <f t="shared" si="632"/>
        <v/>
      </c>
      <c r="E4393" t="str">
        <f t="shared" si="633"/>
        <v/>
      </c>
      <c r="F4393" t="str">
        <f t="shared" si="634"/>
        <v/>
      </c>
      <c r="G4393" t="str">
        <f t="shared" si="635"/>
        <v/>
      </c>
    </row>
    <row r="4394" spans="2:7">
      <c r="B4394" s="46"/>
      <c r="C4394">
        <f t="shared" si="631"/>
        <v>22.7054398148148</v>
      </c>
      <c r="D4394" s="63" t="str">
        <f t="shared" si="632"/>
        <v/>
      </c>
      <c r="E4394" t="str">
        <f t="shared" si="633"/>
        <v/>
      </c>
      <c r="F4394" t="str">
        <f t="shared" si="634"/>
        <v/>
      </c>
      <c r="G4394" t="str">
        <f t="shared" si="635"/>
        <v/>
      </c>
    </row>
    <row r="4395" spans="2:7">
      <c r="B4395" s="46"/>
      <c r="C4395">
        <f t="shared" ref="C4395:C4417" si="636">IF(J72=1,S72,"")</f>
        <v>22.8512731481482</v>
      </c>
      <c r="D4395" s="63" t="str">
        <f t="shared" ref="D4395:D4417" si="637">IF(J72=2,S72,"")</f>
        <v/>
      </c>
      <c r="E4395" t="str">
        <f t="shared" ref="E4395:E4417" si="638">IF(J72=3,S72,"")</f>
        <v/>
      </c>
      <c r="F4395" t="str">
        <f t="shared" ref="F4395:F4417" si="639">IF(J72=4,S72,"")</f>
        <v/>
      </c>
      <c r="G4395" t="str">
        <f t="shared" ref="G4395:G4417" si="640">IF(J72=5,S72,"")</f>
        <v/>
      </c>
    </row>
    <row r="4396" spans="2:7">
      <c r="B4396" s="46"/>
      <c r="C4396">
        <f t="shared" si="636"/>
        <v>34.4068287037037</v>
      </c>
      <c r="D4396" s="63" t="str">
        <f t="shared" si="637"/>
        <v/>
      </c>
      <c r="E4396" t="str">
        <f t="shared" si="638"/>
        <v/>
      </c>
      <c r="F4396" t="str">
        <f t="shared" si="639"/>
        <v/>
      </c>
      <c r="G4396" t="str">
        <f t="shared" si="640"/>
        <v/>
      </c>
    </row>
    <row r="4397" spans="2:7">
      <c r="B4397" s="46"/>
      <c r="C4397">
        <f t="shared" si="636"/>
        <v>34.4068287037037</v>
      </c>
      <c r="D4397" s="63" t="str">
        <f t="shared" si="637"/>
        <v/>
      </c>
      <c r="E4397" t="str">
        <f t="shared" si="638"/>
        <v/>
      </c>
      <c r="F4397" t="str">
        <f t="shared" si="639"/>
        <v/>
      </c>
      <c r="G4397" t="str">
        <f t="shared" si="640"/>
        <v/>
      </c>
    </row>
    <row r="4398" spans="2:7">
      <c r="B4398" s="46"/>
      <c r="C4398">
        <f t="shared" si="636"/>
        <v>35.5827546296296</v>
      </c>
      <c r="D4398" s="63" t="str">
        <f t="shared" si="637"/>
        <v/>
      </c>
      <c r="E4398" t="str">
        <f t="shared" si="638"/>
        <v/>
      </c>
      <c r="F4398" t="str">
        <f t="shared" si="639"/>
        <v/>
      </c>
      <c r="G4398" t="str">
        <f t="shared" si="640"/>
        <v/>
      </c>
    </row>
    <row r="4399" spans="2:7">
      <c r="B4399" s="46"/>
      <c r="C4399">
        <f t="shared" si="636"/>
        <v>36.7893518518519</v>
      </c>
      <c r="D4399" s="63" t="str">
        <f t="shared" si="637"/>
        <v/>
      </c>
      <c r="E4399" t="str">
        <f t="shared" si="638"/>
        <v/>
      </c>
      <c r="F4399" t="str">
        <f t="shared" si="639"/>
        <v/>
      </c>
      <c r="G4399" t="str">
        <f t="shared" si="640"/>
        <v/>
      </c>
    </row>
    <row r="4400" spans="2:7">
      <c r="B4400" s="46"/>
      <c r="C4400" t="str">
        <f t="shared" si="636"/>
        <v/>
      </c>
      <c r="D4400" s="63" t="str">
        <f t="shared" si="637"/>
        <v/>
      </c>
      <c r="E4400" t="str">
        <f t="shared" si="638"/>
        <v/>
      </c>
      <c r="F4400">
        <f t="shared" si="639"/>
        <v>23.4404761904762</v>
      </c>
      <c r="G4400" t="str">
        <f t="shared" si="640"/>
        <v/>
      </c>
    </row>
    <row r="4401" spans="2:7">
      <c r="B4401" s="46"/>
      <c r="C4401" t="str">
        <f t="shared" si="636"/>
        <v/>
      </c>
      <c r="D4401" s="63" t="str">
        <f t="shared" si="637"/>
        <v/>
      </c>
      <c r="E4401" t="str">
        <f t="shared" si="638"/>
        <v/>
      </c>
      <c r="F4401">
        <f t="shared" si="639"/>
        <v>24.3616780045352</v>
      </c>
      <c r="G4401" t="str">
        <f t="shared" si="640"/>
        <v/>
      </c>
    </row>
    <row r="4402" spans="2:7">
      <c r="B4402" s="46"/>
      <c r="C4402" t="str">
        <f t="shared" si="636"/>
        <v/>
      </c>
      <c r="D4402" s="63" t="str">
        <f t="shared" si="637"/>
        <v/>
      </c>
      <c r="E4402" t="str">
        <f t="shared" si="638"/>
        <v/>
      </c>
      <c r="F4402">
        <f t="shared" si="639"/>
        <v>25.8378684807256</v>
      </c>
      <c r="G4402" t="str">
        <f t="shared" si="640"/>
        <v/>
      </c>
    </row>
    <row r="4403" spans="2:7">
      <c r="B4403" s="46"/>
      <c r="C4403" t="str">
        <f t="shared" si="636"/>
        <v/>
      </c>
      <c r="D4403" s="63" t="str">
        <f t="shared" si="637"/>
        <v/>
      </c>
      <c r="E4403" t="str">
        <f t="shared" si="638"/>
        <v/>
      </c>
      <c r="F4403">
        <f t="shared" si="639"/>
        <v>29.4625850340136</v>
      </c>
      <c r="G4403" t="str">
        <f t="shared" si="640"/>
        <v/>
      </c>
    </row>
    <row r="4404" spans="2:7">
      <c r="B4404" s="46"/>
      <c r="C4404" t="str">
        <f t="shared" si="636"/>
        <v/>
      </c>
      <c r="D4404" s="63" t="str">
        <f t="shared" si="637"/>
        <v/>
      </c>
      <c r="E4404" t="str">
        <f t="shared" si="638"/>
        <v/>
      </c>
      <c r="F4404">
        <f t="shared" si="639"/>
        <v>30.092970521542</v>
      </c>
      <c r="G4404" t="str">
        <f t="shared" si="640"/>
        <v/>
      </c>
    </row>
    <row r="4405" spans="2:7">
      <c r="B4405" s="46"/>
      <c r="C4405" t="str">
        <f t="shared" si="636"/>
        <v/>
      </c>
      <c r="D4405" s="63" t="str">
        <f t="shared" si="637"/>
        <v/>
      </c>
      <c r="E4405" t="str">
        <f t="shared" si="638"/>
        <v/>
      </c>
      <c r="F4405">
        <f t="shared" si="639"/>
        <v>30.8809523809524</v>
      </c>
      <c r="G4405" t="str">
        <f t="shared" si="640"/>
        <v/>
      </c>
    </row>
    <row r="4406" spans="2:7">
      <c r="B4406" s="46"/>
      <c r="C4406" t="str">
        <f t="shared" si="636"/>
        <v/>
      </c>
      <c r="D4406" s="63" t="str">
        <f t="shared" si="637"/>
        <v/>
      </c>
      <c r="E4406" t="str">
        <f t="shared" si="638"/>
        <v/>
      </c>
      <c r="F4406" t="str">
        <f t="shared" si="639"/>
        <v/>
      </c>
      <c r="G4406">
        <f t="shared" si="640"/>
        <v>26.0235849056604</v>
      </c>
    </row>
    <row r="4407" spans="2:7">
      <c r="B4407" s="46"/>
      <c r="C4407" t="str">
        <f t="shared" si="636"/>
        <v/>
      </c>
      <c r="D4407" s="63" t="str">
        <f t="shared" si="637"/>
        <v/>
      </c>
      <c r="E4407" t="str">
        <f t="shared" si="638"/>
        <v/>
      </c>
      <c r="F4407" t="str">
        <f t="shared" si="639"/>
        <v/>
      </c>
      <c r="G4407">
        <f t="shared" si="640"/>
        <v>26.8977987421384</v>
      </c>
    </row>
    <row r="4408" spans="2:7">
      <c r="B4408" s="46"/>
      <c r="C4408" t="str">
        <f t="shared" si="636"/>
        <v/>
      </c>
      <c r="D4408" s="63" t="str">
        <f t="shared" si="637"/>
        <v/>
      </c>
      <c r="E4408" t="str">
        <f t="shared" si="638"/>
        <v/>
      </c>
      <c r="F4408" t="str">
        <f t="shared" si="639"/>
        <v/>
      </c>
      <c r="G4408">
        <f t="shared" si="640"/>
        <v>27.8448637316562</v>
      </c>
    </row>
    <row r="4409" spans="2:7">
      <c r="B4409" s="46"/>
      <c r="C4409" t="str">
        <f t="shared" si="636"/>
        <v/>
      </c>
      <c r="D4409" s="63" t="str">
        <f t="shared" si="637"/>
        <v/>
      </c>
      <c r="E4409" t="str">
        <f t="shared" si="638"/>
        <v/>
      </c>
      <c r="F4409" t="str">
        <f t="shared" si="639"/>
        <v/>
      </c>
      <c r="G4409">
        <f t="shared" si="640"/>
        <v>29.229035639413</v>
      </c>
    </row>
    <row r="4410" spans="2:7">
      <c r="B4410" s="46"/>
      <c r="C4410" t="str">
        <f t="shared" si="636"/>
        <v/>
      </c>
      <c r="D4410" s="63" t="str">
        <f t="shared" si="637"/>
        <v/>
      </c>
      <c r="E4410">
        <f t="shared" si="638"/>
        <v>25.5460784313725</v>
      </c>
      <c r="F4410" t="str">
        <f t="shared" si="639"/>
        <v/>
      </c>
      <c r="G4410" t="str">
        <f t="shared" si="640"/>
        <v/>
      </c>
    </row>
    <row r="4411" spans="2:7">
      <c r="B4411" s="46"/>
      <c r="C4411" t="str">
        <f t="shared" si="636"/>
        <v/>
      </c>
      <c r="D4411" s="63" t="str">
        <f t="shared" si="637"/>
        <v/>
      </c>
      <c r="E4411">
        <f t="shared" si="638"/>
        <v>28.8676470588235</v>
      </c>
      <c r="F4411" t="str">
        <f t="shared" si="639"/>
        <v/>
      </c>
      <c r="G4411" t="str">
        <f t="shared" si="640"/>
        <v/>
      </c>
    </row>
    <row r="4412" spans="2:7">
      <c r="B4412" s="46"/>
      <c r="C4412">
        <f t="shared" si="636"/>
        <v>39.1041666666667</v>
      </c>
      <c r="D4412" s="63" t="str">
        <f t="shared" si="637"/>
        <v/>
      </c>
      <c r="E4412" t="str">
        <f t="shared" si="638"/>
        <v/>
      </c>
      <c r="F4412" t="str">
        <f t="shared" si="639"/>
        <v/>
      </c>
      <c r="G4412" t="str">
        <f t="shared" si="640"/>
        <v/>
      </c>
    </row>
    <row r="4413" spans="2:7">
      <c r="B4413" s="46"/>
      <c r="C4413" t="str">
        <f t="shared" si="636"/>
        <v/>
      </c>
      <c r="D4413" s="63" t="str">
        <f t="shared" si="637"/>
        <v/>
      </c>
      <c r="E4413">
        <f t="shared" si="638"/>
        <v>30.843137254902</v>
      </c>
      <c r="F4413" t="str">
        <f t="shared" si="639"/>
        <v/>
      </c>
      <c r="G4413" t="str">
        <f t="shared" si="640"/>
        <v/>
      </c>
    </row>
    <row r="4414" spans="2:7">
      <c r="B4414" s="46"/>
      <c r="C4414" t="str">
        <f t="shared" si="636"/>
        <v/>
      </c>
      <c r="D4414" s="63" t="str">
        <f t="shared" si="637"/>
        <v/>
      </c>
      <c r="E4414">
        <f t="shared" si="638"/>
        <v>32.2524509803922</v>
      </c>
      <c r="F4414" t="str">
        <f t="shared" si="639"/>
        <v/>
      </c>
      <c r="G4414" t="str">
        <f t="shared" si="640"/>
        <v/>
      </c>
    </row>
    <row r="4415" spans="2:7">
      <c r="B4415" s="46"/>
      <c r="C4415" t="str">
        <f t="shared" si="636"/>
        <v/>
      </c>
      <c r="D4415" s="63">
        <f t="shared" si="637"/>
        <v>30.1643192488263</v>
      </c>
      <c r="E4415" t="str">
        <f t="shared" si="638"/>
        <v/>
      </c>
      <c r="F4415" t="str">
        <f t="shared" si="639"/>
        <v/>
      </c>
      <c r="G4415" t="str">
        <f t="shared" si="640"/>
        <v/>
      </c>
    </row>
    <row r="4416" spans="2:7">
      <c r="B4416" s="46"/>
      <c r="C4416" t="str">
        <f t="shared" si="636"/>
        <v/>
      </c>
      <c r="D4416" s="63">
        <f t="shared" si="637"/>
        <v>32.7840375586854</v>
      </c>
      <c r="E4416" t="str">
        <f t="shared" si="638"/>
        <v/>
      </c>
      <c r="F4416" t="str">
        <f t="shared" si="639"/>
        <v/>
      </c>
      <c r="G4416" t="str">
        <f t="shared" si="640"/>
        <v/>
      </c>
    </row>
    <row r="4417" ht="15.75" spans="2:7">
      <c r="B4417" s="46"/>
      <c r="C4417" t="str">
        <f t="shared" si="636"/>
        <v/>
      </c>
      <c r="D4417" s="63">
        <f t="shared" si="637"/>
        <v>35.31279342723</v>
      </c>
      <c r="E4417" t="str">
        <f t="shared" si="638"/>
        <v/>
      </c>
      <c r="F4417" t="str">
        <f t="shared" si="639"/>
        <v/>
      </c>
      <c r="G4417" t="str">
        <f t="shared" si="640"/>
        <v/>
      </c>
    </row>
    <row r="4418" ht="15.75" spans="2:7">
      <c r="B4418" s="74" t="s">
        <v>269</v>
      </c>
      <c r="C4418" s="53">
        <f>MAX(C4331:C4417)</f>
        <v>39.1041666666667</v>
      </c>
      <c r="D4418" s="53">
        <f>MAX(D4331:D4417)</f>
        <v>35.31279342723</v>
      </c>
      <c r="E4418" s="53">
        <f>MAX(E4331:E4417)</f>
        <v>32.2524509803922</v>
      </c>
      <c r="F4418" s="53">
        <f>MAX(F4331:F4417)</f>
        <v>30.8809523809524</v>
      </c>
      <c r="G4418" s="53">
        <f>MAX(G4331:G4417)</f>
        <v>29.229035639413</v>
      </c>
    </row>
    <row r="4419" spans="2:7">
      <c r="B4419" s="76" t="s">
        <v>270</v>
      </c>
      <c r="C4419" s="77">
        <v>1</v>
      </c>
      <c r="D4419" s="78">
        <v>2</v>
      </c>
      <c r="E4419">
        <v>3</v>
      </c>
      <c r="F4419">
        <v>4</v>
      </c>
      <c r="G4419">
        <v>5</v>
      </c>
    </row>
    <row r="4420" spans="2:7">
      <c r="B4420" s="79" t="s">
        <v>271</v>
      </c>
      <c r="C4420" s="72">
        <f>HLOOKUP(MIN(C4418:G4418),C4418:G4419,2,FALSE)</f>
        <v>5</v>
      </c>
      <c r="D4420" s="80"/>
    </row>
    <row r="4423" ht="15.75" spans="2:7">
      <c r="B4423" s="43" t="s">
        <v>358</v>
      </c>
      <c r="C4423" s="44"/>
      <c r="D4423" s="45"/>
    </row>
    <row r="4424" spans="2:7">
      <c r="B4424" s="46"/>
      <c r="C4424" s="61" t="s">
        <v>264</v>
      </c>
      <c r="D4424" s="61" t="s">
        <v>265</v>
      </c>
      <c r="E4424" s="62" t="s">
        <v>286</v>
      </c>
      <c r="F4424" s="62" t="s">
        <v>287</v>
      </c>
      <c r="G4424" s="62" t="s">
        <v>288</v>
      </c>
    </row>
    <row r="4425" spans="2:7">
      <c r="B4425" s="46"/>
      <c r="C4425">
        <f t="shared" ref="C4425:C4488" si="641">IF(J8=1,S8,"")</f>
        <v>0.700231481481482</v>
      </c>
      <c r="D4425" s="63" t="str">
        <f t="shared" ref="D4425:D4488" si="642">IF(J8=2,S8,"")</f>
        <v/>
      </c>
      <c r="E4425" t="str">
        <f t="shared" ref="E4425:E4488" si="643">IF(J8=3,S8,"")</f>
        <v/>
      </c>
      <c r="F4425" t="str">
        <f t="shared" ref="F4425:F4488" si="644">IF(J8=4,S8,"")</f>
        <v/>
      </c>
      <c r="G4425" t="str">
        <f t="shared" ref="G4425:G4488" si="645">IF(J8=5,S8,"")</f>
        <v/>
      </c>
    </row>
    <row r="4426" spans="2:7">
      <c r="B4426" s="46"/>
      <c r="C4426" t="str">
        <f t="shared" si="641"/>
        <v/>
      </c>
      <c r="D4426" s="63">
        <f t="shared" si="642"/>
        <v>0.734154929577465</v>
      </c>
      <c r="E4426" t="str">
        <f t="shared" si="643"/>
        <v/>
      </c>
      <c r="F4426" t="str">
        <f t="shared" si="644"/>
        <v/>
      </c>
      <c r="G4426" t="str">
        <f t="shared" si="645"/>
        <v/>
      </c>
    </row>
    <row r="4427" spans="2:7">
      <c r="B4427" s="46"/>
      <c r="C4427" t="str">
        <f t="shared" si="641"/>
        <v/>
      </c>
      <c r="D4427" s="63" t="str">
        <f t="shared" si="642"/>
        <v/>
      </c>
      <c r="E4427">
        <f t="shared" si="643"/>
        <v>1.83823529411765</v>
      </c>
      <c r="F4427" t="str">
        <f t="shared" si="644"/>
        <v/>
      </c>
      <c r="G4427" t="str">
        <f t="shared" si="645"/>
        <v/>
      </c>
    </row>
    <row r="4428" spans="2:7">
      <c r="B4428" s="46"/>
      <c r="C4428" t="str">
        <f t="shared" si="641"/>
        <v/>
      </c>
      <c r="D4428" s="63" t="str">
        <f t="shared" si="642"/>
        <v/>
      </c>
      <c r="E4428" t="str">
        <f t="shared" si="643"/>
        <v/>
      </c>
      <c r="F4428">
        <f t="shared" si="644"/>
        <v>4.28571428571429</v>
      </c>
      <c r="G4428" t="str">
        <f t="shared" si="645"/>
        <v/>
      </c>
    </row>
    <row r="4429" spans="2:7">
      <c r="B4429" s="46"/>
      <c r="C4429" t="str">
        <f t="shared" si="641"/>
        <v/>
      </c>
      <c r="D4429" s="63" t="str">
        <f t="shared" si="642"/>
        <v/>
      </c>
      <c r="E4429" t="str">
        <f t="shared" si="643"/>
        <v/>
      </c>
      <c r="F4429" t="str">
        <f t="shared" si="644"/>
        <v/>
      </c>
      <c r="G4429">
        <f t="shared" si="645"/>
        <v>3.43396226415094</v>
      </c>
    </row>
    <row r="4430" spans="2:7">
      <c r="B4430" s="46"/>
      <c r="C4430" t="str">
        <f t="shared" si="641"/>
        <v/>
      </c>
      <c r="D4430" s="63" t="str">
        <f t="shared" si="642"/>
        <v/>
      </c>
      <c r="E4430">
        <f t="shared" si="643"/>
        <v>14.5833333333333</v>
      </c>
      <c r="F4430" t="str">
        <f t="shared" si="644"/>
        <v/>
      </c>
      <c r="G4430" t="str">
        <f t="shared" si="645"/>
        <v/>
      </c>
    </row>
    <row r="4431" spans="2:7">
      <c r="B4431" s="46"/>
      <c r="C4431" t="str">
        <f t="shared" si="641"/>
        <v/>
      </c>
      <c r="D4431" s="63" t="str">
        <f t="shared" si="642"/>
        <v/>
      </c>
      <c r="E4431" t="str">
        <f t="shared" si="643"/>
        <v/>
      </c>
      <c r="F4431">
        <f t="shared" si="644"/>
        <v>6.42857142857143</v>
      </c>
      <c r="G4431" t="str">
        <f t="shared" si="645"/>
        <v/>
      </c>
    </row>
    <row r="4432" spans="2:7">
      <c r="B4432" s="46"/>
      <c r="C4432" t="str">
        <f t="shared" si="641"/>
        <v/>
      </c>
      <c r="D4432" s="63" t="str">
        <f t="shared" si="642"/>
        <v/>
      </c>
      <c r="E4432" t="str">
        <f t="shared" si="643"/>
        <v/>
      </c>
      <c r="F4432" t="str">
        <f t="shared" si="644"/>
        <v/>
      </c>
      <c r="G4432">
        <f t="shared" si="645"/>
        <v>3.84591194968553</v>
      </c>
    </row>
    <row r="4433" spans="2:7">
      <c r="B4433" s="46"/>
      <c r="C4433">
        <f t="shared" si="641"/>
        <v>0.844907407407407</v>
      </c>
      <c r="D4433" s="63" t="str">
        <f t="shared" si="642"/>
        <v/>
      </c>
      <c r="E4433" t="str">
        <f t="shared" si="643"/>
        <v/>
      </c>
      <c r="F4433" t="str">
        <f t="shared" si="644"/>
        <v/>
      </c>
      <c r="G4433" t="str">
        <f t="shared" si="645"/>
        <v/>
      </c>
    </row>
    <row r="4434" spans="2:7">
      <c r="B4434" s="46"/>
      <c r="C4434">
        <f t="shared" si="641"/>
        <v>6.79803240740741</v>
      </c>
      <c r="D4434" s="63" t="str">
        <f t="shared" si="642"/>
        <v/>
      </c>
      <c r="E4434" t="str">
        <f t="shared" si="643"/>
        <v/>
      </c>
      <c r="F4434" t="str">
        <f t="shared" si="644"/>
        <v/>
      </c>
      <c r="G4434" t="str">
        <f t="shared" si="645"/>
        <v/>
      </c>
    </row>
    <row r="4435" spans="2:7">
      <c r="B4435" s="46"/>
      <c r="C4435">
        <f t="shared" si="641"/>
        <v>6.79803240740741</v>
      </c>
      <c r="D4435" s="63" t="str">
        <f t="shared" si="642"/>
        <v/>
      </c>
      <c r="E4435" t="str">
        <f t="shared" si="643"/>
        <v/>
      </c>
      <c r="F4435" t="str">
        <f t="shared" si="644"/>
        <v/>
      </c>
      <c r="G4435" t="str">
        <f t="shared" si="645"/>
        <v/>
      </c>
    </row>
    <row r="4436" spans="2:7">
      <c r="B4436" s="46"/>
      <c r="C4436">
        <f t="shared" si="641"/>
        <v>7.52719907407408</v>
      </c>
      <c r="D4436" s="63" t="str">
        <f t="shared" si="642"/>
        <v/>
      </c>
      <c r="E4436" t="str">
        <f t="shared" si="643"/>
        <v/>
      </c>
      <c r="F4436" t="str">
        <f t="shared" si="644"/>
        <v/>
      </c>
      <c r="G4436" t="str">
        <f t="shared" si="645"/>
        <v/>
      </c>
    </row>
    <row r="4437" spans="2:7">
      <c r="B4437" s="46"/>
      <c r="C4437" t="str">
        <f t="shared" si="641"/>
        <v/>
      </c>
      <c r="D4437" s="63">
        <f t="shared" si="642"/>
        <v>2.7881455399061</v>
      </c>
      <c r="E4437" t="str">
        <f t="shared" si="643"/>
        <v/>
      </c>
      <c r="F4437" t="str">
        <f t="shared" si="644"/>
        <v/>
      </c>
      <c r="G4437" t="str">
        <f t="shared" si="645"/>
        <v/>
      </c>
    </row>
    <row r="4438" spans="2:7">
      <c r="B4438" s="46"/>
      <c r="C4438" t="str">
        <f t="shared" si="641"/>
        <v/>
      </c>
      <c r="D4438" s="63">
        <f t="shared" si="642"/>
        <v>4.47535211267606</v>
      </c>
      <c r="E4438" t="str">
        <f t="shared" si="643"/>
        <v/>
      </c>
      <c r="F4438" t="str">
        <f t="shared" si="644"/>
        <v/>
      </c>
      <c r="G4438" t="str">
        <f t="shared" si="645"/>
        <v/>
      </c>
    </row>
    <row r="4439" spans="2:7">
      <c r="B4439" s="46"/>
      <c r="C4439" t="str">
        <f t="shared" si="641"/>
        <v/>
      </c>
      <c r="D4439" s="63">
        <f t="shared" si="642"/>
        <v>6.10680751173709</v>
      </c>
      <c r="E4439" t="str">
        <f t="shared" si="643"/>
        <v/>
      </c>
      <c r="F4439" t="str">
        <f t="shared" si="644"/>
        <v/>
      </c>
      <c r="G4439" t="str">
        <f t="shared" si="645"/>
        <v/>
      </c>
    </row>
    <row r="4440" spans="2:7">
      <c r="B4440" s="46"/>
      <c r="C4440" t="str">
        <f t="shared" si="641"/>
        <v/>
      </c>
      <c r="D4440" s="63">
        <f t="shared" si="642"/>
        <v>8.50821596244131</v>
      </c>
      <c r="E4440" t="str">
        <f t="shared" si="643"/>
        <v/>
      </c>
      <c r="F4440" t="str">
        <f t="shared" si="644"/>
        <v/>
      </c>
      <c r="G4440" t="str">
        <f t="shared" si="645"/>
        <v/>
      </c>
    </row>
    <row r="4441" spans="2:7">
      <c r="B4441" s="46"/>
      <c r="C4441" t="str">
        <f t="shared" si="641"/>
        <v/>
      </c>
      <c r="D4441" s="63">
        <f t="shared" si="642"/>
        <v>10.268779342723</v>
      </c>
      <c r="E4441" t="str">
        <f t="shared" si="643"/>
        <v/>
      </c>
      <c r="F4441" t="str">
        <f t="shared" si="644"/>
        <v/>
      </c>
      <c r="G4441" t="str">
        <f t="shared" si="645"/>
        <v/>
      </c>
    </row>
    <row r="4442" spans="2:7">
      <c r="B4442" s="46"/>
      <c r="C4442" t="str">
        <f t="shared" si="641"/>
        <v/>
      </c>
      <c r="D4442" s="63" t="str">
        <f t="shared" si="642"/>
        <v/>
      </c>
      <c r="E4442" t="str">
        <f t="shared" si="643"/>
        <v/>
      </c>
      <c r="F4442" t="str">
        <f t="shared" si="644"/>
        <v/>
      </c>
      <c r="G4442">
        <f t="shared" si="645"/>
        <v>7.67610062893082</v>
      </c>
    </row>
    <row r="4443" spans="2:7">
      <c r="B4443" s="46"/>
      <c r="C4443" t="str">
        <f t="shared" si="641"/>
        <v/>
      </c>
      <c r="D4443" s="63" t="str">
        <f t="shared" si="642"/>
        <v/>
      </c>
      <c r="E4443" t="str">
        <f t="shared" si="643"/>
        <v/>
      </c>
      <c r="F4443" t="str">
        <f t="shared" si="644"/>
        <v/>
      </c>
      <c r="G4443">
        <f t="shared" si="645"/>
        <v>10.3836477987421</v>
      </c>
    </row>
    <row r="4444" spans="2:7">
      <c r="B4444" s="46"/>
      <c r="C4444" t="str">
        <f t="shared" si="641"/>
        <v/>
      </c>
      <c r="D4444" s="63" t="str">
        <f t="shared" si="642"/>
        <v/>
      </c>
      <c r="E4444" t="str">
        <f t="shared" si="643"/>
        <v/>
      </c>
      <c r="F4444" t="str">
        <f t="shared" si="644"/>
        <v/>
      </c>
      <c r="G4444">
        <f t="shared" si="645"/>
        <v>13.2138364779874</v>
      </c>
    </row>
    <row r="4445" spans="2:7">
      <c r="B4445" s="46"/>
      <c r="C4445" t="str">
        <f t="shared" si="641"/>
        <v/>
      </c>
      <c r="D4445" s="63" t="str">
        <f t="shared" si="642"/>
        <v/>
      </c>
      <c r="E4445" t="str">
        <f t="shared" si="643"/>
        <v/>
      </c>
      <c r="F4445" t="str">
        <f t="shared" si="644"/>
        <v/>
      </c>
      <c r="G4445">
        <f t="shared" si="645"/>
        <v>14.7243186582809</v>
      </c>
    </row>
    <row r="4446" spans="2:7">
      <c r="B4446" s="46"/>
      <c r="C4446" t="str">
        <f t="shared" si="641"/>
        <v/>
      </c>
      <c r="D4446" s="63" t="str">
        <f t="shared" si="642"/>
        <v/>
      </c>
      <c r="E4446" t="str">
        <f t="shared" si="643"/>
        <v/>
      </c>
      <c r="F4446">
        <f t="shared" si="644"/>
        <v>9.17630385487529</v>
      </c>
      <c r="G4446" t="str">
        <f t="shared" si="645"/>
        <v/>
      </c>
    </row>
    <row r="4447" spans="2:7">
      <c r="B4447" s="46"/>
      <c r="C4447" t="str">
        <f t="shared" si="641"/>
        <v/>
      </c>
      <c r="D4447" s="63" t="str">
        <f t="shared" si="642"/>
        <v/>
      </c>
      <c r="E4447" t="str">
        <f t="shared" si="643"/>
        <v/>
      </c>
      <c r="F4447">
        <f t="shared" si="644"/>
        <v>12.328231292517</v>
      </c>
      <c r="G4447" t="str">
        <f t="shared" si="645"/>
        <v/>
      </c>
    </row>
    <row r="4448" spans="2:7">
      <c r="B4448" s="46"/>
      <c r="C4448" t="str">
        <f t="shared" si="641"/>
        <v/>
      </c>
      <c r="D4448" s="63" t="str">
        <f t="shared" si="642"/>
        <v/>
      </c>
      <c r="E4448" t="str">
        <f t="shared" si="643"/>
        <v/>
      </c>
      <c r="F4448">
        <f t="shared" si="644"/>
        <v>15.0017006802721</v>
      </c>
      <c r="G4448" t="str">
        <f t="shared" si="645"/>
        <v/>
      </c>
    </row>
    <row r="4449" spans="2:7">
      <c r="B4449" s="46"/>
      <c r="C4449">
        <f t="shared" si="641"/>
        <v>10.328125</v>
      </c>
      <c r="D4449" s="63" t="str">
        <f t="shared" si="642"/>
        <v/>
      </c>
      <c r="E4449" t="str">
        <f t="shared" si="643"/>
        <v/>
      </c>
      <c r="F4449" t="str">
        <f t="shared" si="644"/>
        <v/>
      </c>
      <c r="G4449" t="str">
        <f t="shared" si="645"/>
        <v/>
      </c>
    </row>
    <row r="4450" spans="2:7">
      <c r="B4450" s="46"/>
      <c r="C4450">
        <f t="shared" si="641"/>
        <v>14.5908564814815</v>
      </c>
      <c r="D4450" s="63" t="str">
        <f t="shared" si="642"/>
        <v/>
      </c>
      <c r="E4450" t="str">
        <f t="shared" si="643"/>
        <v/>
      </c>
      <c r="F4450" t="str">
        <f t="shared" si="644"/>
        <v/>
      </c>
      <c r="G4450" t="str">
        <f t="shared" si="645"/>
        <v/>
      </c>
    </row>
    <row r="4451" spans="2:7">
      <c r="B4451" s="46"/>
      <c r="C4451">
        <f t="shared" si="641"/>
        <v>14.9409722222222</v>
      </c>
      <c r="D4451" s="63" t="str">
        <f t="shared" si="642"/>
        <v/>
      </c>
      <c r="E4451" t="str">
        <f t="shared" si="643"/>
        <v/>
      </c>
      <c r="F4451" t="str">
        <f t="shared" si="644"/>
        <v/>
      </c>
      <c r="G4451" t="str">
        <f t="shared" si="645"/>
        <v/>
      </c>
    </row>
    <row r="4452" spans="2:7">
      <c r="B4452" s="46"/>
      <c r="C4452">
        <f t="shared" si="641"/>
        <v>19.2465277777778</v>
      </c>
      <c r="D4452" s="63" t="str">
        <f t="shared" si="642"/>
        <v/>
      </c>
      <c r="E4452" t="str">
        <f t="shared" si="643"/>
        <v/>
      </c>
      <c r="F4452" t="str">
        <f t="shared" si="644"/>
        <v/>
      </c>
      <c r="G4452" t="str">
        <f t="shared" si="645"/>
        <v/>
      </c>
    </row>
    <row r="4453" spans="2:7">
      <c r="B4453" s="46"/>
      <c r="C4453" t="str">
        <f t="shared" si="641"/>
        <v/>
      </c>
      <c r="D4453" s="63">
        <f t="shared" si="642"/>
        <v>15.0340375586854</v>
      </c>
      <c r="E4453" t="str">
        <f t="shared" si="643"/>
        <v/>
      </c>
      <c r="F4453" t="str">
        <f t="shared" si="644"/>
        <v/>
      </c>
      <c r="G4453" t="str">
        <f t="shared" si="645"/>
        <v/>
      </c>
    </row>
    <row r="4454" spans="2:7">
      <c r="B4454" s="46"/>
      <c r="C4454" t="str">
        <f t="shared" si="641"/>
        <v/>
      </c>
      <c r="D4454" s="63">
        <f t="shared" si="642"/>
        <v>15.0340375586854</v>
      </c>
      <c r="E4454" t="str">
        <f t="shared" si="643"/>
        <v/>
      </c>
      <c r="F4454" t="str">
        <f t="shared" si="644"/>
        <v/>
      </c>
      <c r="G4454" t="str">
        <f t="shared" si="645"/>
        <v/>
      </c>
    </row>
    <row r="4455" spans="2:7">
      <c r="B4455" s="46"/>
      <c r="C4455" t="str">
        <f t="shared" si="641"/>
        <v/>
      </c>
      <c r="D4455" s="63">
        <f t="shared" si="642"/>
        <v>16.1343896713615</v>
      </c>
      <c r="E4455" t="str">
        <f t="shared" si="643"/>
        <v/>
      </c>
      <c r="F4455" t="str">
        <f t="shared" si="644"/>
        <v/>
      </c>
      <c r="G4455" t="str">
        <f t="shared" si="645"/>
        <v/>
      </c>
    </row>
    <row r="4456" spans="2:7">
      <c r="B4456" s="46"/>
      <c r="C4456" t="str">
        <f t="shared" si="641"/>
        <v/>
      </c>
      <c r="D4456" s="63">
        <f t="shared" si="642"/>
        <v>16.8620892018779</v>
      </c>
      <c r="E4456" t="str">
        <f t="shared" si="643"/>
        <v/>
      </c>
      <c r="F4456" t="str">
        <f t="shared" si="644"/>
        <v/>
      </c>
      <c r="G4456" t="str">
        <f t="shared" si="645"/>
        <v/>
      </c>
    </row>
    <row r="4457" spans="2:7">
      <c r="B4457" s="46"/>
      <c r="C4457" t="str">
        <f t="shared" si="641"/>
        <v/>
      </c>
      <c r="D4457" s="63" t="str">
        <f t="shared" si="642"/>
        <v/>
      </c>
      <c r="E4457">
        <f t="shared" si="643"/>
        <v>16.1245098039216</v>
      </c>
      <c r="F4457" t="str">
        <f t="shared" si="644"/>
        <v/>
      </c>
      <c r="G4457" t="str">
        <f t="shared" si="645"/>
        <v/>
      </c>
    </row>
    <row r="4458" spans="2:7">
      <c r="B4458" s="46"/>
      <c r="C4458" t="str">
        <f t="shared" si="641"/>
        <v/>
      </c>
      <c r="D4458" s="63" t="str">
        <f t="shared" si="642"/>
        <v/>
      </c>
      <c r="E4458">
        <f t="shared" si="643"/>
        <v>17.9225490196078</v>
      </c>
      <c r="F4458" t="str">
        <f t="shared" si="644"/>
        <v/>
      </c>
      <c r="G4458" t="str">
        <f t="shared" si="645"/>
        <v/>
      </c>
    </row>
    <row r="4459" spans="2:7">
      <c r="B4459" s="46"/>
      <c r="C4459" t="str">
        <f t="shared" si="641"/>
        <v/>
      </c>
      <c r="D4459" s="63" t="str">
        <f t="shared" si="642"/>
        <v/>
      </c>
      <c r="E4459">
        <f t="shared" si="643"/>
        <v>18.7166666666667</v>
      </c>
      <c r="F4459" t="str">
        <f t="shared" si="644"/>
        <v/>
      </c>
      <c r="G4459" t="str">
        <f t="shared" si="645"/>
        <v/>
      </c>
    </row>
    <row r="4460" spans="2:7">
      <c r="B4460" s="46"/>
      <c r="C4460" t="str">
        <f t="shared" si="641"/>
        <v/>
      </c>
      <c r="D4460" s="63" t="str">
        <f t="shared" si="642"/>
        <v/>
      </c>
      <c r="E4460">
        <f t="shared" si="643"/>
        <v>18.9539215686275</v>
      </c>
      <c r="F4460" t="str">
        <f t="shared" si="644"/>
        <v/>
      </c>
      <c r="G4460" t="str">
        <f t="shared" si="645"/>
        <v/>
      </c>
    </row>
    <row r="4461" spans="2:7">
      <c r="B4461" s="46"/>
      <c r="C4461" t="str">
        <f t="shared" si="641"/>
        <v/>
      </c>
      <c r="D4461" s="63" t="str">
        <f t="shared" si="642"/>
        <v/>
      </c>
      <c r="E4461" t="str">
        <f t="shared" si="643"/>
        <v/>
      </c>
      <c r="F4461" t="str">
        <f t="shared" si="644"/>
        <v/>
      </c>
      <c r="G4461">
        <f t="shared" si="645"/>
        <v>15.4449685534591</v>
      </c>
    </row>
    <row r="4462" spans="2:7">
      <c r="B4462" s="46"/>
      <c r="C4462" t="str">
        <f t="shared" si="641"/>
        <v/>
      </c>
      <c r="D4462" s="63" t="str">
        <f t="shared" si="642"/>
        <v/>
      </c>
      <c r="E4462" t="str">
        <f t="shared" si="643"/>
        <v/>
      </c>
      <c r="F4462" t="str">
        <f t="shared" si="644"/>
        <v/>
      </c>
      <c r="G4462">
        <f t="shared" si="645"/>
        <v>16.4669811320755</v>
      </c>
    </row>
    <row r="4463" spans="2:7">
      <c r="B4463" s="46"/>
      <c r="C4463" t="str">
        <f t="shared" si="641"/>
        <v/>
      </c>
      <c r="D4463" s="63" t="str">
        <f t="shared" si="642"/>
        <v/>
      </c>
      <c r="E4463" t="str">
        <f t="shared" si="643"/>
        <v/>
      </c>
      <c r="F4463" t="str">
        <f t="shared" si="644"/>
        <v/>
      </c>
      <c r="G4463">
        <f t="shared" si="645"/>
        <v>17.7877358490566</v>
      </c>
    </row>
    <row r="4464" spans="2:7">
      <c r="B4464" s="46"/>
      <c r="C4464" t="str">
        <f t="shared" si="641"/>
        <v/>
      </c>
      <c r="D4464" s="63" t="str">
        <f t="shared" si="642"/>
        <v/>
      </c>
      <c r="E4464" t="str">
        <f t="shared" si="643"/>
        <v/>
      </c>
      <c r="F4464" t="str">
        <f t="shared" si="644"/>
        <v/>
      </c>
      <c r="G4464">
        <f t="shared" si="645"/>
        <v>18.377358490566</v>
      </c>
    </row>
    <row r="4465" spans="2:7">
      <c r="B4465" s="46"/>
      <c r="C4465" t="str">
        <f t="shared" si="641"/>
        <v/>
      </c>
      <c r="D4465" s="63" t="str">
        <f t="shared" si="642"/>
        <v/>
      </c>
      <c r="E4465" t="str">
        <f t="shared" si="643"/>
        <v/>
      </c>
      <c r="F4465">
        <f t="shared" si="644"/>
        <v>15.4234693877551</v>
      </c>
      <c r="G4465" t="str">
        <f t="shared" si="645"/>
        <v/>
      </c>
    </row>
    <row r="4466" spans="2:7">
      <c r="B4466" s="46"/>
      <c r="C4466" t="str">
        <f t="shared" si="641"/>
        <v/>
      </c>
      <c r="D4466" s="63" t="str">
        <f t="shared" si="642"/>
        <v/>
      </c>
      <c r="E4466" t="str">
        <f t="shared" si="643"/>
        <v/>
      </c>
      <c r="F4466">
        <f t="shared" si="644"/>
        <v>16.7698412698413</v>
      </c>
      <c r="G4466" t="str">
        <f t="shared" si="645"/>
        <v/>
      </c>
    </row>
    <row r="4467" spans="2:7">
      <c r="B4467" s="46"/>
      <c r="C4467" t="str">
        <f t="shared" si="641"/>
        <v/>
      </c>
      <c r="D4467" s="63" t="str">
        <f t="shared" si="642"/>
        <v/>
      </c>
      <c r="E4467" t="str">
        <f t="shared" si="643"/>
        <v/>
      </c>
      <c r="F4467">
        <f t="shared" si="644"/>
        <v>18.109410430839</v>
      </c>
      <c r="G4467" t="str">
        <f t="shared" si="645"/>
        <v/>
      </c>
    </row>
    <row r="4468" spans="2:7">
      <c r="B4468" s="46"/>
      <c r="C4468" t="str">
        <f t="shared" si="641"/>
        <v/>
      </c>
      <c r="D4468" s="63" t="str">
        <f t="shared" si="642"/>
        <v/>
      </c>
      <c r="E4468" t="str">
        <f t="shared" si="643"/>
        <v/>
      </c>
      <c r="F4468">
        <f t="shared" si="644"/>
        <v>20.1581632653061</v>
      </c>
      <c r="G4468" t="str">
        <f t="shared" si="645"/>
        <v/>
      </c>
    </row>
    <row r="4469" spans="2:7">
      <c r="B4469" s="46"/>
      <c r="C4469" t="str">
        <f t="shared" si="641"/>
        <v/>
      </c>
      <c r="D4469" s="63" t="str">
        <f t="shared" si="642"/>
        <v/>
      </c>
      <c r="E4469" t="str">
        <f t="shared" si="643"/>
        <v/>
      </c>
      <c r="F4469">
        <f t="shared" si="644"/>
        <v>22.1581632653061</v>
      </c>
      <c r="G4469" t="str">
        <f t="shared" si="645"/>
        <v/>
      </c>
    </row>
    <row r="4470" spans="2:7">
      <c r="B4470" s="46"/>
      <c r="C4470" t="str">
        <f t="shared" si="641"/>
        <v/>
      </c>
      <c r="D4470" s="63" t="str">
        <f t="shared" si="642"/>
        <v/>
      </c>
      <c r="E4470" t="str">
        <f t="shared" si="643"/>
        <v/>
      </c>
      <c r="F4470">
        <f t="shared" si="644"/>
        <v>22.8781179138322</v>
      </c>
      <c r="G4470" t="str">
        <f t="shared" si="645"/>
        <v/>
      </c>
    </row>
    <row r="4471" spans="2:7">
      <c r="B4471" s="46"/>
      <c r="C4471" t="str">
        <f t="shared" si="641"/>
        <v/>
      </c>
      <c r="D4471" s="63">
        <f t="shared" si="642"/>
        <v>17.3022300469484</v>
      </c>
      <c r="E4471" t="str">
        <f t="shared" si="643"/>
        <v/>
      </c>
      <c r="F4471" t="str">
        <f t="shared" si="644"/>
        <v/>
      </c>
      <c r="G4471" t="str">
        <f t="shared" si="645"/>
        <v/>
      </c>
    </row>
    <row r="4472" spans="2:7">
      <c r="B4472" s="46"/>
      <c r="C4472" t="str">
        <f t="shared" si="641"/>
        <v/>
      </c>
      <c r="D4472" s="63">
        <f t="shared" si="642"/>
        <v>22.837441314554</v>
      </c>
      <c r="E4472" t="str">
        <f t="shared" si="643"/>
        <v/>
      </c>
      <c r="F4472" t="str">
        <f t="shared" si="644"/>
        <v/>
      </c>
      <c r="G4472" t="str">
        <f t="shared" si="645"/>
        <v/>
      </c>
    </row>
    <row r="4473" spans="2:7">
      <c r="B4473" s="46"/>
      <c r="C4473" t="str">
        <f t="shared" si="641"/>
        <v/>
      </c>
      <c r="D4473" s="63">
        <f t="shared" si="642"/>
        <v>23.7089201877934</v>
      </c>
      <c r="E4473" t="str">
        <f t="shared" si="643"/>
        <v/>
      </c>
      <c r="F4473" t="str">
        <f t="shared" si="644"/>
        <v/>
      </c>
      <c r="G4473" t="str">
        <f t="shared" si="645"/>
        <v/>
      </c>
    </row>
    <row r="4474" spans="2:7">
      <c r="B4474" s="46"/>
      <c r="C4474" t="str">
        <f t="shared" si="641"/>
        <v/>
      </c>
      <c r="D4474" s="63">
        <f t="shared" si="642"/>
        <v>24.3427230046948</v>
      </c>
      <c r="E4474" t="str">
        <f t="shared" si="643"/>
        <v/>
      </c>
      <c r="F4474" t="str">
        <f t="shared" si="644"/>
        <v/>
      </c>
      <c r="G4474" t="str">
        <f t="shared" si="645"/>
        <v/>
      </c>
    </row>
    <row r="4475" spans="2:7">
      <c r="B4475" s="46"/>
      <c r="C4475" t="str">
        <f t="shared" si="641"/>
        <v/>
      </c>
      <c r="D4475" s="63">
        <f t="shared" si="642"/>
        <v>27.5704225352113</v>
      </c>
      <c r="E4475" t="str">
        <f t="shared" si="643"/>
        <v/>
      </c>
      <c r="F4475" t="str">
        <f t="shared" si="644"/>
        <v/>
      </c>
      <c r="G4475" t="str">
        <f t="shared" si="645"/>
        <v/>
      </c>
    </row>
    <row r="4476" spans="2:7">
      <c r="B4476" s="46"/>
      <c r="C4476" t="str">
        <f t="shared" si="641"/>
        <v/>
      </c>
      <c r="D4476" s="63" t="str">
        <f t="shared" si="642"/>
        <v/>
      </c>
      <c r="E4476" t="str">
        <f t="shared" si="643"/>
        <v/>
      </c>
      <c r="F4476" t="str">
        <f t="shared" si="644"/>
        <v/>
      </c>
      <c r="G4476">
        <f t="shared" si="645"/>
        <v>19.1949685534591</v>
      </c>
    </row>
    <row r="4477" spans="2:7">
      <c r="B4477" s="46"/>
      <c r="C4477" t="str">
        <f t="shared" si="641"/>
        <v/>
      </c>
      <c r="D4477" s="63" t="str">
        <f t="shared" si="642"/>
        <v/>
      </c>
      <c r="E4477" t="str">
        <f t="shared" si="643"/>
        <v/>
      </c>
      <c r="F4477" t="str">
        <f t="shared" si="644"/>
        <v/>
      </c>
      <c r="G4477">
        <f t="shared" si="645"/>
        <v>21.9606918238994</v>
      </c>
    </row>
    <row r="4478" spans="2:7">
      <c r="B4478" s="46"/>
      <c r="C4478" t="str">
        <f t="shared" si="641"/>
        <v/>
      </c>
      <c r="D4478" s="63" t="str">
        <f t="shared" si="642"/>
        <v/>
      </c>
      <c r="E4478" t="str">
        <f t="shared" si="643"/>
        <v/>
      </c>
      <c r="F4478" t="str">
        <f t="shared" si="644"/>
        <v/>
      </c>
      <c r="G4478">
        <f t="shared" si="645"/>
        <v>21.9606918238994</v>
      </c>
    </row>
    <row r="4479" spans="2:7">
      <c r="B4479" s="46"/>
      <c r="C4479" t="str">
        <f t="shared" si="641"/>
        <v/>
      </c>
      <c r="D4479" s="63" t="str">
        <f t="shared" si="642"/>
        <v/>
      </c>
      <c r="E4479" t="str">
        <f t="shared" si="643"/>
        <v/>
      </c>
      <c r="F4479" t="str">
        <f t="shared" si="644"/>
        <v/>
      </c>
      <c r="G4479">
        <f t="shared" si="645"/>
        <v>25.2222222222222</v>
      </c>
    </row>
    <row r="4480" spans="2:7">
      <c r="B4480" s="46"/>
      <c r="C4480" t="str">
        <f t="shared" si="641"/>
        <v/>
      </c>
      <c r="D4480" s="63" t="str">
        <f t="shared" si="642"/>
        <v/>
      </c>
      <c r="E4480">
        <f t="shared" si="643"/>
        <v>22.268137254902</v>
      </c>
      <c r="F4480" t="str">
        <f t="shared" si="644"/>
        <v/>
      </c>
      <c r="G4480" t="str">
        <f t="shared" si="645"/>
        <v/>
      </c>
    </row>
    <row r="4481" spans="2:7">
      <c r="B4481" s="46"/>
      <c r="C4481" t="str">
        <f t="shared" si="641"/>
        <v/>
      </c>
      <c r="D4481" s="63" t="str">
        <f t="shared" si="642"/>
        <v/>
      </c>
      <c r="E4481">
        <f t="shared" si="643"/>
        <v>22.268137254902</v>
      </c>
      <c r="F4481" t="str">
        <f t="shared" si="644"/>
        <v/>
      </c>
      <c r="G4481" t="str">
        <f t="shared" si="645"/>
        <v/>
      </c>
    </row>
    <row r="4482" spans="2:7">
      <c r="B4482" s="46"/>
      <c r="C4482" t="str">
        <f t="shared" si="641"/>
        <v/>
      </c>
      <c r="D4482" s="63" t="str">
        <f t="shared" si="642"/>
        <v/>
      </c>
      <c r="E4482">
        <f t="shared" si="643"/>
        <v>24.6995098039216</v>
      </c>
      <c r="F4482" t="str">
        <f t="shared" si="644"/>
        <v/>
      </c>
      <c r="G4482" t="str">
        <f t="shared" si="645"/>
        <v/>
      </c>
    </row>
    <row r="4483" spans="2:7">
      <c r="B4483" s="46"/>
      <c r="C4483" t="str">
        <f t="shared" si="641"/>
        <v/>
      </c>
      <c r="D4483" s="63" t="str">
        <f t="shared" si="642"/>
        <v/>
      </c>
      <c r="E4483">
        <f t="shared" si="643"/>
        <v>25.3416666666667</v>
      </c>
      <c r="F4483" t="str">
        <f t="shared" si="644"/>
        <v/>
      </c>
      <c r="G4483" t="str">
        <f t="shared" si="645"/>
        <v/>
      </c>
    </row>
    <row r="4484" spans="2:7">
      <c r="B4484" s="46"/>
      <c r="C4484">
        <f t="shared" si="641"/>
        <v>19.5358796296296</v>
      </c>
      <c r="D4484" s="63" t="str">
        <f t="shared" si="642"/>
        <v/>
      </c>
      <c r="E4484" t="str">
        <f t="shared" si="643"/>
        <v/>
      </c>
      <c r="F4484" t="str">
        <f t="shared" si="644"/>
        <v/>
      </c>
      <c r="G4484" t="str">
        <f t="shared" si="645"/>
        <v/>
      </c>
    </row>
    <row r="4485" spans="2:7">
      <c r="B4485" s="46"/>
      <c r="C4485">
        <f t="shared" si="641"/>
        <v>20.1608796296296</v>
      </c>
      <c r="D4485" s="63" t="str">
        <f t="shared" si="642"/>
        <v/>
      </c>
      <c r="E4485" t="str">
        <f t="shared" si="643"/>
        <v/>
      </c>
      <c r="F4485" t="str">
        <f t="shared" si="644"/>
        <v/>
      </c>
      <c r="G4485" t="str">
        <f t="shared" si="645"/>
        <v/>
      </c>
    </row>
    <row r="4486" spans="2:7">
      <c r="B4486" s="46"/>
      <c r="C4486">
        <f t="shared" si="641"/>
        <v>21.7233796296296</v>
      </c>
      <c r="D4486" s="63" t="str">
        <f t="shared" si="642"/>
        <v/>
      </c>
      <c r="E4486" t="str">
        <f t="shared" si="643"/>
        <v/>
      </c>
      <c r="F4486" t="str">
        <f t="shared" si="644"/>
        <v/>
      </c>
      <c r="G4486" t="str">
        <f t="shared" si="645"/>
        <v/>
      </c>
    </row>
    <row r="4487" spans="2:7">
      <c r="B4487" s="46"/>
      <c r="C4487">
        <f t="shared" si="641"/>
        <v>22.7054398148148</v>
      </c>
      <c r="D4487" s="63" t="str">
        <f t="shared" si="642"/>
        <v/>
      </c>
      <c r="E4487" t="str">
        <f t="shared" si="643"/>
        <v/>
      </c>
      <c r="F4487" t="str">
        <f t="shared" si="644"/>
        <v/>
      </c>
      <c r="G4487" t="str">
        <f t="shared" si="645"/>
        <v/>
      </c>
    </row>
    <row r="4488" spans="2:7">
      <c r="B4488" s="46"/>
      <c r="C4488">
        <f t="shared" si="641"/>
        <v>22.7054398148148</v>
      </c>
      <c r="D4488" s="63" t="str">
        <f t="shared" si="642"/>
        <v/>
      </c>
      <c r="E4488" t="str">
        <f t="shared" si="643"/>
        <v/>
      </c>
      <c r="F4488" t="str">
        <f t="shared" si="644"/>
        <v/>
      </c>
      <c r="G4488" t="str">
        <f t="shared" si="645"/>
        <v/>
      </c>
    </row>
    <row r="4489" spans="2:7">
      <c r="B4489" s="46"/>
      <c r="C4489">
        <f t="shared" ref="C4489:C4512" si="646">IF(J72=1,S72,"")</f>
        <v>22.8512731481482</v>
      </c>
      <c r="D4489" s="63" t="str">
        <f t="shared" ref="D4489:D4512" si="647">IF(J72=2,S72,"")</f>
        <v/>
      </c>
      <c r="E4489" t="str">
        <f t="shared" ref="E4489:E4512" si="648">IF(J72=3,S72,"")</f>
        <v/>
      </c>
      <c r="F4489" t="str">
        <f t="shared" ref="F4489:F4512" si="649">IF(J72=4,S72,"")</f>
        <v/>
      </c>
      <c r="G4489" t="str">
        <f t="shared" ref="G4489:G4512" si="650">IF(J72=5,S72,"")</f>
        <v/>
      </c>
    </row>
    <row r="4490" spans="2:7">
      <c r="B4490" s="46"/>
      <c r="C4490">
        <f t="shared" si="646"/>
        <v>34.4068287037037</v>
      </c>
      <c r="D4490" s="63" t="str">
        <f t="shared" si="647"/>
        <v/>
      </c>
      <c r="E4490" t="str">
        <f t="shared" si="648"/>
        <v/>
      </c>
      <c r="F4490" t="str">
        <f t="shared" si="649"/>
        <v/>
      </c>
      <c r="G4490" t="str">
        <f t="shared" si="650"/>
        <v/>
      </c>
    </row>
    <row r="4491" spans="2:7">
      <c r="B4491" s="46"/>
      <c r="C4491">
        <f t="shared" si="646"/>
        <v>34.4068287037037</v>
      </c>
      <c r="D4491" s="63" t="str">
        <f t="shared" si="647"/>
        <v/>
      </c>
      <c r="E4491" t="str">
        <f t="shared" si="648"/>
        <v/>
      </c>
      <c r="F4491" t="str">
        <f t="shared" si="649"/>
        <v/>
      </c>
      <c r="G4491" t="str">
        <f t="shared" si="650"/>
        <v/>
      </c>
    </row>
    <row r="4492" spans="2:7">
      <c r="B4492" s="46"/>
      <c r="C4492">
        <f t="shared" si="646"/>
        <v>35.5827546296296</v>
      </c>
      <c r="D4492" s="63" t="str">
        <f t="shared" si="647"/>
        <v/>
      </c>
      <c r="E4492" t="str">
        <f t="shared" si="648"/>
        <v/>
      </c>
      <c r="F4492" t="str">
        <f t="shared" si="649"/>
        <v/>
      </c>
      <c r="G4492" t="str">
        <f t="shared" si="650"/>
        <v/>
      </c>
    </row>
    <row r="4493" spans="2:7">
      <c r="B4493" s="46"/>
      <c r="C4493">
        <f t="shared" si="646"/>
        <v>36.7893518518519</v>
      </c>
      <c r="D4493" s="63" t="str">
        <f t="shared" si="647"/>
        <v/>
      </c>
      <c r="E4493" t="str">
        <f t="shared" si="648"/>
        <v/>
      </c>
      <c r="F4493" t="str">
        <f t="shared" si="649"/>
        <v/>
      </c>
      <c r="G4493" t="str">
        <f t="shared" si="650"/>
        <v/>
      </c>
    </row>
    <row r="4494" spans="2:7">
      <c r="B4494" s="46"/>
      <c r="C4494" t="str">
        <f t="shared" si="646"/>
        <v/>
      </c>
      <c r="D4494" s="63" t="str">
        <f t="shared" si="647"/>
        <v/>
      </c>
      <c r="E4494" t="str">
        <f t="shared" si="648"/>
        <v/>
      </c>
      <c r="F4494">
        <f t="shared" si="649"/>
        <v>23.4404761904762</v>
      </c>
      <c r="G4494" t="str">
        <f t="shared" si="650"/>
        <v/>
      </c>
    </row>
    <row r="4495" spans="2:7">
      <c r="B4495" s="46"/>
      <c r="C4495" t="str">
        <f t="shared" si="646"/>
        <v/>
      </c>
      <c r="D4495" s="63" t="str">
        <f t="shared" si="647"/>
        <v/>
      </c>
      <c r="E4495" t="str">
        <f t="shared" si="648"/>
        <v/>
      </c>
      <c r="F4495">
        <f t="shared" si="649"/>
        <v>24.3616780045352</v>
      </c>
      <c r="G4495" t="str">
        <f t="shared" si="650"/>
        <v/>
      </c>
    </row>
    <row r="4496" spans="2:7">
      <c r="B4496" s="46"/>
      <c r="C4496" t="str">
        <f t="shared" si="646"/>
        <v/>
      </c>
      <c r="D4496" s="63" t="str">
        <f t="shared" si="647"/>
        <v/>
      </c>
      <c r="E4496" t="str">
        <f t="shared" si="648"/>
        <v/>
      </c>
      <c r="F4496">
        <f t="shared" si="649"/>
        <v>25.8378684807256</v>
      </c>
      <c r="G4496" t="str">
        <f t="shared" si="650"/>
        <v/>
      </c>
    </row>
    <row r="4497" spans="2:7">
      <c r="B4497" s="46"/>
      <c r="C4497" t="str">
        <f t="shared" si="646"/>
        <v/>
      </c>
      <c r="D4497" s="63" t="str">
        <f t="shared" si="647"/>
        <v/>
      </c>
      <c r="E4497" t="str">
        <f t="shared" si="648"/>
        <v/>
      </c>
      <c r="F4497">
        <f t="shared" si="649"/>
        <v>29.4625850340136</v>
      </c>
      <c r="G4497" t="str">
        <f t="shared" si="650"/>
        <v/>
      </c>
    </row>
    <row r="4498" spans="2:7">
      <c r="B4498" s="46"/>
      <c r="C4498" t="str">
        <f t="shared" si="646"/>
        <v/>
      </c>
      <c r="D4498" s="63" t="str">
        <f t="shared" si="647"/>
        <v/>
      </c>
      <c r="E4498" t="str">
        <f t="shared" si="648"/>
        <v/>
      </c>
      <c r="F4498">
        <f t="shared" si="649"/>
        <v>30.092970521542</v>
      </c>
      <c r="G4498" t="str">
        <f t="shared" si="650"/>
        <v/>
      </c>
    </row>
    <row r="4499" spans="2:7">
      <c r="B4499" s="46"/>
      <c r="C4499" t="str">
        <f t="shared" si="646"/>
        <v/>
      </c>
      <c r="D4499" s="63" t="str">
        <f t="shared" si="647"/>
        <v/>
      </c>
      <c r="E4499" t="str">
        <f t="shared" si="648"/>
        <v/>
      </c>
      <c r="F4499">
        <f t="shared" si="649"/>
        <v>30.8809523809524</v>
      </c>
      <c r="G4499" t="str">
        <f t="shared" si="650"/>
        <v/>
      </c>
    </row>
    <row r="4500" spans="2:7">
      <c r="B4500" s="46"/>
      <c r="C4500" t="str">
        <f t="shared" si="646"/>
        <v/>
      </c>
      <c r="D4500" s="63" t="str">
        <f t="shared" si="647"/>
        <v/>
      </c>
      <c r="E4500" t="str">
        <f t="shared" si="648"/>
        <v/>
      </c>
      <c r="F4500" t="str">
        <f t="shared" si="649"/>
        <v/>
      </c>
      <c r="G4500">
        <f t="shared" si="650"/>
        <v>26.0235849056604</v>
      </c>
    </row>
    <row r="4501" spans="2:7">
      <c r="B4501" s="46"/>
      <c r="C4501" t="str">
        <f t="shared" si="646"/>
        <v/>
      </c>
      <c r="D4501" s="63" t="str">
        <f t="shared" si="647"/>
        <v/>
      </c>
      <c r="E4501" t="str">
        <f t="shared" si="648"/>
        <v/>
      </c>
      <c r="F4501" t="str">
        <f t="shared" si="649"/>
        <v/>
      </c>
      <c r="G4501">
        <f t="shared" si="650"/>
        <v>26.8977987421384</v>
      </c>
    </row>
    <row r="4502" spans="2:7">
      <c r="B4502" s="46"/>
      <c r="C4502" t="str">
        <f t="shared" si="646"/>
        <v/>
      </c>
      <c r="D4502" s="63" t="str">
        <f t="shared" si="647"/>
        <v/>
      </c>
      <c r="E4502" t="str">
        <f t="shared" si="648"/>
        <v/>
      </c>
      <c r="F4502" t="str">
        <f t="shared" si="649"/>
        <v/>
      </c>
      <c r="G4502">
        <f t="shared" si="650"/>
        <v>27.8448637316562</v>
      </c>
    </row>
    <row r="4503" spans="2:7">
      <c r="B4503" s="46"/>
      <c r="C4503" t="str">
        <f t="shared" si="646"/>
        <v/>
      </c>
      <c r="D4503" s="63" t="str">
        <f t="shared" si="647"/>
        <v/>
      </c>
      <c r="E4503" t="str">
        <f t="shared" si="648"/>
        <v/>
      </c>
      <c r="F4503" t="str">
        <f t="shared" si="649"/>
        <v/>
      </c>
      <c r="G4503">
        <f t="shared" si="650"/>
        <v>29.229035639413</v>
      </c>
    </row>
    <row r="4504" spans="2:7">
      <c r="B4504" s="46"/>
      <c r="C4504" t="str">
        <f t="shared" si="646"/>
        <v/>
      </c>
      <c r="D4504" s="63" t="str">
        <f t="shared" si="647"/>
        <v/>
      </c>
      <c r="E4504">
        <f t="shared" si="648"/>
        <v>25.5460784313725</v>
      </c>
      <c r="F4504" t="str">
        <f t="shared" si="649"/>
        <v/>
      </c>
      <c r="G4504" t="str">
        <f t="shared" si="650"/>
        <v/>
      </c>
    </row>
    <row r="4505" spans="2:7">
      <c r="B4505" s="46"/>
      <c r="C4505" t="str">
        <f t="shared" si="646"/>
        <v/>
      </c>
      <c r="D4505" s="63" t="str">
        <f t="shared" si="647"/>
        <v/>
      </c>
      <c r="E4505">
        <f t="shared" si="648"/>
        <v>28.8676470588235</v>
      </c>
      <c r="F4505" t="str">
        <f t="shared" si="649"/>
        <v/>
      </c>
      <c r="G4505" t="str">
        <f t="shared" si="650"/>
        <v/>
      </c>
    </row>
    <row r="4506" spans="2:7">
      <c r="B4506" s="46"/>
      <c r="C4506">
        <f t="shared" si="646"/>
        <v>39.1041666666667</v>
      </c>
      <c r="D4506" s="63" t="str">
        <f t="shared" si="647"/>
        <v/>
      </c>
      <c r="E4506" t="str">
        <f t="shared" si="648"/>
        <v/>
      </c>
      <c r="F4506" t="str">
        <f t="shared" si="649"/>
        <v/>
      </c>
      <c r="G4506" t="str">
        <f t="shared" si="650"/>
        <v/>
      </c>
    </row>
    <row r="4507" spans="2:7">
      <c r="B4507" s="46"/>
      <c r="C4507" t="str">
        <f t="shared" si="646"/>
        <v/>
      </c>
      <c r="D4507" s="63" t="str">
        <f t="shared" si="647"/>
        <v/>
      </c>
      <c r="E4507">
        <f t="shared" si="648"/>
        <v>30.843137254902</v>
      </c>
      <c r="F4507" t="str">
        <f t="shared" si="649"/>
        <v/>
      </c>
      <c r="G4507" t="str">
        <f t="shared" si="650"/>
        <v/>
      </c>
    </row>
    <row r="4508" spans="2:7">
      <c r="B4508" s="46"/>
      <c r="C4508" t="str">
        <f t="shared" si="646"/>
        <v/>
      </c>
      <c r="D4508" s="63" t="str">
        <f t="shared" si="647"/>
        <v/>
      </c>
      <c r="E4508">
        <f t="shared" si="648"/>
        <v>32.2524509803922</v>
      </c>
      <c r="F4508" t="str">
        <f t="shared" si="649"/>
        <v/>
      </c>
      <c r="G4508" t="str">
        <f t="shared" si="650"/>
        <v/>
      </c>
    </row>
    <row r="4509" spans="2:7">
      <c r="B4509" s="46"/>
      <c r="C4509" t="str">
        <f t="shared" si="646"/>
        <v/>
      </c>
      <c r="D4509" s="63">
        <f t="shared" si="647"/>
        <v>30.1643192488263</v>
      </c>
      <c r="E4509" t="str">
        <f t="shared" si="648"/>
        <v/>
      </c>
      <c r="F4509" t="str">
        <f t="shared" si="649"/>
        <v/>
      </c>
      <c r="G4509" t="str">
        <f t="shared" si="650"/>
        <v/>
      </c>
    </row>
    <row r="4510" spans="2:7">
      <c r="B4510" s="46"/>
      <c r="C4510" t="str">
        <f t="shared" si="646"/>
        <v/>
      </c>
      <c r="D4510" s="63">
        <f t="shared" si="647"/>
        <v>32.7840375586854</v>
      </c>
      <c r="E4510" t="str">
        <f t="shared" si="648"/>
        <v/>
      </c>
      <c r="F4510" t="str">
        <f t="shared" si="649"/>
        <v/>
      </c>
      <c r="G4510" t="str">
        <f t="shared" si="650"/>
        <v/>
      </c>
    </row>
    <row r="4511" spans="2:7">
      <c r="B4511" s="46"/>
      <c r="C4511" t="str">
        <f t="shared" si="646"/>
        <v/>
      </c>
      <c r="D4511" s="63">
        <f t="shared" si="647"/>
        <v>35.31279342723</v>
      </c>
      <c r="E4511" t="str">
        <f t="shared" si="648"/>
        <v/>
      </c>
      <c r="F4511" t="str">
        <f t="shared" si="649"/>
        <v/>
      </c>
      <c r="G4511" t="str">
        <f t="shared" si="650"/>
        <v/>
      </c>
    </row>
    <row r="4512" ht="15.75" spans="2:7">
      <c r="B4512" s="46"/>
      <c r="C4512" t="str">
        <f t="shared" si="646"/>
        <v/>
      </c>
      <c r="D4512" s="63">
        <f t="shared" si="647"/>
        <v>37.6895539906103</v>
      </c>
      <c r="E4512" t="str">
        <f t="shared" si="648"/>
        <v/>
      </c>
      <c r="F4512" t="str">
        <f t="shared" si="649"/>
        <v/>
      </c>
      <c r="G4512" t="str">
        <f t="shared" si="650"/>
        <v/>
      </c>
    </row>
    <row r="4513" spans="2:7">
      <c r="B4513" s="74" t="s">
        <v>269</v>
      </c>
      <c r="C4513" s="75">
        <f>MAX(C4425:C4512)</f>
        <v>39.1041666666667</v>
      </c>
      <c r="D4513" s="75">
        <f>MAX(D4425:D4512)</f>
        <v>37.6895539906103</v>
      </c>
      <c r="E4513" s="75">
        <f t="shared" ref="E4513:G4513" si="651">MAX(E4425:E4512)</f>
        <v>32.2524509803922</v>
      </c>
      <c r="F4513" s="75">
        <f t="shared" si="651"/>
        <v>30.8809523809524</v>
      </c>
      <c r="G4513" s="75">
        <f t="shared" si="651"/>
        <v>29.229035639413</v>
      </c>
    </row>
    <row r="4514" spans="2:7">
      <c r="B4514" s="76" t="s">
        <v>270</v>
      </c>
      <c r="C4514" s="77">
        <v>1</v>
      </c>
      <c r="D4514" s="78">
        <v>2</v>
      </c>
      <c r="E4514">
        <v>3</v>
      </c>
      <c r="F4514">
        <v>4</v>
      </c>
      <c r="G4514">
        <v>5</v>
      </c>
    </row>
    <row r="4515" spans="2:7">
      <c r="B4515" s="79" t="s">
        <v>271</v>
      </c>
      <c r="C4515" s="72">
        <f>HLOOKUP(MIN(C4513:G4513),C4513:G4514,2,FALSE)</f>
        <v>5</v>
      </c>
      <c r="D4515" s="80"/>
    </row>
    <row r="4518" ht="15.75" spans="2:7">
      <c r="B4518" s="43" t="s">
        <v>359</v>
      </c>
      <c r="C4518" s="44"/>
      <c r="D4518" s="45"/>
    </row>
    <row r="4519" spans="2:7">
      <c r="B4519" s="46"/>
      <c r="C4519" s="61" t="s">
        <v>264</v>
      </c>
      <c r="D4519" s="61" t="s">
        <v>265</v>
      </c>
      <c r="E4519" s="62" t="s">
        <v>286</v>
      </c>
      <c r="F4519" s="62" t="s">
        <v>287</v>
      </c>
      <c r="G4519" s="62" t="s">
        <v>288</v>
      </c>
    </row>
    <row r="4520" spans="2:7">
      <c r="B4520" s="46"/>
      <c r="C4520">
        <f t="shared" ref="C4520:C4583" si="652">IF(J8=1,S8,"")</f>
        <v>0.700231481481482</v>
      </c>
      <c r="D4520" s="63" t="str">
        <f t="shared" ref="D4520:D4583" si="653">IF(J8=2,S8,"")</f>
        <v/>
      </c>
      <c r="E4520" t="str">
        <f t="shared" ref="E4520:E4583" si="654">IF(J8=3,S8,"")</f>
        <v/>
      </c>
      <c r="F4520" t="str">
        <f t="shared" ref="F4520:F4583" si="655">IF(J8=4,S8,"")</f>
        <v/>
      </c>
      <c r="G4520" t="str">
        <f t="shared" ref="G4520:G4583" si="656">IF(J8=5,S8,"")</f>
        <v/>
      </c>
    </row>
    <row r="4521" spans="2:7">
      <c r="B4521" s="46"/>
      <c r="C4521" t="str">
        <f t="shared" si="652"/>
        <v/>
      </c>
      <c r="D4521" s="63">
        <f t="shared" si="653"/>
        <v>0.734154929577465</v>
      </c>
      <c r="E4521" t="str">
        <f t="shared" si="654"/>
        <v/>
      </c>
      <c r="F4521" t="str">
        <f t="shared" si="655"/>
        <v/>
      </c>
      <c r="G4521" t="str">
        <f t="shared" si="656"/>
        <v/>
      </c>
    </row>
    <row r="4522" spans="2:7">
      <c r="B4522" s="46"/>
      <c r="C4522" t="str">
        <f t="shared" si="652"/>
        <v/>
      </c>
      <c r="D4522" s="63" t="str">
        <f t="shared" si="653"/>
        <v/>
      </c>
      <c r="E4522">
        <f t="shared" si="654"/>
        <v>1.83823529411765</v>
      </c>
      <c r="F4522" t="str">
        <f t="shared" si="655"/>
        <v/>
      </c>
      <c r="G4522" t="str">
        <f t="shared" si="656"/>
        <v/>
      </c>
    </row>
    <row r="4523" spans="2:7">
      <c r="B4523" s="46"/>
      <c r="C4523" t="str">
        <f t="shared" si="652"/>
        <v/>
      </c>
      <c r="D4523" s="63" t="str">
        <f t="shared" si="653"/>
        <v/>
      </c>
      <c r="E4523" t="str">
        <f t="shared" si="654"/>
        <v/>
      </c>
      <c r="F4523">
        <f t="shared" si="655"/>
        <v>4.28571428571429</v>
      </c>
      <c r="G4523" t="str">
        <f t="shared" si="656"/>
        <v/>
      </c>
    </row>
    <row r="4524" spans="2:7">
      <c r="B4524" s="46"/>
      <c r="C4524" t="str">
        <f t="shared" si="652"/>
        <v/>
      </c>
      <c r="D4524" s="63" t="str">
        <f t="shared" si="653"/>
        <v/>
      </c>
      <c r="E4524" t="str">
        <f t="shared" si="654"/>
        <v/>
      </c>
      <c r="F4524" t="str">
        <f t="shared" si="655"/>
        <v/>
      </c>
      <c r="G4524">
        <f t="shared" si="656"/>
        <v>3.43396226415094</v>
      </c>
    </row>
    <row r="4525" spans="2:7">
      <c r="B4525" s="46"/>
      <c r="C4525" t="str">
        <f t="shared" si="652"/>
        <v/>
      </c>
      <c r="D4525" s="63" t="str">
        <f t="shared" si="653"/>
        <v/>
      </c>
      <c r="E4525">
        <f t="shared" si="654"/>
        <v>14.5833333333333</v>
      </c>
      <c r="F4525" t="str">
        <f t="shared" si="655"/>
        <v/>
      </c>
      <c r="G4525" t="str">
        <f t="shared" si="656"/>
        <v/>
      </c>
    </row>
    <row r="4526" spans="2:7">
      <c r="B4526" s="46"/>
      <c r="C4526" t="str">
        <f t="shared" si="652"/>
        <v/>
      </c>
      <c r="D4526" s="63" t="str">
        <f t="shared" si="653"/>
        <v/>
      </c>
      <c r="E4526" t="str">
        <f t="shared" si="654"/>
        <v/>
      </c>
      <c r="F4526">
        <f t="shared" si="655"/>
        <v>6.42857142857143</v>
      </c>
      <c r="G4526" t="str">
        <f t="shared" si="656"/>
        <v/>
      </c>
    </row>
    <row r="4527" spans="2:7">
      <c r="B4527" s="46"/>
      <c r="C4527" t="str">
        <f t="shared" si="652"/>
        <v/>
      </c>
      <c r="D4527" s="63" t="str">
        <f t="shared" si="653"/>
        <v/>
      </c>
      <c r="E4527" t="str">
        <f t="shared" si="654"/>
        <v/>
      </c>
      <c r="F4527" t="str">
        <f t="shared" si="655"/>
        <v/>
      </c>
      <c r="G4527">
        <f t="shared" si="656"/>
        <v>3.84591194968553</v>
      </c>
    </row>
    <row r="4528" spans="2:7">
      <c r="B4528" s="46"/>
      <c r="C4528">
        <f t="shared" si="652"/>
        <v>0.844907407407407</v>
      </c>
      <c r="D4528" s="63" t="str">
        <f t="shared" si="653"/>
        <v/>
      </c>
      <c r="E4528" t="str">
        <f t="shared" si="654"/>
        <v/>
      </c>
      <c r="F4528" t="str">
        <f t="shared" si="655"/>
        <v/>
      </c>
      <c r="G4528" t="str">
        <f t="shared" si="656"/>
        <v/>
      </c>
    </row>
    <row r="4529" spans="2:7">
      <c r="B4529" s="46"/>
      <c r="C4529">
        <f t="shared" si="652"/>
        <v>6.79803240740741</v>
      </c>
      <c r="D4529" s="63" t="str">
        <f t="shared" si="653"/>
        <v/>
      </c>
      <c r="E4529" t="str">
        <f t="shared" si="654"/>
        <v/>
      </c>
      <c r="F4529" t="str">
        <f t="shared" si="655"/>
        <v/>
      </c>
      <c r="G4529" t="str">
        <f t="shared" si="656"/>
        <v/>
      </c>
    </row>
    <row r="4530" spans="2:7">
      <c r="B4530" s="46"/>
      <c r="C4530">
        <f t="shared" si="652"/>
        <v>6.79803240740741</v>
      </c>
      <c r="D4530" s="63" t="str">
        <f t="shared" si="653"/>
        <v/>
      </c>
      <c r="E4530" t="str">
        <f t="shared" si="654"/>
        <v/>
      </c>
      <c r="F4530" t="str">
        <f t="shared" si="655"/>
        <v/>
      </c>
      <c r="G4530" t="str">
        <f t="shared" si="656"/>
        <v/>
      </c>
    </row>
    <row r="4531" spans="2:7">
      <c r="B4531" s="46"/>
      <c r="C4531">
        <f t="shared" si="652"/>
        <v>7.52719907407408</v>
      </c>
      <c r="D4531" s="63" t="str">
        <f t="shared" si="653"/>
        <v/>
      </c>
      <c r="E4531" t="str">
        <f t="shared" si="654"/>
        <v/>
      </c>
      <c r="F4531" t="str">
        <f t="shared" si="655"/>
        <v/>
      </c>
      <c r="G4531" t="str">
        <f t="shared" si="656"/>
        <v/>
      </c>
    </row>
    <row r="4532" spans="2:7">
      <c r="B4532" s="46"/>
      <c r="C4532" t="str">
        <f t="shared" si="652"/>
        <v/>
      </c>
      <c r="D4532" s="63">
        <f t="shared" si="653"/>
        <v>2.7881455399061</v>
      </c>
      <c r="E4532" t="str">
        <f t="shared" si="654"/>
        <v/>
      </c>
      <c r="F4532" t="str">
        <f t="shared" si="655"/>
        <v/>
      </c>
      <c r="G4532" t="str">
        <f t="shared" si="656"/>
        <v/>
      </c>
    </row>
    <row r="4533" spans="2:7">
      <c r="B4533" s="46"/>
      <c r="C4533" t="str">
        <f t="shared" si="652"/>
        <v/>
      </c>
      <c r="D4533" s="63">
        <f t="shared" si="653"/>
        <v>4.47535211267606</v>
      </c>
      <c r="E4533" t="str">
        <f t="shared" si="654"/>
        <v/>
      </c>
      <c r="F4533" t="str">
        <f t="shared" si="655"/>
        <v/>
      </c>
      <c r="G4533" t="str">
        <f t="shared" si="656"/>
        <v/>
      </c>
    </row>
    <row r="4534" spans="2:7">
      <c r="B4534" s="46"/>
      <c r="C4534" t="str">
        <f t="shared" si="652"/>
        <v/>
      </c>
      <c r="D4534" s="63">
        <f t="shared" si="653"/>
        <v>6.10680751173709</v>
      </c>
      <c r="E4534" t="str">
        <f t="shared" si="654"/>
        <v/>
      </c>
      <c r="F4534" t="str">
        <f t="shared" si="655"/>
        <v/>
      </c>
      <c r="G4534" t="str">
        <f t="shared" si="656"/>
        <v/>
      </c>
    </row>
    <row r="4535" spans="2:7">
      <c r="B4535" s="46"/>
      <c r="C4535" t="str">
        <f t="shared" si="652"/>
        <v/>
      </c>
      <c r="D4535" s="63">
        <f t="shared" si="653"/>
        <v>8.50821596244131</v>
      </c>
      <c r="E4535" t="str">
        <f t="shared" si="654"/>
        <v/>
      </c>
      <c r="F4535" t="str">
        <f t="shared" si="655"/>
        <v/>
      </c>
      <c r="G4535" t="str">
        <f t="shared" si="656"/>
        <v/>
      </c>
    </row>
    <row r="4536" spans="2:7">
      <c r="B4536" s="46"/>
      <c r="C4536" t="str">
        <f t="shared" si="652"/>
        <v/>
      </c>
      <c r="D4536" s="63">
        <f t="shared" si="653"/>
        <v>10.268779342723</v>
      </c>
      <c r="E4536" t="str">
        <f t="shared" si="654"/>
        <v/>
      </c>
      <c r="F4536" t="str">
        <f t="shared" si="655"/>
        <v/>
      </c>
      <c r="G4536" t="str">
        <f t="shared" si="656"/>
        <v/>
      </c>
    </row>
    <row r="4537" spans="2:7">
      <c r="B4537" s="46"/>
      <c r="C4537" t="str">
        <f t="shared" si="652"/>
        <v/>
      </c>
      <c r="D4537" s="63" t="str">
        <f t="shared" si="653"/>
        <v/>
      </c>
      <c r="E4537" t="str">
        <f t="shared" si="654"/>
        <v/>
      </c>
      <c r="F4537" t="str">
        <f t="shared" si="655"/>
        <v/>
      </c>
      <c r="G4537">
        <f t="shared" si="656"/>
        <v>7.67610062893082</v>
      </c>
    </row>
    <row r="4538" spans="2:7">
      <c r="B4538" s="46"/>
      <c r="C4538" t="str">
        <f t="shared" si="652"/>
        <v/>
      </c>
      <c r="D4538" s="63" t="str">
        <f t="shared" si="653"/>
        <v/>
      </c>
      <c r="E4538" t="str">
        <f t="shared" si="654"/>
        <v/>
      </c>
      <c r="F4538" t="str">
        <f t="shared" si="655"/>
        <v/>
      </c>
      <c r="G4538">
        <f t="shared" si="656"/>
        <v>10.3836477987421</v>
      </c>
    </row>
    <row r="4539" spans="2:7">
      <c r="B4539" s="46"/>
      <c r="C4539" t="str">
        <f t="shared" si="652"/>
        <v/>
      </c>
      <c r="D4539" s="63" t="str">
        <f t="shared" si="653"/>
        <v/>
      </c>
      <c r="E4539" t="str">
        <f t="shared" si="654"/>
        <v/>
      </c>
      <c r="F4539" t="str">
        <f t="shared" si="655"/>
        <v/>
      </c>
      <c r="G4539">
        <f t="shared" si="656"/>
        <v>13.2138364779874</v>
      </c>
    </row>
    <row r="4540" spans="2:7">
      <c r="B4540" s="46"/>
      <c r="C4540" t="str">
        <f t="shared" si="652"/>
        <v/>
      </c>
      <c r="D4540" s="63" t="str">
        <f t="shared" si="653"/>
        <v/>
      </c>
      <c r="E4540" t="str">
        <f t="shared" si="654"/>
        <v/>
      </c>
      <c r="F4540" t="str">
        <f t="shared" si="655"/>
        <v/>
      </c>
      <c r="G4540">
        <f t="shared" si="656"/>
        <v>14.7243186582809</v>
      </c>
    </row>
    <row r="4541" spans="2:7">
      <c r="B4541" s="46"/>
      <c r="C4541" t="str">
        <f t="shared" si="652"/>
        <v/>
      </c>
      <c r="D4541" s="63" t="str">
        <f t="shared" si="653"/>
        <v/>
      </c>
      <c r="E4541" t="str">
        <f t="shared" si="654"/>
        <v/>
      </c>
      <c r="F4541">
        <f t="shared" si="655"/>
        <v>9.17630385487529</v>
      </c>
      <c r="G4541" t="str">
        <f t="shared" si="656"/>
        <v/>
      </c>
    </row>
    <row r="4542" spans="2:7">
      <c r="B4542" s="46"/>
      <c r="C4542" t="str">
        <f t="shared" si="652"/>
        <v/>
      </c>
      <c r="D4542" s="63" t="str">
        <f t="shared" si="653"/>
        <v/>
      </c>
      <c r="E4542" t="str">
        <f t="shared" si="654"/>
        <v/>
      </c>
      <c r="F4542">
        <f t="shared" si="655"/>
        <v>12.328231292517</v>
      </c>
      <c r="G4542" t="str">
        <f t="shared" si="656"/>
        <v/>
      </c>
    </row>
    <row r="4543" spans="2:7">
      <c r="B4543" s="46"/>
      <c r="C4543" t="str">
        <f t="shared" si="652"/>
        <v/>
      </c>
      <c r="D4543" s="63" t="str">
        <f t="shared" si="653"/>
        <v/>
      </c>
      <c r="E4543" t="str">
        <f t="shared" si="654"/>
        <v/>
      </c>
      <c r="F4543">
        <f t="shared" si="655"/>
        <v>15.0017006802721</v>
      </c>
      <c r="G4543" t="str">
        <f t="shared" si="656"/>
        <v/>
      </c>
    </row>
    <row r="4544" spans="2:7">
      <c r="B4544" s="46"/>
      <c r="C4544">
        <f t="shared" si="652"/>
        <v>10.328125</v>
      </c>
      <c r="D4544" s="63" t="str">
        <f t="shared" si="653"/>
        <v/>
      </c>
      <c r="E4544" t="str">
        <f t="shared" si="654"/>
        <v/>
      </c>
      <c r="F4544" t="str">
        <f t="shared" si="655"/>
        <v/>
      </c>
      <c r="G4544" t="str">
        <f t="shared" si="656"/>
        <v/>
      </c>
    </row>
    <row r="4545" spans="2:7">
      <c r="B4545" s="46"/>
      <c r="C4545">
        <f t="shared" si="652"/>
        <v>14.5908564814815</v>
      </c>
      <c r="D4545" s="63" t="str">
        <f t="shared" si="653"/>
        <v/>
      </c>
      <c r="E4545" t="str">
        <f t="shared" si="654"/>
        <v/>
      </c>
      <c r="F4545" t="str">
        <f t="shared" si="655"/>
        <v/>
      </c>
      <c r="G4545" t="str">
        <f t="shared" si="656"/>
        <v/>
      </c>
    </row>
    <row r="4546" spans="2:7">
      <c r="B4546" s="46"/>
      <c r="C4546">
        <f t="shared" si="652"/>
        <v>14.9409722222222</v>
      </c>
      <c r="D4546" s="63" t="str">
        <f t="shared" si="653"/>
        <v/>
      </c>
      <c r="E4546" t="str">
        <f t="shared" si="654"/>
        <v/>
      </c>
      <c r="F4546" t="str">
        <f t="shared" si="655"/>
        <v/>
      </c>
      <c r="G4546" t="str">
        <f t="shared" si="656"/>
        <v/>
      </c>
    </row>
    <row r="4547" spans="2:7">
      <c r="B4547" s="46"/>
      <c r="C4547">
        <f t="shared" si="652"/>
        <v>19.2465277777778</v>
      </c>
      <c r="D4547" s="63" t="str">
        <f t="shared" si="653"/>
        <v/>
      </c>
      <c r="E4547" t="str">
        <f t="shared" si="654"/>
        <v/>
      </c>
      <c r="F4547" t="str">
        <f t="shared" si="655"/>
        <v/>
      </c>
      <c r="G4547" t="str">
        <f t="shared" si="656"/>
        <v/>
      </c>
    </row>
    <row r="4548" spans="2:7">
      <c r="B4548" s="46"/>
      <c r="C4548" t="str">
        <f t="shared" si="652"/>
        <v/>
      </c>
      <c r="D4548" s="63">
        <f t="shared" si="653"/>
        <v>15.0340375586854</v>
      </c>
      <c r="E4548" t="str">
        <f t="shared" si="654"/>
        <v/>
      </c>
      <c r="F4548" t="str">
        <f t="shared" si="655"/>
        <v/>
      </c>
      <c r="G4548" t="str">
        <f t="shared" si="656"/>
        <v/>
      </c>
    </row>
    <row r="4549" spans="2:7">
      <c r="B4549" s="46"/>
      <c r="C4549" t="str">
        <f t="shared" si="652"/>
        <v/>
      </c>
      <c r="D4549" s="63">
        <f t="shared" si="653"/>
        <v>15.0340375586854</v>
      </c>
      <c r="E4549" t="str">
        <f t="shared" si="654"/>
        <v/>
      </c>
      <c r="F4549" t="str">
        <f t="shared" si="655"/>
        <v/>
      </c>
      <c r="G4549" t="str">
        <f t="shared" si="656"/>
        <v/>
      </c>
    </row>
    <row r="4550" spans="2:7">
      <c r="B4550" s="46"/>
      <c r="C4550" t="str">
        <f t="shared" si="652"/>
        <v/>
      </c>
      <c r="D4550" s="63">
        <f t="shared" si="653"/>
        <v>16.1343896713615</v>
      </c>
      <c r="E4550" t="str">
        <f t="shared" si="654"/>
        <v/>
      </c>
      <c r="F4550" t="str">
        <f t="shared" si="655"/>
        <v/>
      </c>
      <c r="G4550" t="str">
        <f t="shared" si="656"/>
        <v/>
      </c>
    </row>
    <row r="4551" spans="2:7">
      <c r="B4551" s="46"/>
      <c r="C4551" t="str">
        <f t="shared" si="652"/>
        <v/>
      </c>
      <c r="D4551" s="63">
        <f t="shared" si="653"/>
        <v>16.8620892018779</v>
      </c>
      <c r="E4551" t="str">
        <f t="shared" si="654"/>
        <v/>
      </c>
      <c r="F4551" t="str">
        <f t="shared" si="655"/>
        <v/>
      </c>
      <c r="G4551" t="str">
        <f t="shared" si="656"/>
        <v/>
      </c>
    </row>
    <row r="4552" spans="2:7">
      <c r="B4552" s="46"/>
      <c r="C4552" t="str">
        <f t="shared" si="652"/>
        <v/>
      </c>
      <c r="D4552" s="63" t="str">
        <f t="shared" si="653"/>
        <v/>
      </c>
      <c r="E4552">
        <f t="shared" si="654"/>
        <v>16.1245098039216</v>
      </c>
      <c r="F4552" t="str">
        <f t="shared" si="655"/>
        <v/>
      </c>
      <c r="G4552" t="str">
        <f t="shared" si="656"/>
        <v/>
      </c>
    </row>
    <row r="4553" spans="2:7">
      <c r="B4553" s="46"/>
      <c r="C4553" t="str">
        <f t="shared" si="652"/>
        <v/>
      </c>
      <c r="D4553" s="63" t="str">
        <f t="shared" si="653"/>
        <v/>
      </c>
      <c r="E4553">
        <f t="shared" si="654"/>
        <v>17.9225490196078</v>
      </c>
      <c r="F4553" t="str">
        <f t="shared" si="655"/>
        <v/>
      </c>
      <c r="G4553" t="str">
        <f t="shared" si="656"/>
        <v/>
      </c>
    </row>
    <row r="4554" spans="2:7">
      <c r="B4554" s="46"/>
      <c r="C4554" t="str">
        <f t="shared" si="652"/>
        <v/>
      </c>
      <c r="D4554" s="63" t="str">
        <f t="shared" si="653"/>
        <v/>
      </c>
      <c r="E4554">
        <f t="shared" si="654"/>
        <v>18.7166666666667</v>
      </c>
      <c r="F4554" t="str">
        <f t="shared" si="655"/>
        <v/>
      </c>
      <c r="G4554" t="str">
        <f t="shared" si="656"/>
        <v/>
      </c>
    </row>
    <row r="4555" spans="2:7">
      <c r="B4555" s="46"/>
      <c r="C4555" t="str">
        <f t="shared" si="652"/>
        <v/>
      </c>
      <c r="D4555" s="63" t="str">
        <f t="shared" si="653"/>
        <v/>
      </c>
      <c r="E4555">
        <f t="shared" si="654"/>
        <v>18.9539215686275</v>
      </c>
      <c r="F4555" t="str">
        <f t="shared" si="655"/>
        <v/>
      </c>
      <c r="G4555" t="str">
        <f t="shared" si="656"/>
        <v/>
      </c>
    </row>
    <row r="4556" spans="2:7">
      <c r="B4556" s="46"/>
      <c r="C4556" t="str">
        <f t="shared" si="652"/>
        <v/>
      </c>
      <c r="D4556" s="63" t="str">
        <f t="shared" si="653"/>
        <v/>
      </c>
      <c r="E4556" t="str">
        <f t="shared" si="654"/>
        <v/>
      </c>
      <c r="F4556" t="str">
        <f t="shared" si="655"/>
        <v/>
      </c>
      <c r="G4556">
        <f t="shared" si="656"/>
        <v>15.4449685534591</v>
      </c>
    </row>
    <row r="4557" spans="2:7">
      <c r="B4557" s="46"/>
      <c r="C4557" t="str">
        <f t="shared" si="652"/>
        <v/>
      </c>
      <c r="D4557" s="63" t="str">
        <f t="shared" si="653"/>
        <v/>
      </c>
      <c r="E4557" t="str">
        <f t="shared" si="654"/>
        <v/>
      </c>
      <c r="F4557" t="str">
        <f t="shared" si="655"/>
        <v/>
      </c>
      <c r="G4557">
        <f t="shared" si="656"/>
        <v>16.4669811320755</v>
      </c>
    </row>
    <row r="4558" spans="2:7">
      <c r="B4558" s="46"/>
      <c r="C4558" t="str">
        <f t="shared" si="652"/>
        <v/>
      </c>
      <c r="D4558" s="63" t="str">
        <f t="shared" si="653"/>
        <v/>
      </c>
      <c r="E4558" t="str">
        <f t="shared" si="654"/>
        <v/>
      </c>
      <c r="F4558" t="str">
        <f t="shared" si="655"/>
        <v/>
      </c>
      <c r="G4558">
        <f t="shared" si="656"/>
        <v>17.7877358490566</v>
      </c>
    </row>
    <row r="4559" spans="2:7">
      <c r="B4559" s="46"/>
      <c r="C4559" t="str">
        <f t="shared" si="652"/>
        <v/>
      </c>
      <c r="D4559" s="63" t="str">
        <f t="shared" si="653"/>
        <v/>
      </c>
      <c r="E4559" t="str">
        <f t="shared" si="654"/>
        <v/>
      </c>
      <c r="F4559" t="str">
        <f t="shared" si="655"/>
        <v/>
      </c>
      <c r="G4559">
        <f t="shared" si="656"/>
        <v>18.377358490566</v>
      </c>
    </row>
    <row r="4560" spans="2:7">
      <c r="B4560" s="46"/>
      <c r="C4560" t="str">
        <f t="shared" si="652"/>
        <v/>
      </c>
      <c r="D4560" s="63" t="str">
        <f t="shared" si="653"/>
        <v/>
      </c>
      <c r="E4560" t="str">
        <f t="shared" si="654"/>
        <v/>
      </c>
      <c r="F4560">
        <f t="shared" si="655"/>
        <v>15.4234693877551</v>
      </c>
      <c r="G4560" t="str">
        <f t="shared" si="656"/>
        <v/>
      </c>
    </row>
    <row r="4561" spans="2:7">
      <c r="B4561" s="46"/>
      <c r="C4561" t="str">
        <f t="shared" si="652"/>
        <v/>
      </c>
      <c r="D4561" s="63" t="str">
        <f t="shared" si="653"/>
        <v/>
      </c>
      <c r="E4561" t="str">
        <f t="shared" si="654"/>
        <v/>
      </c>
      <c r="F4561">
        <f t="shared" si="655"/>
        <v>16.7698412698413</v>
      </c>
      <c r="G4561" t="str">
        <f t="shared" si="656"/>
        <v/>
      </c>
    </row>
    <row r="4562" spans="2:7">
      <c r="B4562" s="46"/>
      <c r="C4562" t="str">
        <f t="shared" si="652"/>
        <v/>
      </c>
      <c r="D4562" s="63" t="str">
        <f t="shared" si="653"/>
        <v/>
      </c>
      <c r="E4562" t="str">
        <f t="shared" si="654"/>
        <v/>
      </c>
      <c r="F4562">
        <f t="shared" si="655"/>
        <v>18.109410430839</v>
      </c>
      <c r="G4562" t="str">
        <f t="shared" si="656"/>
        <v/>
      </c>
    </row>
    <row r="4563" spans="2:7">
      <c r="B4563" s="46"/>
      <c r="C4563" t="str">
        <f t="shared" si="652"/>
        <v/>
      </c>
      <c r="D4563" s="63" t="str">
        <f t="shared" si="653"/>
        <v/>
      </c>
      <c r="E4563" t="str">
        <f t="shared" si="654"/>
        <v/>
      </c>
      <c r="F4563">
        <f t="shared" si="655"/>
        <v>20.1581632653061</v>
      </c>
      <c r="G4563" t="str">
        <f t="shared" si="656"/>
        <v/>
      </c>
    </row>
    <row r="4564" spans="2:7">
      <c r="B4564" s="46"/>
      <c r="C4564" t="str">
        <f t="shared" si="652"/>
        <v/>
      </c>
      <c r="D4564" s="63" t="str">
        <f t="shared" si="653"/>
        <v/>
      </c>
      <c r="E4564" t="str">
        <f t="shared" si="654"/>
        <v/>
      </c>
      <c r="F4564">
        <f t="shared" si="655"/>
        <v>22.1581632653061</v>
      </c>
      <c r="G4564" t="str">
        <f t="shared" si="656"/>
        <v/>
      </c>
    </row>
    <row r="4565" spans="2:7">
      <c r="B4565" s="46"/>
      <c r="C4565" t="str">
        <f t="shared" si="652"/>
        <v/>
      </c>
      <c r="D4565" s="63" t="str">
        <f t="shared" si="653"/>
        <v/>
      </c>
      <c r="E4565" t="str">
        <f t="shared" si="654"/>
        <v/>
      </c>
      <c r="F4565">
        <f t="shared" si="655"/>
        <v>22.8781179138322</v>
      </c>
      <c r="G4565" t="str">
        <f t="shared" si="656"/>
        <v/>
      </c>
    </row>
    <row r="4566" spans="2:7">
      <c r="B4566" s="46"/>
      <c r="C4566" t="str">
        <f t="shared" si="652"/>
        <v/>
      </c>
      <c r="D4566" s="63">
        <f t="shared" si="653"/>
        <v>17.3022300469484</v>
      </c>
      <c r="E4566" t="str">
        <f t="shared" si="654"/>
        <v/>
      </c>
      <c r="F4566" t="str">
        <f t="shared" si="655"/>
        <v/>
      </c>
      <c r="G4566" t="str">
        <f t="shared" si="656"/>
        <v/>
      </c>
    </row>
    <row r="4567" spans="2:7">
      <c r="B4567" s="46"/>
      <c r="C4567" t="str">
        <f t="shared" si="652"/>
        <v/>
      </c>
      <c r="D4567" s="63">
        <f t="shared" si="653"/>
        <v>22.837441314554</v>
      </c>
      <c r="E4567" t="str">
        <f t="shared" si="654"/>
        <v/>
      </c>
      <c r="F4567" t="str">
        <f t="shared" si="655"/>
        <v/>
      </c>
      <c r="G4567" t="str">
        <f t="shared" si="656"/>
        <v/>
      </c>
    </row>
    <row r="4568" spans="2:7">
      <c r="B4568" s="46"/>
      <c r="C4568" t="str">
        <f t="shared" si="652"/>
        <v/>
      </c>
      <c r="D4568" s="63">
        <f t="shared" si="653"/>
        <v>23.7089201877934</v>
      </c>
      <c r="E4568" t="str">
        <f t="shared" si="654"/>
        <v/>
      </c>
      <c r="F4568" t="str">
        <f t="shared" si="655"/>
        <v/>
      </c>
      <c r="G4568" t="str">
        <f t="shared" si="656"/>
        <v/>
      </c>
    </row>
    <row r="4569" spans="2:7">
      <c r="B4569" s="46"/>
      <c r="C4569" t="str">
        <f t="shared" si="652"/>
        <v/>
      </c>
      <c r="D4569" s="63">
        <f t="shared" si="653"/>
        <v>24.3427230046948</v>
      </c>
      <c r="E4569" t="str">
        <f t="shared" si="654"/>
        <v/>
      </c>
      <c r="F4569" t="str">
        <f t="shared" si="655"/>
        <v/>
      </c>
      <c r="G4569" t="str">
        <f t="shared" si="656"/>
        <v/>
      </c>
    </row>
    <row r="4570" spans="2:7">
      <c r="B4570" s="46"/>
      <c r="C4570" t="str">
        <f t="shared" si="652"/>
        <v/>
      </c>
      <c r="D4570" s="63">
        <f t="shared" si="653"/>
        <v>27.5704225352113</v>
      </c>
      <c r="E4570" t="str">
        <f t="shared" si="654"/>
        <v/>
      </c>
      <c r="F4570" t="str">
        <f t="shared" si="655"/>
        <v/>
      </c>
      <c r="G4570" t="str">
        <f t="shared" si="656"/>
        <v/>
      </c>
    </row>
    <row r="4571" spans="2:7">
      <c r="B4571" s="46"/>
      <c r="C4571" t="str">
        <f t="shared" si="652"/>
        <v/>
      </c>
      <c r="D4571" s="63" t="str">
        <f t="shared" si="653"/>
        <v/>
      </c>
      <c r="E4571" t="str">
        <f t="shared" si="654"/>
        <v/>
      </c>
      <c r="F4571" t="str">
        <f t="shared" si="655"/>
        <v/>
      </c>
      <c r="G4571">
        <f t="shared" si="656"/>
        <v>19.1949685534591</v>
      </c>
    </row>
    <row r="4572" spans="2:7">
      <c r="B4572" s="46"/>
      <c r="C4572" t="str">
        <f t="shared" si="652"/>
        <v/>
      </c>
      <c r="D4572" s="63" t="str">
        <f t="shared" si="653"/>
        <v/>
      </c>
      <c r="E4572" t="str">
        <f t="shared" si="654"/>
        <v/>
      </c>
      <c r="F4572" t="str">
        <f t="shared" si="655"/>
        <v/>
      </c>
      <c r="G4572">
        <f t="shared" si="656"/>
        <v>21.9606918238994</v>
      </c>
    </row>
    <row r="4573" spans="2:7">
      <c r="B4573" s="46"/>
      <c r="C4573" t="str">
        <f t="shared" si="652"/>
        <v/>
      </c>
      <c r="D4573" s="63" t="str">
        <f t="shared" si="653"/>
        <v/>
      </c>
      <c r="E4573" t="str">
        <f t="shared" si="654"/>
        <v/>
      </c>
      <c r="F4573" t="str">
        <f t="shared" si="655"/>
        <v/>
      </c>
      <c r="G4573">
        <f t="shared" si="656"/>
        <v>21.9606918238994</v>
      </c>
    </row>
    <row r="4574" spans="2:7">
      <c r="B4574" s="46"/>
      <c r="C4574" t="str">
        <f t="shared" si="652"/>
        <v/>
      </c>
      <c r="D4574" s="63" t="str">
        <f t="shared" si="653"/>
        <v/>
      </c>
      <c r="E4574" t="str">
        <f t="shared" si="654"/>
        <v/>
      </c>
      <c r="F4574" t="str">
        <f t="shared" si="655"/>
        <v/>
      </c>
      <c r="G4574">
        <f t="shared" si="656"/>
        <v>25.2222222222222</v>
      </c>
    </row>
    <row r="4575" spans="2:7">
      <c r="B4575" s="46"/>
      <c r="C4575" t="str">
        <f t="shared" si="652"/>
        <v/>
      </c>
      <c r="D4575" s="63" t="str">
        <f t="shared" si="653"/>
        <v/>
      </c>
      <c r="E4575">
        <f t="shared" si="654"/>
        <v>22.268137254902</v>
      </c>
      <c r="F4575" t="str">
        <f t="shared" si="655"/>
        <v/>
      </c>
      <c r="G4575" t="str">
        <f t="shared" si="656"/>
        <v/>
      </c>
    </row>
    <row r="4576" spans="2:7">
      <c r="B4576" s="46"/>
      <c r="C4576" t="str">
        <f t="shared" si="652"/>
        <v/>
      </c>
      <c r="D4576" s="63" t="str">
        <f t="shared" si="653"/>
        <v/>
      </c>
      <c r="E4576">
        <f t="shared" si="654"/>
        <v>22.268137254902</v>
      </c>
      <c r="F4576" t="str">
        <f t="shared" si="655"/>
        <v/>
      </c>
      <c r="G4576" t="str">
        <f t="shared" si="656"/>
        <v/>
      </c>
    </row>
    <row r="4577" spans="2:7">
      <c r="B4577" s="46"/>
      <c r="C4577" t="str">
        <f t="shared" si="652"/>
        <v/>
      </c>
      <c r="D4577" s="63" t="str">
        <f t="shared" si="653"/>
        <v/>
      </c>
      <c r="E4577">
        <f t="shared" si="654"/>
        <v>24.6995098039216</v>
      </c>
      <c r="F4577" t="str">
        <f t="shared" si="655"/>
        <v/>
      </c>
      <c r="G4577" t="str">
        <f t="shared" si="656"/>
        <v/>
      </c>
    </row>
    <row r="4578" spans="2:7">
      <c r="B4578" s="46"/>
      <c r="C4578" t="str">
        <f t="shared" si="652"/>
        <v/>
      </c>
      <c r="D4578" s="63" t="str">
        <f t="shared" si="653"/>
        <v/>
      </c>
      <c r="E4578">
        <f t="shared" si="654"/>
        <v>25.3416666666667</v>
      </c>
      <c r="F4578" t="str">
        <f t="shared" si="655"/>
        <v/>
      </c>
      <c r="G4578" t="str">
        <f t="shared" si="656"/>
        <v/>
      </c>
    </row>
    <row r="4579" spans="2:7">
      <c r="B4579" s="46"/>
      <c r="C4579">
        <f t="shared" si="652"/>
        <v>19.5358796296296</v>
      </c>
      <c r="D4579" s="63" t="str">
        <f t="shared" si="653"/>
        <v/>
      </c>
      <c r="E4579" t="str">
        <f t="shared" si="654"/>
        <v/>
      </c>
      <c r="F4579" t="str">
        <f t="shared" si="655"/>
        <v/>
      </c>
      <c r="G4579" t="str">
        <f t="shared" si="656"/>
        <v/>
      </c>
    </row>
    <row r="4580" spans="2:7">
      <c r="B4580" s="46"/>
      <c r="C4580">
        <f t="shared" si="652"/>
        <v>20.1608796296296</v>
      </c>
      <c r="D4580" s="63" t="str">
        <f t="shared" si="653"/>
        <v/>
      </c>
      <c r="E4580" t="str">
        <f t="shared" si="654"/>
        <v/>
      </c>
      <c r="F4580" t="str">
        <f t="shared" si="655"/>
        <v/>
      </c>
      <c r="G4580" t="str">
        <f t="shared" si="656"/>
        <v/>
      </c>
    </row>
    <row r="4581" spans="2:7">
      <c r="B4581" s="46"/>
      <c r="C4581">
        <f t="shared" si="652"/>
        <v>21.7233796296296</v>
      </c>
      <c r="D4581" s="63" t="str">
        <f t="shared" si="653"/>
        <v/>
      </c>
      <c r="E4581" t="str">
        <f t="shared" si="654"/>
        <v/>
      </c>
      <c r="F4581" t="str">
        <f t="shared" si="655"/>
        <v/>
      </c>
      <c r="G4581" t="str">
        <f t="shared" si="656"/>
        <v/>
      </c>
    </row>
    <row r="4582" spans="2:7">
      <c r="B4582" s="46"/>
      <c r="C4582">
        <f t="shared" si="652"/>
        <v>22.7054398148148</v>
      </c>
      <c r="D4582" s="63" t="str">
        <f t="shared" si="653"/>
        <v/>
      </c>
      <c r="E4582" t="str">
        <f t="shared" si="654"/>
        <v/>
      </c>
      <c r="F4582" t="str">
        <f t="shared" si="655"/>
        <v/>
      </c>
      <c r="G4582" t="str">
        <f t="shared" si="656"/>
        <v/>
      </c>
    </row>
    <row r="4583" spans="2:7">
      <c r="B4583" s="46"/>
      <c r="C4583">
        <f t="shared" si="652"/>
        <v>22.7054398148148</v>
      </c>
      <c r="D4583" s="63" t="str">
        <f t="shared" si="653"/>
        <v/>
      </c>
      <c r="E4583" t="str">
        <f t="shared" si="654"/>
        <v/>
      </c>
      <c r="F4583" t="str">
        <f t="shared" si="655"/>
        <v/>
      </c>
      <c r="G4583" t="str">
        <f t="shared" si="656"/>
        <v/>
      </c>
    </row>
    <row r="4584" spans="2:7">
      <c r="B4584" s="46"/>
      <c r="C4584">
        <f t="shared" ref="C4584:C4608" si="657">IF(J72=1,S72,"")</f>
        <v>22.8512731481482</v>
      </c>
      <c r="D4584" s="63" t="str">
        <f t="shared" ref="D4584:D4608" si="658">IF(J72=2,S72,"")</f>
        <v/>
      </c>
      <c r="E4584" t="str">
        <f t="shared" ref="E4584:E4608" si="659">IF(J72=3,S72,"")</f>
        <v/>
      </c>
      <c r="F4584" t="str">
        <f t="shared" ref="F4584:F4608" si="660">IF(J72=4,S72,"")</f>
        <v/>
      </c>
      <c r="G4584" t="str">
        <f t="shared" ref="G4584:G4608" si="661">IF(J72=5,S72,"")</f>
        <v/>
      </c>
    </row>
    <row r="4585" spans="2:7">
      <c r="B4585" s="46"/>
      <c r="C4585">
        <f t="shared" si="657"/>
        <v>34.4068287037037</v>
      </c>
      <c r="D4585" s="63" t="str">
        <f t="shared" si="658"/>
        <v/>
      </c>
      <c r="E4585" t="str">
        <f t="shared" si="659"/>
        <v/>
      </c>
      <c r="F4585" t="str">
        <f t="shared" si="660"/>
        <v/>
      </c>
      <c r="G4585" t="str">
        <f t="shared" si="661"/>
        <v/>
      </c>
    </row>
    <row r="4586" spans="2:7">
      <c r="B4586" s="46"/>
      <c r="C4586">
        <f t="shared" si="657"/>
        <v>34.4068287037037</v>
      </c>
      <c r="D4586" s="63" t="str">
        <f t="shared" si="658"/>
        <v/>
      </c>
      <c r="E4586" t="str">
        <f t="shared" si="659"/>
        <v/>
      </c>
      <c r="F4586" t="str">
        <f t="shared" si="660"/>
        <v/>
      </c>
      <c r="G4586" t="str">
        <f t="shared" si="661"/>
        <v/>
      </c>
    </row>
    <row r="4587" spans="2:7">
      <c r="B4587" s="46"/>
      <c r="C4587">
        <f t="shared" si="657"/>
        <v>35.5827546296296</v>
      </c>
      <c r="D4587" s="63" t="str">
        <f t="shared" si="658"/>
        <v/>
      </c>
      <c r="E4587" t="str">
        <f t="shared" si="659"/>
        <v/>
      </c>
      <c r="F4587" t="str">
        <f t="shared" si="660"/>
        <v/>
      </c>
      <c r="G4587" t="str">
        <f t="shared" si="661"/>
        <v/>
      </c>
    </row>
    <row r="4588" spans="2:7">
      <c r="B4588" s="46"/>
      <c r="C4588">
        <f t="shared" si="657"/>
        <v>36.7893518518519</v>
      </c>
      <c r="D4588" s="63" t="str">
        <f t="shared" si="658"/>
        <v/>
      </c>
      <c r="E4588" t="str">
        <f t="shared" si="659"/>
        <v/>
      </c>
      <c r="F4588" t="str">
        <f t="shared" si="660"/>
        <v/>
      </c>
      <c r="G4588" t="str">
        <f t="shared" si="661"/>
        <v/>
      </c>
    </row>
    <row r="4589" spans="2:7">
      <c r="B4589" s="46"/>
      <c r="C4589" t="str">
        <f t="shared" si="657"/>
        <v/>
      </c>
      <c r="D4589" s="63" t="str">
        <f t="shared" si="658"/>
        <v/>
      </c>
      <c r="E4589" t="str">
        <f t="shared" si="659"/>
        <v/>
      </c>
      <c r="F4589">
        <f t="shared" si="660"/>
        <v>23.4404761904762</v>
      </c>
      <c r="G4589" t="str">
        <f t="shared" si="661"/>
        <v/>
      </c>
    </row>
    <row r="4590" spans="2:7">
      <c r="B4590" s="46"/>
      <c r="C4590" t="str">
        <f t="shared" si="657"/>
        <v/>
      </c>
      <c r="D4590" s="63" t="str">
        <f t="shared" si="658"/>
        <v/>
      </c>
      <c r="E4590" t="str">
        <f t="shared" si="659"/>
        <v/>
      </c>
      <c r="F4590">
        <f t="shared" si="660"/>
        <v>24.3616780045352</v>
      </c>
      <c r="G4590" t="str">
        <f t="shared" si="661"/>
        <v/>
      </c>
    </row>
    <row r="4591" spans="2:7">
      <c r="B4591" s="46"/>
      <c r="C4591" t="str">
        <f t="shared" si="657"/>
        <v/>
      </c>
      <c r="D4591" s="63" t="str">
        <f t="shared" si="658"/>
        <v/>
      </c>
      <c r="E4591" t="str">
        <f t="shared" si="659"/>
        <v/>
      </c>
      <c r="F4591">
        <f t="shared" si="660"/>
        <v>25.8378684807256</v>
      </c>
      <c r="G4591" t="str">
        <f t="shared" si="661"/>
        <v/>
      </c>
    </row>
    <row r="4592" spans="2:7">
      <c r="B4592" s="46"/>
      <c r="C4592" t="str">
        <f t="shared" si="657"/>
        <v/>
      </c>
      <c r="D4592" s="63" t="str">
        <f t="shared" si="658"/>
        <v/>
      </c>
      <c r="E4592" t="str">
        <f t="shared" si="659"/>
        <v/>
      </c>
      <c r="F4592">
        <f t="shared" si="660"/>
        <v>29.4625850340136</v>
      </c>
      <c r="G4592" t="str">
        <f t="shared" si="661"/>
        <v/>
      </c>
    </row>
    <row r="4593" spans="2:7">
      <c r="B4593" s="46"/>
      <c r="C4593" t="str">
        <f t="shared" si="657"/>
        <v/>
      </c>
      <c r="D4593" s="63" t="str">
        <f t="shared" si="658"/>
        <v/>
      </c>
      <c r="E4593" t="str">
        <f t="shared" si="659"/>
        <v/>
      </c>
      <c r="F4593">
        <f t="shared" si="660"/>
        <v>30.092970521542</v>
      </c>
      <c r="G4593" t="str">
        <f t="shared" si="661"/>
        <v/>
      </c>
    </row>
    <row r="4594" spans="2:7">
      <c r="B4594" s="46"/>
      <c r="C4594" t="str">
        <f t="shared" si="657"/>
        <v/>
      </c>
      <c r="D4594" s="63" t="str">
        <f t="shared" si="658"/>
        <v/>
      </c>
      <c r="E4594" t="str">
        <f t="shared" si="659"/>
        <v/>
      </c>
      <c r="F4594">
        <f t="shared" si="660"/>
        <v>30.8809523809524</v>
      </c>
      <c r="G4594" t="str">
        <f t="shared" si="661"/>
        <v/>
      </c>
    </row>
    <row r="4595" spans="2:7">
      <c r="B4595" s="46"/>
      <c r="C4595" t="str">
        <f t="shared" si="657"/>
        <v/>
      </c>
      <c r="D4595" s="63" t="str">
        <f t="shared" si="658"/>
        <v/>
      </c>
      <c r="E4595" t="str">
        <f t="shared" si="659"/>
        <v/>
      </c>
      <c r="F4595" t="str">
        <f t="shared" si="660"/>
        <v/>
      </c>
      <c r="G4595">
        <f t="shared" si="661"/>
        <v>26.0235849056604</v>
      </c>
    </row>
    <row r="4596" spans="2:7">
      <c r="B4596" s="46"/>
      <c r="C4596" t="str">
        <f t="shared" si="657"/>
        <v/>
      </c>
      <c r="D4596" s="63" t="str">
        <f t="shared" si="658"/>
        <v/>
      </c>
      <c r="E4596" t="str">
        <f t="shared" si="659"/>
        <v/>
      </c>
      <c r="F4596" t="str">
        <f t="shared" si="660"/>
        <v/>
      </c>
      <c r="G4596">
        <f t="shared" si="661"/>
        <v>26.8977987421384</v>
      </c>
    </row>
    <row r="4597" spans="2:7">
      <c r="B4597" s="46"/>
      <c r="C4597" t="str">
        <f t="shared" si="657"/>
        <v/>
      </c>
      <c r="D4597" s="63" t="str">
        <f t="shared" si="658"/>
        <v/>
      </c>
      <c r="E4597" t="str">
        <f t="shared" si="659"/>
        <v/>
      </c>
      <c r="F4597" t="str">
        <f t="shared" si="660"/>
        <v/>
      </c>
      <c r="G4597">
        <f t="shared" si="661"/>
        <v>27.8448637316562</v>
      </c>
    </row>
    <row r="4598" spans="2:7">
      <c r="B4598" s="46"/>
      <c r="C4598" t="str">
        <f t="shared" si="657"/>
        <v/>
      </c>
      <c r="D4598" s="63" t="str">
        <f t="shared" si="658"/>
        <v/>
      </c>
      <c r="E4598" t="str">
        <f t="shared" si="659"/>
        <v/>
      </c>
      <c r="F4598" t="str">
        <f t="shared" si="660"/>
        <v/>
      </c>
      <c r="G4598">
        <f t="shared" si="661"/>
        <v>29.229035639413</v>
      </c>
    </row>
    <row r="4599" spans="2:7">
      <c r="B4599" s="46"/>
      <c r="C4599" t="str">
        <f t="shared" si="657"/>
        <v/>
      </c>
      <c r="D4599" s="63" t="str">
        <f t="shared" si="658"/>
        <v/>
      </c>
      <c r="E4599">
        <f t="shared" si="659"/>
        <v>25.5460784313725</v>
      </c>
      <c r="F4599" t="str">
        <f t="shared" si="660"/>
        <v/>
      </c>
      <c r="G4599" t="str">
        <f t="shared" si="661"/>
        <v/>
      </c>
    </row>
    <row r="4600" spans="2:7">
      <c r="B4600" s="46"/>
      <c r="C4600" t="str">
        <f t="shared" si="657"/>
        <v/>
      </c>
      <c r="D4600" s="63" t="str">
        <f t="shared" si="658"/>
        <v/>
      </c>
      <c r="E4600">
        <f t="shared" si="659"/>
        <v>28.8676470588235</v>
      </c>
      <c r="F4600" t="str">
        <f t="shared" si="660"/>
        <v/>
      </c>
      <c r="G4600" t="str">
        <f t="shared" si="661"/>
        <v/>
      </c>
    </row>
    <row r="4601" spans="2:7">
      <c r="B4601" s="46"/>
      <c r="C4601">
        <f t="shared" si="657"/>
        <v>39.1041666666667</v>
      </c>
      <c r="D4601" s="63" t="str">
        <f t="shared" si="658"/>
        <v/>
      </c>
      <c r="E4601" t="str">
        <f t="shared" si="659"/>
        <v/>
      </c>
      <c r="F4601" t="str">
        <f t="shared" si="660"/>
        <v/>
      </c>
      <c r="G4601" t="str">
        <f t="shared" si="661"/>
        <v/>
      </c>
    </row>
    <row r="4602" spans="2:7">
      <c r="B4602" s="46"/>
      <c r="C4602" t="str">
        <f t="shared" si="657"/>
        <v/>
      </c>
      <c r="D4602" s="63" t="str">
        <f t="shared" si="658"/>
        <v/>
      </c>
      <c r="E4602">
        <f t="shared" si="659"/>
        <v>30.843137254902</v>
      </c>
      <c r="F4602" t="str">
        <f t="shared" si="660"/>
        <v/>
      </c>
      <c r="G4602" t="str">
        <f t="shared" si="661"/>
        <v/>
      </c>
    </row>
    <row r="4603" spans="2:7">
      <c r="B4603" s="46"/>
      <c r="C4603" t="str">
        <f t="shared" si="657"/>
        <v/>
      </c>
      <c r="D4603" s="63" t="str">
        <f t="shared" si="658"/>
        <v/>
      </c>
      <c r="E4603">
        <f t="shared" si="659"/>
        <v>32.2524509803922</v>
      </c>
      <c r="F4603" t="str">
        <f t="shared" si="660"/>
        <v/>
      </c>
      <c r="G4603" t="str">
        <f t="shared" si="661"/>
        <v/>
      </c>
    </row>
    <row r="4604" spans="2:7">
      <c r="B4604" s="46"/>
      <c r="C4604" t="str">
        <f t="shared" si="657"/>
        <v/>
      </c>
      <c r="D4604" s="63">
        <f t="shared" si="658"/>
        <v>30.1643192488263</v>
      </c>
      <c r="E4604" t="str">
        <f t="shared" si="659"/>
        <v/>
      </c>
      <c r="F4604" t="str">
        <f t="shared" si="660"/>
        <v/>
      </c>
      <c r="G4604" t="str">
        <f t="shared" si="661"/>
        <v/>
      </c>
    </row>
    <row r="4605" spans="2:7">
      <c r="B4605" s="46"/>
      <c r="C4605" t="str">
        <f t="shared" si="657"/>
        <v/>
      </c>
      <c r="D4605" s="63">
        <f t="shared" si="658"/>
        <v>32.7840375586854</v>
      </c>
      <c r="E4605" t="str">
        <f t="shared" si="659"/>
        <v/>
      </c>
      <c r="F4605" t="str">
        <f t="shared" si="660"/>
        <v/>
      </c>
      <c r="G4605" t="str">
        <f t="shared" si="661"/>
        <v/>
      </c>
    </row>
    <row r="4606" spans="2:7">
      <c r="B4606" s="46"/>
      <c r="C4606" t="str">
        <f t="shared" si="657"/>
        <v/>
      </c>
      <c r="D4606" s="63">
        <f t="shared" si="658"/>
        <v>35.31279342723</v>
      </c>
      <c r="E4606" t="str">
        <f t="shared" si="659"/>
        <v/>
      </c>
      <c r="F4606" t="str">
        <f t="shared" si="660"/>
        <v/>
      </c>
      <c r="G4606" t="str">
        <f t="shared" si="661"/>
        <v/>
      </c>
    </row>
    <row r="4607" spans="2:7">
      <c r="B4607" s="46"/>
      <c r="C4607" t="str">
        <f t="shared" si="657"/>
        <v/>
      </c>
      <c r="D4607" s="63">
        <f t="shared" si="658"/>
        <v>37.6895539906103</v>
      </c>
      <c r="E4607" t="str">
        <f t="shared" si="659"/>
        <v/>
      </c>
      <c r="F4607" t="str">
        <f t="shared" si="660"/>
        <v/>
      </c>
      <c r="G4607" t="str">
        <f t="shared" si="661"/>
        <v/>
      </c>
    </row>
    <row r="4608" ht="15.75" spans="2:7">
      <c r="B4608" s="46"/>
      <c r="C4608" t="str">
        <f t="shared" si="657"/>
        <v/>
      </c>
      <c r="D4608" s="63" t="str">
        <f t="shared" si="658"/>
        <v/>
      </c>
      <c r="E4608" t="str">
        <f t="shared" si="659"/>
        <v/>
      </c>
      <c r="F4608" t="str">
        <f t="shared" si="660"/>
        <v/>
      </c>
      <c r="G4608">
        <f t="shared" si="661"/>
        <v>31.5120545073375</v>
      </c>
    </row>
    <row r="4609" spans="2:7">
      <c r="B4609" s="74" t="s">
        <v>269</v>
      </c>
      <c r="C4609" s="75">
        <f>MAX(C4520:C4608)</f>
        <v>39.1041666666667</v>
      </c>
      <c r="D4609" s="75">
        <f t="shared" ref="D4609:G4609" si="662">MAX(D4520:D4608)</f>
        <v>37.6895539906103</v>
      </c>
      <c r="E4609" s="75">
        <f t="shared" si="662"/>
        <v>32.2524509803922</v>
      </c>
      <c r="F4609" s="75">
        <f t="shared" si="662"/>
        <v>30.8809523809524</v>
      </c>
      <c r="G4609" s="75">
        <f t="shared" si="662"/>
        <v>31.5120545073375</v>
      </c>
    </row>
    <row r="4610" spans="2:7">
      <c r="B4610" s="76" t="s">
        <v>270</v>
      </c>
      <c r="C4610" s="77">
        <v>1</v>
      </c>
      <c r="D4610" s="78">
        <v>2</v>
      </c>
      <c r="E4610">
        <v>3</v>
      </c>
      <c r="F4610">
        <v>4</v>
      </c>
      <c r="G4610">
        <v>5</v>
      </c>
    </row>
    <row r="4611" spans="2:7">
      <c r="B4611" s="79" t="s">
        <v>271</v>
      </c>
      <c r="C4611" s="72">
        <f>HLOOKUP(MIN(C4609:G4609),C4609:G4610,2,FALSE)</f>
        <v>4</v>
      </c>
      <c r="D4611" s="80"/>
    </row>
    <row r="4613" ht="15.75" spans="2:7">
      <c r="B4613" s="43" t="s">
        <v>360</v>
      </c>
      <c r="C4613" s="44"/>
      <c r="D4613" s="45"/>
    </row>
    <row r="4614" spans="2:7">
      <c r="B4614" s="46"/>
      <c r="C4614" s="61" t="s">
        <v>264</v>
      </c>
      <c r="D4614" s="61" t="s">
        <v>265</v>
      </c>
      <c r="E4614" s="62" t="s">
        <v>286</v>
      </c>
      <c r="F4614" s="62" t="s">
        <v>287</v>
      </c>
      <c r="G4614" s="62" t="s">
        <v>288</v>
      </c>
    </row>
    <row r="4615" spans="2:7">
      <c r="B4615" s="46"/>
      <c r="C4615">
        <f t="shared" ref="C4615:C4678" si="663">IF(J8=1,S8,"")</f>
        <v>0.700231481481482</v>
      </c>
      <c r="D4615" s="63" t="str">
        <f t="shared" ref="D4615:D4678" si="664">IF(J8=2,S8,"")</f>
        <v/>
      </c>
      <c r="E4615" t="str">
        <f t="shared" ref="E4615:E4678" si="665">IF(J8=3,S8,"")</f>
        <v/>
      </c>
      <c r="F4615" t="str">
        <f t="shared" ref="F4615:F4678" si="666">IF(J8=4,S8,"")</f>
        <v/>
      </c>
      <c r="G4615" t="str">
        <f t="shared" ref="G4615:G4678" si="667">IF(J8=5,S8,"")</f>
        <v/>
      </c>
    </row>
    <row r="4616" spans="2:7">
      <c r="B4616" s="46"/>
      <c r="C4616" t="str">
        <f t="shared" si="663"/>
        <v/>
      </c>
      <c r="D4616" s="63">
        <f t="shared" si="664"/>
        <v>0.734154929577465</v>
      </c>
      <c r="E4616" t="str">
        <f t="shared" si="665"/>
        <v/>
      </c>
      <c r="F4616" t="str">
        <f t="shared" si="666"/>
        <v/>
      </c>
      <c r="G4616" t="str">
        <f t="shared" si="667"/>
        <v/>
      </c>
    </row>
    <row r="4617" spans="2:7">
      <c r="B4617" s="46"/>
      <c r="C4617" t="str">
        <f t="shared" si="663"/>
        <v/>
      </c>
      <c r="D4617" s="63" t="str">
        <f t="shared" si="664"/>
        <v/>
      </c>
      <c r="E4617">
        <f t="shared" si="665"/>
        <v>1.83823529411765</v>
      </c>
      <c r="F4617" t="str">
        <f t="shared" si="666"/>
        <v/>
      </c>
      <c r="G4617" t="str">
        <f t="shared" si="667"/>
        <v/>
      </c>
    </row>
    <row r="4618" spans="2:7">
      <c r="B4618" s="46"/>
      <c r="C4618" t="str">
        <f t="shared" si="663"/>
        <v/>
      </c>
      <c r="D4618" s="63" t="str">
        <f t="shared" si="664"/>
        <v/>
      </c>
      <c r="E4618" t="str">
        <f t="shared" si="665"/>
        <v/>
      </c>
      <c r="F4618">
        <f t="shared" si="666"/>
        <v>4.28571428571429</v>
      </c>
      <c r="G4618" t="str">
        <f t="shared" si="667"/>
        <v/>
      </c>
    </row>
    <row r="4619" spans="2:7">
      <c r="B4619" s="46"/>
      <c r="C4619" t="str">
        <f t="shared" si="663"/>
        <v/>
      </c>
      <c r="D4619" s="63" t="str">
        <f t="shared" si="664"/>
        <v/>
      </c>
      <c r="E4619" t="str">
        <f t="shared" si="665"/>
        <v/>
      </c>
      <c r="F4619" t="str">
        <f t="shared" si="666"/>
        <v/>
      </c>
      <c r="G4619">
        <f t="shared" si="667"/>
        <v>3.43396226415094</v>
      </c>
    </row>
    <row r="4620" spans="2:7">
      <c r="B4620" s="46"/>
      <c r="C4620" t="str">
        <f t="shared" si="663"/>
        <v/>
      </c>
      <c r="D4620" s="63" t="str">
        <f t="shared" si="664"/>
        <v/>
      </c>
      <c r="E4620">
        <f t="shared" si="665"/>
        <v>14.5833333333333</v>
      </c>
      <c r="F4620" t="str">
        <f t="shared" si="666"/>
        <v/>
      </c>
      <c r="G4620" t="str">
        <f t="shared" si="667"/>
        <v/>
      </c>
    </row>
    <row r="4621" spans="2:7">
      <c r="B4621" s="46"/>
      <c r="C4621" t="str">
        <f t="shared" si="663"/>
        <v/>
      </c>
      <c r="D4621" s="63" t="str">
        <f t="shared" si="664"/>
        <v/>
      </c>
      <c r="E4621" t="str">
        <f t="shared" si="665"/>
        <v/>
      </c>
      <c r="F4621">
        <f t="shared" si="666"/>
        <v>6.42857142857143</v>
      </c>
      <c r="G4621" t="str">
        <f t="shared" si="667"/>
        <v/>
      </c>
    </row>
    <row r="4622" spans="2:7">
      <c r="B4622" s="46"/>
      <c r="C4622" t="str">
        <f t="shared" si="663"/>
        <v/>
      </c>
      <c r="D4622" s="63" t="str">
        <f t="shared" si="664"/>
        <v/>
      </c>
      <c r="E4622" t="str">
        <f t="shared" si="665"/>
        <v/>
      </c>
      <c r="F4622" t="str">
        <f t="shared" si="666"/>
        <v/>
      </c>
      <c r="G4622">
        <f t="shared" si="667"/>
        <v>3.84591194968553</v>
      </c>
    </row>
    <row r="4623" spans="2:7">
      <c r="B4623" s="46"/>
      <c r="C4623">
        <f t="shared" si="663"/>
        <v>0.844907407407407</v>
      </c>
      <c r="D4623" s="63" t="str">
        <f t="shared" si="664"/>
        <v/>
      </c>
      <c r="E4623" t="str">
        <f t="shared" si="665"/>
        <v/>
      </c>
      <c r="F4623" t="str">
        <f t="shared" si="666"/>
        <v/>
      </c>
      <c r="G4623" t="str">
        <f t="shared" si="667"/>
        <v/>
      </c>
    </row>
    <row r="4624" spans="2:7">
      <c r="B4624" s="46"/>
      <c r="C4624">
        <f t="shared" si="663"/>
        <v>6.79803240740741</v>
      </c>
      <c r="D4624" s="63" t="str">
        <f t="shared" si="664"/>
        <v/>
      </c>
      <c r="E4624" t="str">
        <f t="shared" si="665"/>
        <v/>
      </c>
      <c r="F4624" t="str">
        <f t="shared" si="666"/>
        <v/>
      </c>
      <c r="G4624" t="str">
        <f t="shared" si="667"/>
        <v/>
      </c>
    </row>
    <row r="4625" spans="2:7">
      <c r="B4625" s="46"/>
      <c r="C4625">
        <f t="shared" si="663"/>
        <v>6.79803240740741</v>
      </c>
      <c r="D4625" s="63" t="str">
        <f t="shared" si="664"/>
        <v/>
      </c>
      <c r="E4625" t="str">
        <f t="shared" si="665"/>
        <v/>
      </c>
      <c r="F4625" t="str">
        <f t="shared" si="666"/>
        <v/>
      </c>
      <c r="G4625" t="str">
        <f t="shared" si="667"/>
        <v/>
      </c>
    </row>
    <row r="4626" spans="2:7">
      <c r="B4626" s="46"/>
      <c r="C4626">
        <f t="shared" si="663"/>
        <v>7.52719907407408</v>
      </c>
      <c r="D4626" s="63" t="str">
        <f t="shared" si="664"/>
        <v/>
      </c>
      <c r="E4626" t="str">
        <f t="shared" si="665"/>
        <v/>
      </c>
      <c r="F4626" t="str">
        <f t="shared" si="666"/>
        <v/>
      </c>
      <c r="G4626" t="str">
        <f t="shared" si="667"/>
        <v/>
      </c>
    </row>
    <row r="4627" spans="2:7">
      <c r="B4627" s="46"/>
      <c r="C4627" t="str">
        <f t="shared" si="663"/>
        <v/>
      </c>
      <c r="D4627" s="63">
        <f t="shared" si="664"/>
        <v>2.7881455399061</v>
      </c>
      <c r="E4627" t="str">
        <f t="shared" si="665"/>
        <v/>
      </c>
      <c r="F4627" t="str">
        <f t="shared" si="666"/>
        <v/>
      </c>
      <c r="G4627" t="str">
        <f t="shared" si="667"/>
        <v/>
      </c>
    </row>
    <row r="4628" spans="2:7">
      <c r="B4628" s="46"/>
      <c r="C4628" t="str">
        <f t="shared" si="663"/>
        <v/>
      </c>
      <c r="D4628" s="63">
        <f t="shared" si="664"/>
        <v>4.47535211267606</v>
      </c>
      <c r="E4628" t="str">
        <f t="shared" si="665"/>
        <v/>
      </c>
      <c r="F4628" t="str">
        <f t="shared" si="666"/>
        <v/>
      </c>
      <c r="G4628" t="str">
        <f t="shared" si="667"/>
        <v/>
      </c>
    </row>
    <row r="4629" spans="2:7">
      <c r="B4629" s="46"/>
      <c r="C4629" t="str">
        <f t="shared" si="663"/>
        <v/>
      </c>
      <c r="D4629" s="63">
        <f t="shared" si="664"/>
        <v>6.10680751173709</v>
      </c>
      <c r="E4629" t="str">
        <f t="shared" si="665"/>
        <v/>
      </c>
      <c r="F4629" t="str">
        <f t="shared" si="666"/>
        <v/>
      </c>
      <c r="G4629" t="str">
        <f t="shared" si="667"/>
        <v/>
      </c>
    </row>
    <row r="4630" spans="2:7">
      <c r="B4630" s="46"/>
      <c r="C4630" t="str">
        <f t="shared" si="663"/>
        <v/>
      </c>
      <c r="D4630" s="63">
        <f t="shared" si="664"/>
        <v>8.50821596244131</v>
      </c>
      <c r="E4630" t="str">
        <f t="shared" si="665"/>
        <v/>
      </c>
      <c r="F4630" t="str">
        <f t="shared" si="666"/>
        <v/>
      </c>
      <c r="G4630" t="str">
        <f t="shared" si="667"/>
        <v/>
      </c>
    </row>
    <row r="4631" spans="2:7">
      <c r="B4631" s="46"/>
      <c r="C4631" t="str">
        <f t="shared" si="663"/>
        <v/>
      </c>
      <c r="D4631" s="63">
        <f t="shared" si="664"/>
        <v>10.268779342723</v>
      </c>
      <c r="E4631" t="str">
        <f t="shared" si="665"/>
        <v/>
      </c>
      <c r="F4631" t="str">
        <f t="shared" si="666"/>
        <v/>
      </c>
      <c r="G4631" t="str">
        <f t="shared" si="667"/>
        <v/>
      </c>
    </row>
    <row r="4632" spans="2:7">
      <c r="B4632" s="46"/>
      <c r="C4632" t="str">
        <f t="shared" si="663"/>
        <v/>
      </c>
      <c r="D4632" s="63" t="str">
        <f t="shared" si="664"/>
        <v/>
      </c>
      <c r="E4632" t="str">
        <f t="shared" si="665"/>
        <v/>
      </c>
      <c r="F4632" t="str">
        <f t="shared" si="666"/>
        <v/>
      </c>
      <c r="G4632">
        <f t="shared" si="667"/>
        <v>7.67610062893082</v>
      </c>
    </row>
    <row r="4633" spans="2:7">
      <c r="B4633" s="46"/>
      <c r="C4633" t="str">
        <f t="shared" si="663"/>
        <v/>
      </c>
      <c r="D4633" s="63" t="str">
        <f t="shared" si="664"/>
        <v/>
      </c>
      <c r="E4633" t="str">
        <f t="shared" si="665"/>
        <v/>
      </c>
      <c r="F4633" t="str">
        <f t="shared" si="666"/>
        <v/>
      </c>
      <c r="G4633">
        <f t="shared" si="667"/>
        <v>10.3836477987421</v>
      </c>
    </row>
    <row r="4634" spans="2:7">
      <c r="B4634" s="46"/>
      <c r="C4634" t="str">
        <f t="shared" si="663"/>
        <v/>
      </c>
      <c r="D4634" s="63" t="str">
        <f t="shared" si="664"/>
        <v/>
      </c>
      <c r="E4634" t="str">
        <f t="shared" si="665"/>
        <v/>
      </c>
      <c r="F4634" t="str">
        <f t="shared" si="666"/>
        <v/>
      </c>
      <c r="G4634">
        <f t="shared" si="667"/>
        <v>13.2138364779874</v>
      </c>
    </row>
    <row r="4635" spans="2:7">
      <c r="B4635" s="46"/>
      <c r="C4635" t="str">
        <f t="shared" si="663"/>
        <v/>
      </c>
      <c r="D4635" s="63" t="str">
        <f t="shared" si="664"/>
        <v/>
      </c>
      <c r="E4635" t="str">
        <f t="shared" si="665"/>
        <v/>
      </c>
      <c r="F4635" t="str">
        <f t="shared" si="666"/>
        <v/>
      </c>
      <c r="G4635">
        <f t="shared" si="667"/>
        <v>14.7243186582809</v>
      </c>
    </row>
    <row r="4636" spans="2:7">
      <c r="B4636" s="46"/>
      <c r="C4636" t="str">
        <f t="shared" si="663"/>
        <v/>
      </c>
      <c r="D4636" s="63" t="str">
        <f t="shared" si="664"/>
        <v/>
      </c>
      <c r="E4636" t="str">
        <f t="shared" si="665"/>
        <v/>
      </c>
      <c r="F4636">
        <f t="shared" si="666"/>
        <v>9.17630385487529</v>
      </c>
      <c r="G4636" t="str">
        <f t="shared" si="667"/>
        <v/>
      </c>
    </row>
    <row r="4637" spans="2:7">
      <c r="B4637" s="46"/>
      <c r="C4637" t="str">
        <f t="shared" si="663"/>
        <v/>
      </c>
      <c r="D4637" s="63" t="str">
        <f t="shared" si="664"/>
        <v/>
      </c>
      <c r="E4637" t="str">
        <f t="shared" si="665"/>
        <v/>
      </c>
      <c r="F4637">
        <f t="shared" si="666"/>
        <v>12.328231292517</v>
      </c>
      <c r="G4637" t="str">
        <f t="shared" si="667"/>
        <v/>
      </c>
    </row>
    <row r="4638" spans="2:7">
      <c r="B4638" s="46"/>
      <c r="C4638" t="str">
        <f t="shared" si="663"/>
        <v/>
      </c>
      <c r="D4638" s="63" t="str">
        <f t="shared" si="664"/>
        <v/>
      </c>
      <c r="E4638" t="str">
        <f t="shared" si="665"/>
        <v/>
      </c>
      <c r="F4638">
        <f t="shared" si="666"/>
        <v>15.0017006802721</v>
      </c>
      <c r="G4638" t="str">
        <f t="shared" si="667"/>
        <v/>
      </c>
    </row>
    <row r="4639" spans="2:7">
      <c r="B4639" s="46"/>
      <c r="C4639">
        <f t="shared" si="663"/>
        <v>10.328125</v>
      </c>
      <c r="D4639" s="63" t="str">
        <f t="shared" si="664"/>
        <v/>
      </c>
      <c r="E4639" t="str">
        <f t="shared" si="665"/>
        <v/>
      </c>
      <c r="F4639" t="str">
        <f t="shared" si="666"/>
        <v/>
      </c>
      <c r="G4639" t="str">
        <f t="shared" si="667"/>
        <v/>
      </c>
    </row>
    <row r="4640" spans="2:7">
      <c r="B4640" s="46"/>
      <c r="C4640">
        <f t="shared" si="663"/>
        <v>14.5908564814815</v>
      </c>
      <c r="D4640" s="63" t="str">
        <f t="shared" si="664"/>
        <v/>
      </c>
      <c r="E4640" t="str">
        <f t="shared" si="665"/>
        <v/>
      </c>
      <c r="F4640" t="str">
        <f t="shared" si="666"/>
        <v/>
      </c>
      <c r="G4640" t="str">
        <f t="shared" si="667"/>
        <v/>
      </c>
    </row>
    <row r="4641" spans="2:7">
      <c r="B4641" s="46"/>
      <c r="C4641">
        <f t="shared" si="663"/>
        <v>14.9409722222222</v>
      </c>
      <c r="D4641" s="63" t="str">
        <f t="shared" si="664"/>
        <v/>
      </c>
      <c r="E4641" t="str">
        <f t="shared" si="665"/>
        <v/>
      </c>
      <c r="F4641" t="str">
        <f t="shared" si="666"/>
        <v/>
      </c>
      <c r="G4641" t="str">
        <f t="shared" si="667"/>
        <v/>
      </c>
    </row>
    <row r="4642" spans="2:7">
      <c r="B4642" s="46"/>
      <c r="C4642">
        <f t="shared" si="663"/>
        <v>19.2465277777778</v>
      </c>
      <c r="D4642" s="63" t="str">
        <f t="shared" si="664"/>
        <v/>
      </c>
      <c r="E4642" t="str">
        <f t="shared" si="665"/>
        <v/>
      </c>
      <c r="F4642" t="str">
        <f t="shared" si="666"/>
        <v/>
      </c>
      <c r="G4642" t="str">
        <f t="shared" si="667"/>
        <v/>
      </c>
    </row>
    <row r="4643" spans="2:7">
      <c r="B4643" s="46"/>
      <c r="C4643" t="str">
        <f t="shared" si="663"/>
        <v/>
      </c>
      <c r="D4643" s="63">
        <f t="shared" si="664"/>
        <v>15.0340375586854</v>
      </c>
      <c r="E4643" t="str">
        <f t="shared" si="665"/>
        <v/>
      </c>
      <c r="F4643" t="str">
        <f t="shared" si="666"/>
        <v/>
      </c>
      <c r="G4643" t="str">
        <f t="shared" si="667"/>
        <v/>
      </c>
    </row>
    <row r="4644" spans="2:7">
      <c r="B4644" s="46"/>
      <c r="C4644" t="str">
        <f t="shared" si="663"/>
        <v/>
      </c>
      <c r="D4644" s="63">
        <f t="shared" si="664"/>
        <v>15.0340375586854</v>
      </c>
      <c r="E4644" t="str">
        <f t="shared" si="665"/>
        <v/>
      </c>
      <c r="F4644" t="str">
        <f t="shared" si="666"/>
        <v/>
      </c>
      <c r="G4644" t="str">
        <f t="shared" si="667"/>
        <v/>
      </c>
    </row>
    <row r="4645" spans="2:7">
      <c r="B4645" s="46"/>
      <c r="C4645" t="str">
        <f t="shared" si="663"/>
        <v/>
      </c>
      <c r="D4645" s="63">
        <f t="shared" si="664"/>
        <v>16.1343896713615</v>
      </c>
      <c r="E4645" t="str">
        <f t="shared" si="665"/>
        <v/>
      </c>
      <c r="F4645" t="str">
        <f t="shared" si="666"/>
        <v/>
      </c>
      <c r="G4645" t="str">
        <f t="shared" si="667"/>
        <v/>
      </c>
    </row>
    <row r="4646" spans="2:7">
      <c r="B4646" s="46"/>
      <c r="C4646" t="str">
        <f t="shared" si="663"/>
        <v/>
      </c>
      <c r="D4646" s="63">
        <f t="shared" si="664"/>
        <v>16.8620892018779</v>
      </c>
      <c r="E4646" t="str">
        <f t="shared" si="665"/>
        <v/>
      </c>
      <c r="F4646" t="str">
        <f t="shared" si="666"/>
        <v/>
      </c>
      <c r="G4646" t="str">
        <f t="shared" si="667"/>
        <v/>
      </c>
    </row>
    <row r="4647" spans="2:7">
      <c r="B4647" s="46"/>
      <c r="C4647" t="str">
        <f t="shared" si="663"/>
        <v/>
      </c>
      <c r="D4647" s="63" t="str">
        <f t="shared" si="664"/>
        <v/>
      </c>
      <c r="E4647">
        <f t="shared" si="665"/>
        <v>16.1245098039216</v>
      </c>
      <c r="F4647" t="str">
        <f t="shared" si="666"/>
        <v/>
      </c>
      <c r="G4647" t="str">
        <f t="shared" si="667"/>
        <v/>
      </c>
    </row>
    <row r="4648" spans="2:7">
      <c r="B4648" s="46"/>
      <c r="C4648" t="str">
        <f t="shared" si="663"/>
        <v/>
      </c>
      <c r="D4648" s="63" t="str">
        <f t="shared" si="664"/>
        <v/>
      </c>
      <c r="E4648">
        <f t="shared" si="665"/>
        <v>17.9225490196078</v>
      </c>
      <c r="F4648" t="str">
        <f t="shared" si="666"/>
        <v/>
      </c>
      <c r="G4648" t="str">
        <f t="shared" si="667"/>
        <v/>
      </c>
    </row>
    <row r="4649" spans="2:7">
      <c r="B4649" s="46"/>
      <c r="C4649" t="str">
        <f t="shared" si="663"/>
        <v/>
      </c>
      <c r="D4649" s="63" t="str">
        <f t="shared" si="664"/>
        <v/>
      </c>
      <c r="E4649">
        <f t="shared" si="665"/>
        <v>18.7166666666667</v>
      </c>
      <c r="F4649" t="str">
        <f t="shared" si="666"/>
        <v/>
      </c>
      <c r="G4649" t="str">
        <f t="shared" si="667"/>
        <v/>
      </c>
    </row>
    <row r="4650" spans="2:7">
      <c r="B4650" s="46"/>
      <c r="C4650" t="str">
        <f t="shared" si="663"/>
        <v/>
      </c>
      <c r="D4650" s="63" t="str">
        <f t="shared" si="664"/>
        <v/>
      </c>
      <c r="E4650">
        <f t="shared" si="665"/>
        <v>18.9539215686275</v>
      </c>
      <c r="F4650" t="str">
        <f t="shared" si="666"/>
        <v/>
      </c>
      <c r="G4650" t="str">
        <f t="shared" si="667"/>
        <v/>
      </c>
    </row>
    <row r="4651" spans="2:7">
      <c r="B4651" s="46"/>
      <c r="C4651" t="str">
        <f t="shared" si="663"/>
        <v/>
      </c>
      <c r="D4651" s="63" t="str">
        <f t="shared" si="664"/>
        <v/>
      </c>
      <c r="E4651" t="str">
        <f t="shared" si="665"/>
        <v/>
      </c>
      <c r="F4651" t="str">
        <f t="shared" si="666"/>
        <v/>
      </c>
      <c r="G4651">
        <f t="shared" si="667"/>
        <v>15.4449685534591</v>
      </c>
    </row>
    <row r="4652" spans="2:7">
      <c r="B4652" s="46"/>
      <c r="C4652" t="str">
        <f t="shared" si="663"/>
        <v/>
      </c>
      <c r="D4652" s="63" t="str">
        <f t="shared" si="664"/>
        <v/>
      </c>
      <c r="E4652" t="str">
        <f t="shared" si="665"/>
        <v/>
      </c>
      <c r="F4652" t="str">
        <f t="shared" si="666"/>
        <v/>
      </c>
      <c r="G4652">
        <f t="shared" si="667"/>
        <v>16.4669811320755</v>
      </c>
    </row>
    <row r="4653" spans="2:7">
      <c r="B4653" s="46"/>
      <c r="C4653" t="str">
        <f t="shared" si="663"/>
        <v/>
      </c>
      <c r="D4653" s="63" t="str">
        <f t="shared" si="664"/>
        <v/>
      </c>
      <c r="E4653" t="str">
        <f t="shared" si="665"/>
        <v/>
      </c>
      <c r="F4653" t="str">
        <f t="shared" si="666"/>
        <v/>
      </c>
      <c r="G4653">
        <f t="shared" si="667"/>
        <v>17.7877358490566</v>
      </c>
    </row>
    <row r="4654" spans="2:7">
      <c r="B4654" s="46"/>
      <c r="C4654" t="str">
        <f t="shared" si="663"/>
        <v/>
      </c>
      <c r="D4654" s="63" t="str">
        <f t="shared" si="664"/>
        <v/>
      </c>
      <c r="E4654" t="str">
        <f t="shared" si="665"/>
        <v/>
      </c>
      <c r="F4654" t="str">
        <f t="shared" si="666"/>
        <v/>
      </c>
      <c r="G4654">
        <f t="shared" si="667"/>
        <v>18.377358490566</v>
      </c>
    </row>
    <row r="4655" spans="2:7">
      <c r="B4655" s="46"/>
      <c r="C4655" t="str">
        <f t="shared" si="663"/>
        <v/>
      </c>
      <c r="D4655" s="63" t="str">
        <f t="shared" si="664"/>
        <v/>
      </c>
      <c r="E4655" t="str">
        <f t="shared" si="665"/>
        <v/>
      </c>
      <c r="F4655">
        <f t="shared" si="666"/>
        <v>15.4234693877551</v>
      </c>
      <c r="G4655" t="str">
        <f t="shared" si="667"/>
        <v/>
      </c>
    </row>
    <row r="4656" spans="2:7">
      <c r="B4656" s="46"/>
      <c r="C4656" t="str">
        <f t="shared" si="663"/>
        <v/>
      </c>
      <c r="D4656" s="63" t="str">
        <f t="shared" si="664"/>
        <v/>
      </c>
      <c r="E4656" t="str">
        <f t="shared" si="665"/>
        <v/>
      </c>
      <c r="F4656">
        <f t="shared" si="666"/>
        <v>16.7698412698413</v>
      </c>
      <c r="G4656" t="str">
        <f t="shared" si="667"/>
        <v/>
      </c>
    </row>
    <row r="4657" spans="2:7">
      <c r="B4657" s="46"/>
      <c r="C4657" t="str">
        <f t="shared" si="663"/>
        <v/>
      </c>
      <c r="D4657" s="63" t="str">
        <f t="shared" si="664"/>
        <v/>
      </c>
      <c r="E4657" t="str">
        <f t="shared" si="665"/>
        <v/>
      </c>
      <c r="F4657">
        <f t="shared" si="666"/>
        <v>18.109410430839</v>
      </c>
      <c r="G4657" t="str">
        <f t="shared" si="667"/>
        <v/>
      </c>
    </row>
    <row r="4658" spans="2:7">
      <c r="B4658" s="46"/>
      <c r="C4658" t="str">
        <f t="shared" si="663"/>
        <v/>
      </c>
      <c r="D4658" s="63" t="str">
        <f t="shared" si="664"/>
        <v/>
      </c>
      <c r="E4658" t="str">
        <f t="shared" si="665"/>
        <v/>
      </c>
      <c r="F4658">
        <f t="shared" si="666"/>
        <v>20.1581632653061</v>
      </c>
      <c r="G4658" t="str">
        <f t="shared" si="667"/>
        <v/>
      </c>
    </row>
    <row r="4659" spans="2:7">
      <c r="B4659" s="46"/>
      <c r="C4659" t="str">
        <f t="shared" si="663"/>
        <v/>
      </c>
      <c r="D4659" s="63" t="str">
        <f t="shared" si="664"/>
        <v/>
      </c>
      <c r="E4659" t="str">
        <f t="shared" si="665"/>
        <v/>
      </c>
      <c r="F4659">
        <f t="shared" si="666"/>
        <v>22.1581632653061</v>
      </c>
      <c r="G4659" t="str">
        <f t="shared" si="667"/>
        <v/>
      </c>
    </row>
    <row r="4660" spans="2:7">
      <c r="B4660" s="46"/>
      <c r="C4660" t="str">
        <f t="shared" si="663"/>
        <v/>
      </c>
      <c r="D4660" s="63" t="str">
        <f t="shared" si="664"/>
        <v/>
      </c>
      <c r="E4660" t="str">
        <f t="shared" si="665"/>
        <v/>
      </c>
      <c r="F4660">
        <f t="shared" si="666"/>
        <v>22.8781179138322</v>
      </c>
      <c r="G4660" t="str">
        <f t="shared" si="667"/>
        <v/>
      </c>
    </row>
    <row r="4661" spans="2:7">
      <c r="B4661" s="46"/>
      <c r="C4661" t="str">
        <f t="shared" si="663"/>
        <v/>
      </c>
      <c r="D4661" s="63">
        <f t="shared" si="664"/>
        <v>17.3022300469484</v>
      </c>
      <c r="E4661" t="str">
        <f t="shared" si="665"/>
        <v/>
      </c>
      <c r="F4661" t="str">
        <f t="shared" si="666"/>
        <v/>
      </c>
      <c r="G4661" t="str">
        <f t="shared" si="667"/>
        <v/>
      </c>
    </row>
    <row r="4662" spans="2:7">
      <c r="B4662" s="46"/>
      <c r="C4662" t="str">
        <f t="shared" si="663"/>
        <v/>
      </c>
      <c r="D4662" s="63">
        <f t="shared" si="664"/>
        <v>22.837441314554</v>
      </c>
      <c r="E4662" t="str">
        <f t="shared" si="665"/>
        <v/>
      </c>
      <c r="F4662" t="str">
        <f t="shared" si="666"/>
        <v/>
      </c>
      <c r="G4662" t="str">
        <f t="shared" si="667"/>
        <v/>
      </c>
    </row>
    <row r="4663" spans="2:7">
      <c r="B4663" s="46"/>
      <c r="C4663" t="str">
        <f t="shared" si="663"/>
        <v/>
      </c>
      <c r="D4663" s="63">
        <f t="shared" si="664"/>
        <v>23.7089201877934</v>
      </c>
      <c r="E4663" t="str">
        <f t="shared" si="665"/>
        <v/>
      </c>
      <c r="F4663" t="str">
        <f t="shared" si="666"/>
        <v/>
      </c>
      <c r="G4663" t="str">
        <f t="shared" si="667"/>
        <v/>
      </c>
    </row>
    <row r="4664" spans="2:7">
      <c r="B4664" s="46"/>
      <c r="C4664" t="str">
        <f t="shared" si="663"/>
        <v/>
      </c>
      <c r="D4664" s="63">
        <f t="shared" si="664"/>
        <v>24.3427230046948</v>
      </c>
      <c r="E4664" t="str">
        <f t="shared" si="665"/>
        <v/>
      </c>
      <c r="F4664" t="str">
        <f t="shared" si="666"/>
        <v/>
      </c>
      <c r="G4664" t="str">
        <f t="shared" si="667"/>
        <v/>
      </c>
    </row>
    <row r="4665" spans="2:7">
      <c r="B4665" s="46"/>
      <c r="C4665" t="str">
        <f t="shared" si="663"/>
        <v/>
      </c>
      <c r="D4665" s="63">
        <f t="shared" si="664"/>
        <v>27.5704225352113</v>
      </c>
      <c r="E4665" t="str">
        <f t="shared" si="665"/>
        <v/>
      </c>
      <c r="F4665" t="str">
        <f t="shared" si="666"/>
        <v/>
      </c>
      <c r="G4665" t="str">
        <f t="shared" si="667"/>
        <v/>
      </c>
    </row>
    <row r="4666" spans="2:7">
      <c r="B4666" s="46"/>
      <c r="C4666" t="str">
        <f t="shared" si="663"/>
        <v/>
      </c>
      <c r="D4666" s="63" t="str">
        <f t="shared" si="664"/>
        <v/>
      </c>
      <c r="E4666" t="str">
        <f t="shared" si="665"/>
        <v/>
      </c>
      <c r="F4666" t="str">
        <f t="shared" si="666"/>
        <v/>
      </c>
      <c r="G4666">
        <f t="shared" si="667"/>
        <v>19.1949685534591</v>
      </c>
    </row>
    <row r="4667" spans="2:7">
      <c r="B4667" s="46"/>
      <c r="C4667" t="str">
        <f t="shared" si="663"/>
        <v/>
      </c>
      <c r="D4667" s="63" t="str">
        <f t="shared" si="664"/>
        <v/>
      </c>
      <c r="E4667" t="str">
        <f t="shared" si="665"/>
        <v/>
      </c>
      <c r="F4667" t="str">
        <f t="shared" si="666"/>
        <v/>
      </c>
      <c r="G4667">
        <f t="shared" si="667"/>
        <v>21.9606918238994</v>
      </c>
    </row>
    <row r="4668" spans="2:7">
      <c r="B4668" s="46"/>
      <c r="C4668" t="str">
        <f t="shared" si="663"/>
        <v/>
      </c>
      <c r="D4668" s="63" t="str">
        <f t="shared" si="664"/>
        <v/>
      </c>
      <c r="E4668" t="str">
        <f t="shared" si="665"/>
        <v/>
      </c>
      <c r="F4668" t="str">
        <f t="shared" si="666"/>
        <v/>
      </c>
      <c r="G4668">
        <f t="shared" si="667"/>
        <v>21.9606918238994</v>
      </c>
    </row>
    <row r="4669" spans="2:7">
      <c r="B4669" s="46"/>
      <c r="C4669" t="str">
        <f t="shared" si="663"/>
        <v/>
      </c>
      <c r="D4669" s="63" t="str">
        <f t="shared" si="664"/>
        <v/>
      </c>
      <c r="E4669" t="str">
        <f t="shared" si="665"/>
        <v/>
      </c>
      <c r="F4669" t="str">
        <f t="shared" si="666"/>
        <v/>
      </c>
      <c r="G4669">
        <f t="shared" si="667"/>
        <v>25.2222222222222</v>
      </c>
    </row>
    <row r="4670" spans="2:7">
      <c r="B4670" s="46"/>
      <c r="C4670" t="str">
        <f t="shared" si="663"/>
        <v/>
      </c>
      <c r="D4670" s="63" t="str">
        <f t="shared" si="664"/>
        <v/>
      </c>
      <c r="E4670">
        <f t="shared" si="665"/>
        <v>22.268137254902</v>
      </c>
      <c r="F4670" t="str">
        <f t="shared" si="666"/>
        <v/>
      </c>
      <c r="G4670" t="str">
        <f t="shared" si="667"/>
        <v/>
      </c>
    </row>
    <row r="4671" spans="2:7">
      <c r="B4671" s="46"/>
      <c r="C4671" t="str">
        <f t="shared" si="663"/>
        <v/>
      </c>
      <c r="D4671" s="63" t="str">
        <f t="shared" si="664"/>
        <v/>
      </c>
      <c r="E4671">
        <f t="shared" si="665"/>
        <v>22.268137254902</v>
      </c>
      <c r="F4671" t="str">
        <f t="shared" si="666"/>
        <v/>
      </c>
      <c r="G4671" t="str">
        <f t="shared" si="667"/>
        <v/>
      </c>
    </row>
    <row r="4672" spans="2:7">
      <c r="B4672" s="46"/>
      <c r="C4672" t="str">
        <f t="shared" si="663"/>
        <v/>
      </c>
      <c r="D4672" s="63" t="str">
        <f t="shared" si="664"/>
        <v/>
      </c>
      <c r="E4672">
        <f t="shared" si="665"/>
        <v>24.6995098039216</v>
      </c>
      <c r="F4672" t="str">
        <f t="shared" si="666"/>
        <v/>
      </c>
      <c r="G4672" t="str">
        <f t="shared" si="667"/>
        <v/>
      </c>
    </row>
    <row r="4673" spans="2:7">
      <c r="B4673" s="46"/>
      <c r="C4673" t="str">
        <f t="shared" si="663"/>
        <v/>
      </c>
      <c r="D4673" s="63" t="str">
        <f t="shared" si="664"/>
        <v/>
      </c>
      <c r="E4673">
        <f t="shared" si="665"/>
        <v>25.3416666666667</v>
      </c>
      <c r="F4673" t="str">
        <f t="shared" si="666"/>
        <v/>
      </c>
      <c r="G4673" t="str">
        <f t="shared" si="667"/>
        <v/>
      </c>
    </row>
    <row r="4674" spans="2:7">
      <c r="B4674" s="46"/>
      <c r="C4674">
        <f t="shared" si="663"/>
        <v>19.5358796296296</v>
      </c>
      <c r="D4674" s="63" t="str">
        <f t="shared" si="664"/>
        <v/>
      </c>
      <c r="E4674" t="str">
        <f t="shared" si="665"/>
        <v/>
      </c>
      <c r="F4674" t="str">
        <f t="shared" si="666"/>
        <v/>
      </c>
      <c r="G4674" t="str">
        <f t="shared" si="667"/>
        <v/>
      </c>
    </row>
    <row r="4675" spans="2:7">
      <c r="B4675" s="46"/>
      <c r="C4675">
        <f t="shared" si="663"/>
        <v>20.1608796296296</v>
      </c>
      <c r="D4675" s="63" t="str">
        <f t="shared" si="664"/>
        <v/>
      </c>
      <c r="E4675" t="str">
        <f t="shared" si="665"/>
        <v/>
      </c>
      <c r="F4675" t="str">
        <f t="shared" si="666"/>
        <v/>
      </c>
      <c r="G4675" t="str">
        <f t="shared" si="667"/>
        <v/>
      </c>
    </row>
    <row r="4676" spans="2:7">
      <c r="B4676" s="46"/>
      <c r="C4676">
        <f t="shared" si="663"/>
        <v>21.7233796296296</v>
      </c>
      <c r="D4676" s="63" t="str">
        <f t="shared" si="664"/>
        <v/>
      </c>
      <c r="E4676" t="str">
        <f t="shared" si="665"/>
        <v/>
      </c>
      <c r="F4676" t="str">
        <f t="shared" si="666"/>
        <v/>
      </c>
      <c r="G4676" t="str">
        <f t="shared" si="667"/>
        <v/>
      </c>
    </row>
    <row r="4677" spans="2:7">
      <c r="B4677" s="46"/>
      <c r="C4677">
        <f t="shared" si="663"/>
        <v>22.7054398148148</v>
      </c>
      <c r="D4677" s="63" t="str">
        <f t="shared" si="664"/>
        <v/>
      </c>
      <c r="E4677" t="str">
        <f t="shared" si="665"/>
        <v/>
      </c>
      <c r="F4677" t="str">
        <f t="shared" si="666"/>
        <v/>
      </c>
      <c r="G4677" t="str">
        <f t="shared" si="667"/>
        <v/>
      </c>
    </row>
    <row r="4678" spans="2:7">
      <c r="B4678" s="46"/>
      <c r="C4678">
        <f t="shared" si="663"/>
        <v>22.7054398148148</v>
      </c>
      <c r="D4678" s="63" t="str">
        <f t="shared" si="664"/>
        <v/>
      </c>
      <c r="E4678" t="str">
        <f t="shared" si="665"/>
        <v/>
      </c>
      <c r="F4678" t="str">
        <f t="shared" si="666"/>
        <v/>
      </c>
      <c r="G4678" t="str">
        <f t="shared" si="667"/>
        <v/>
      </c>
    </row>
    <row r="4679" spans="2:7">
      <c r="B4679" s="46"/>
      <c r="C4679">
        <f t="shared" ref="C4679:C4704" si="668">IF(J72=1,S72,"")</f>
        <v>22.8512731481482</v>
      </c>
      <c r="D4679" s="63" t="str">
        <f t="shared" ref="D4679:D4704" si="669">IF(J72=2,S72,"")</f>
        <v/>
      </c>
      <c r="E4679" t="str">
        <f t="shared" ref="E4679:E4704" si="670">IF(J72=3,S72,"")</f>
        <v/>
      </c>
      <c r="F4679" t="str">
        <f t="shared" ref="F4679:F4704" si="671">IF(J72=4,S72,"")</f>
        <v/>
      </c>
      <c r="G4679" t="str">
        <f t="shared" ref="G4679:G4704" si="672">IF(J72=5,S72,"")</f>
        <v/>
      </c>
    </row>
    <row r="4680" spans="2:7">
      <c r="B4680" s="46"/>
      <c r="C4680">
        <f t="shared" si="668"/>
        <v>34.4068287037037</v>
      </c>
      <c r="D4680" s="63" t="str">
        <f t="shared" si="669"/>
        <v/>
      </c>
      <c r="E4680" t="str">
        <f t="shared" si="670"/>
        <v/>
      </c>
      <c r="F4680" t="str">
        <f t="shared" si="671"/>
        <v/>
      </c>
      <c r="G4680" t="str">
        <f t="shared" si="672"/>
        <v/>
      </c>
    </row>
    <row r="4681" spans="2:7">
      <c r="B4681" s="46"/>
      <c r="C4681">
        <f t="shared" si="668"/>
        <v>34.4068287037037</v>
      </c>
      <c r="D4681" s="63" t="str">
        <f t="shared" si="669"/>
        <v/>
      </c>
      <c r="E4681" t="str">
        <f t="shared" si="670"/>
        <v/>
      </c>
      <c r="F4681" t="str">
        <f t="shared" si="671"/>
        <v/>
      </c>
      <c r="G4681" t="str">
        <f t="shared" si="672"/>
        <v/>
      </c>
    </row>
    <row r="4682" spans="2:7">
      <c r="B4682" s="46"/>
      <c r="C4682">
        <f t="shared" si="668"/>
        <v>35.5827546296296</v>
      </c>
      <c r="D4682" s="63" t="str">
        <f t="shared" si="669"/>
        <v/>
      </c>
      <c r="E4682" t="str">
        <f t="shared" si="670"/>
        <v/>
      </c>
      <c r="F4682" t="str">
        <f t="shared" si="671"/>
        <v/>
      </c>
      <c r="G4682" t="str">
        <f t="shared" si="672"/>
        <v/>
      </c>
    </row>
    <row r="4683" spans="2:7">
      <c r="B4683" s="46"/>
      <c r="C4683">
        <f t="shared" si="668"/>
        <v>36.7893518518519</v>
      </c>
      <c r="D4683" s="63" t="str">
        <f t="shared" si="669"/>
        <v/>
      </c>
      <c r="E4683" t="str">
        <f t="shared" si="670"/>
        <v/>
      </c>
      <c r="F4683" t="str">
        <f t="shared" si="671"/>
        <v/>
      </c>
      <c r="G4683" t="str">
        <f t="shared" si="672"/>
        <v/>
      </c>
    </row>
    <row r="4684" spans="2:7">
      <c r="B4684" s="46"/>
      <c r="C4684" t="str">
        <f t="shared" si="668"/>
        <v/>
      </c>
      <c r="D4684" s="63" t="str">
        <f t="shared" si="669"/>
        <v/>
      </c>
      <c r="E4684" t="str">
        <f t="shared" si="670"/>
        <v/>
      </c>
      <c r="F4684">
        <f t="shared" si="671"/>
        <v>23.4404761904762</v>
      </c>
      <c r="G4684" t="str">
        <f t="shared" si="672"/>
        <v/>
      </c>
    </row>
    <row r="4685" spans="2:7">
      <c r="B4685" s="46"/>
      <c r="C4685" t="str">
        <f t="shared" si="668"/>
        <v/>
      </c>
      <c r="D4685" s="63" t="str">
        <f t="shared" si="669"/>
        <v/>
      </c>
      <c r="E4685" t="str">
        <f t="shared" si="670"/>
        <v/>
      </c>
      <c r="F4685">
        <f t="shared" si="671"/>
        <v>24.3616780045352</v>
      </c>
      <c r="G4685" t="str">
        <f t="shared" si="672"/>
        <v/>
      </c>
    </row>
    <row r="4686" spans="2:7">
      <c r="B4686" s="46"/>
      <c r="C4686" t="str">
        <f t="shared" si="668"/>
        <v/>
      </c>
      <c r="D4686" s="63" t="str">
        <f t="shared" si="669"/>
        <v/>
      </c>
      <c r="E4686" t="str">
        <f t="shared" si="670"/>
        <v/>
      </c>
      <c r="F4686">
        <f t="shared" si="671"/>
        <v>25.8378684807256</v>
      </c>
      <c r="G4686" t="str">
        <f t="shared" si="672"/>
        <v/>
      </c>
    </row>
    <row r="4687" spans="2:7">
      <c r="B4687" s="46"/>
      <c r="C4687" t="str">
        <f t="shared" si="668"/>
        <v/>
      </c>
      <c r="D4687" s="63" t="str">
        <f t="shared" si="669"/>
        <v/>
      </c>
      <c r="E4687" t="str">
        <f t="shared" si="670"/>
        <v/>
      </c>
      <c r="F4687">
        <f t="shared" si="671"/>
        <v>29.4625850340136</v>
      </c>
      <c r="G4687" t="str">
        <f t="shared" si="672"/>
        <v/>
      </c>
    </row>
    <row r="4688" spans="2:7">
      <c r="B4688" s="46"/>
      <c r="C4688" t="str">
        <f t="shared" si="668"/>
        <v/>
      </c>
      <c r="D4688" s="63" t="str">
        <f t="shared" si="669"/>
        <v/>
      </c>
      <c r="E4688" t="str">
        <f t="shared" si="670"/>
        <v/>
      </c>
      <c r="F4688">
        <f t="shared" si="671"/>
        <v>30.092970521542</v>
      </c>
      <c r="G4688" t="str">
        <f t="shared" si="672"/>
        <v/>
      </c>
    </row>
    <row r="4689" spans="2:7">
      <c r="B4689" s="46"/>
      <c r="C4689" t="str">
        <f t="shared" si="668"/>
        <v/>
      </c>
      <c r="D4689" s="63" t="str">
        <f t="shared" si="669"/>
        <v/>
      </c>
      <c r="E4689" t="str">
        <f t="shared" si="670"/>
        <v/>
      </c>
      <c r="F4689">
        <f t="shared" si="671"/>
        <v>30.8809523809524</v>
      </c>
      <c r="G4689" t="str">
        <f t="shared" si="672"/>
        <v/>
      </c>
    </row>
    <row r="4690" spans="2:7">
      <c r="B4690" s="46"/>
      <c r="C4690" t="str">
        <f t="shared" si="668"/>
        <v/>
      </c>
      <c r="D4690" s="63" t="str">
        <f t="shared" si="669"/>
        <v/>
      </c>
      <c r="E4690" t="str">
        <f t="shared" si="670"/>
        <v/>
      </c>
      <c r="F4690" t="str">
        <f t="shared" si="671"/>
        <v/>
      </c>
      <c r="G4690">
        <f t="shared" si="672"/>
        <v>26.0235849056604</v>
      </c>
    </row>
    <row r="4691" spans="2:7">
      <c r="B4691" s="46"/>
      <c r="C4691" t="str">
        <f t="shared" si="668"/>
        <v/>
      </c>
      <c r="D4691" s="63" t="str">
        <f t="shared" si="669"/>
        <v/>
      </c>
      <c r="E4691" t="str">
        <f t="shared" si="670"/>
        <v/>
      </c>
      <c r="F4691" t="str">
        <f t="shared" si="671"/>
        <v/>
      </c>
      <c r="G4691">
        <f t="shared" si="672"/>
        <v>26.8977987421384</v>
      </c>
    </row>
    <row r="4692" spans="2:7">
      <c r="B4692" s="46"/>
      <c r="C4692" t="str">
        <f t="shared" si="668"/>
        <v/>
      </c>
      <c r="D4692" s="63" t="str">
        <f t="shared" si="669"/>
        <v/>
      </c>
      <c r="E4692" t="str">
        <f t="shared" si="670"/>
        <v/>
      </c>
      <c r="F4692" t="str">
        <f t="shared" si="671"/>
        <v/>
      </c>
      <c r="G4692">
        <f t="shared" si="672"/>
        <v>27.8448637316562</v>
      </c>
    </row>
    <row r="4693" spans="2:7">
      <c r="B4693" s="46"/>
      <c r="C4693" t="str">
        <f t="shared" si="668"/>
        <v/>
      </c>
      <c r="D4693" s="63" t="str">
        <f t="shared" si="669"/>
        <v/>
      </c>
      <c r="E4693" t="str">
        <f t="shared" si="670"/>
        <v/>
      </c>
      <c r="F4693" t="str">
        <f t="shared" si="671"/>
        <v/>
      </c>
      <c r="G4693">
        <f t="shared" si="672"/>
        <v>29.229035639413</v>
      </c>
    </row>
    <row r="4694" spans="2:7">
      <c r="B4694" s="46"/>
      <c r="C4694" t="str">
        <f t="shared" si="668"/>
        <v/>
      </c>
      <c r="D4694" s="63" t="str">
        <f t="shared" si="669"/>
        <v/>
      </c>
      <c r="E4694">
        <f t="shared" si="670"/>
        <v>25.5460784313725</v>
      </c>
      <c r="F4694" t="str">
        <f t="shared" si="671"/>
        <v/>
      </c>
      <c r="G4694" t="str">
        <f t="shared" si="672"/>
        <v/>
      </c>
    </row>
    <row r="4695" spans="2:7">
      <c r="B4695" s="46"/>
      <c r="C4695" t="str">
        <f t="shared" si="668"/>
        <v/>
      </c>
      <c r="D4695" s="63" t="str">
        <f t="shared" si="669"/>
        <v/>
      </c>
      <c r="E4695">
        <f t="shared" si="670"/>
        <v>28.8676470588235</v>
      </c>
      <c r="F4695" t="str">
        <f t="shared" si="671"/>
        <v/>
      </c>
      <c r="G4695" t="str">
        <f t="shared" si="672"/>
        <v/>
      </c>
    </row>
    <row r="4696" spans="2:7">
      <c r="B4696" s="46"/>
      <c r="C4696">
        <f t="shared" si="668"/>
        <v>39.1041666666667</v>
      </c>
      <c r="D4696" s="63" t="str">
        <f t="shared" si="669"/>
        <v/>
      </c>
      <c r="E4696" t="str">
        <f t="shared" si="670"/>
        <v/>
      </c>
      <c r="F4696" t="str">
        <f t="shared" si="671"/>
        <v/>
      </c>
      <c r="G4696" t="str">
        <f t="shared" si="672"/>
        <v/>
      </c>
    </row>
    <row r="4697" spans="2:7">
      <c r="B4697" s="46"/>
      <c r="C4697" t="str">
        <f t="shared" si="668"/>
        <v/>
      </c>
      <c r="D4697" s="63" t="str">
        <f t="shared" si="669"/>
        <v/>
      </c>
      <c r="E4697">
        <f t="shared" si="670"/>
        <v>30.843137254902</v>
      </c>
      <c r="F4697" t="str">
        <f t="shared" si="671"/>
        <v/>
      </c>
      <c r="G4697" t="str">
        <f t="shared" si="672"/>
        <v/>
      </c>
    </row>
    <row r="4698" spans="2:7">
      <c r="B4698" s="46"/>
      <c r="C4698" t="str">
        <f t="shared" si="668"/>
        <v/>
      </c>
      <c r="D4698" s="63" t="str">
        <f t="shared" si="669"/>
        <v/>
      </c>
      <c r="E4698">
        <f t="shared" si="670"/>
        <v>32.2524509803922</v>
      </c>
      <c r="F4698" t="str">
        <f t="shared" si="671"/>
        <v/>
      </c>
      <c r="G4698" t="str">
        <f t="shared" si="672"/>
        <v/>
      </c>
    </row>
    <row r="4699" spans="2:7">
      <c r="B4699" s="46"/>
      <c r="C4699" t="str">
        <f t="shared" si="668"/>
        <v/>
      </c>
      <c r="D4699" s="63">
        <f t="shared" si="669"/>
        <v>30.1643192488263</v>
      </c>
      <c r="E4699" t="str">
        <f t="shared" si="670"/>
        <v/>
      </c>
      <c r="F4699" t="str">
        <f t="shared" si="671"/>
        <v/>
      </c>
      <c r="G4699" t="str">
        <f t="shared" si="672"/>
        <v/>
      </c>
    </row>
    <row r="4700" spans="2:7">
      <c r="B4700" s="46"/>
      <c r="C4700" t="str">
        <f t="shared" si="668"/>
        <v/>
      </c>
      <c r="D4700" s="63">
        <f t="shared" si="669"/>
        <v>32.7840375586854</v>
      </c>
      <c r="E4700" t="str">
        <f t="shared" si="670"/>
        <v/>
      </c>
      <c r="F4700" t="str">
        <f t="shared" si="671"/>
        <v/>
      </c>
      <c r="G4700" t="str">
        <f t="shared" si="672"/>
        <v/>
      </c>
    </row>
    <row r="4701" spans="2:7">
      <c r="B4701" s="46"/>
      <c r="C4701" t="str">
        <f t="shared" si="668"/>
        <v/>
      </c>
      <c r="D4701" s="63">
        <f t="shared" si="669"/>
        <v>35.31279342723</v>
      </c>
      <c r="E4701" t="str">
        <f t="shared" si="670"/>
        <v/>
      </c>
      <c r="F4701" t="str">
        <f t="shared" si="671"/>
        <v/>
      </c>
      <c r="G4701" t="str">
        <f t="shared" si="672"/>
        <v/>
      </c>
    </row>
    <row r="4702" spans="2:7">
      <c r="B4702" s="46"/>
      <c r="C4702" t="str">
        <f t="shared" si="668"/>
        <v/>
      </c>
      <c r="D4702" s="63">
        <f t="shared" si="669"/>
        <v>37.6895539906103</v>
      </c>
      <c r="E4702" t="str">
        <f t="shared" si="670"/>
        <v/>
      </c>
      <c r="F4702" t="str">
        <f t="shared" si="671"/>
        <v/>
      </c>
      <c r="G4702" t="str">
        <f t="shared" si="672"/>
        <v/>
      </c>
    </row>
    <row r="4703" spans="2:7">
      <c r="B4703" s="46"/>
      <c r="C4703" t="str">
        <f t="shared" si="668"/>
        <v/>
      </c>
      <c r="D4703" s="63" t="str">
        <f t="shared" si="669"/>
        <v/>
      </c>
      <c r="E4703" t="str">
        <f t="shared" si="670"/>
        <v/>
      </c>
      <c r="F4703" t="str">
        <f t="shared" si="671"/>
        <v/>
      </c>
      <c r="G4703">
        <f t="shared" si="672"/>
        <v>31.5120545073375</v>
      </c>
    </row>
    <row r="4704" ht="15.75" spans="2:7">
      <c r="B4704" s="46"/>
      <c r="C4704" t="str">
        <f t="shared" si="668"/>
        <v/>
      </c>
      <c r="D4704" s="63" t="str">
        <f t="shared" si="669"/>
        <v/>
      </c>
      <c r="E4704" t="str">
        <f t="shared" si="670"/>
        <v/>
      </c>
      <c r="F4704" t="str">
        <f t="shared" si="671"/>
        <v/>
      </c>
      <c r="G4704">
        <f t="shared" si="672"/>
        <v>33.3464360587002</v>
      </c>
    </row>
    <row r="4705" spans="2:7">
      <c r="B4705" s="74" t="s">
        <v>269</v>
      </c>
      <c r="C4705" s="75">
        <f>MAX(C4615:C4704)</f>
        <v>39.1041666666667</v>
      </c>
      <c r="D4705" s="75">
        <f>MAX(D4615:D4704)</f>
        <v>37.6895539906103</v>
      </c>
      <c r="E4705" s="75">
        <f>MAX(E4615:E4704)</f>
        <v>32.2524509803922</v>
      </c>
      <c r="F4705" s="75">
        <f t="shared" ref="F4705:G4705" si="673">MAX(F4615:F4704)</f>
        <v>30.8809523809524</v>
      </c>
      <c r="G4705" s="75">
        <f t="shared" si="673"/>
        <v>33.3464360587002</v>
      </c>
    </row>
    <row r="4706" spans="2:7">
      <c r="B4706" s="76" t="s">
        <v>270</v>
      </c>
      <c r="C4706" s="77">
        <v>1</v>
      </c>
      <c r="D4706" s="78">
        <v>2</v>
      </c>
      <c r="E4706">
        <v>3</v>
      </c>
      <c r="F4706">
        <v>4</v>
      </c>
      <c r="G4706">
        <v>5</v>
      </c>
    </row>
    <row r="4707" spans="2:7">
      <c r="B4707" s="79" t="s">
        <v>271</v>
      </c>
      <c r="C4707" s="72">
        <f>HLOOKUP(MIN(C4705:G4705),C4705:G4706,2,FALSE)</f>
        <v>4</v>
      </c>
      <c r="D4707" s="80"/>
    </row>
    <row r="4710" ht="15.75" spans="2:7">
      <c r="B4710" s="43" t="s">
        <v>361</v>
      </c>
      <c r="C4710" s="44"/>
      <c r="D4710" s="45"/>
    </row>
    <row r="4711" spans="2:7">
      <c r="B4711" s="46"/>
      <c r="C4711" s="61" t="s">
        <v>264</v>
      </c>
      <c r="D4711" s="61" t="s">
        <v>265</v>
      </c>
      <c r="E4711" s="62" t="s">
        <v>286</v>
      </c>
      <c r="F4711" s="62" t="s">
        <v>287</v>
      </c>
      <c r="G4711" s="62" t="s">
        <v>288</v>
      </c>
    </row>
    <row r="4712" spans="2:7">
      <c r="B4712" s="46"/>
      <c r="C4712">
        <f t="shared" ref="C4712:C4775" si="674">IF(J8=1,S8,"")</f>
        <v>0.700231481481482</v>
      </c>
      <c r="D4712" s="63" t="str">
        <f t="shared" ref="D4712:D4775" si="675">IF(J8=2,S8,"")</f>
        <v/>
      </c>
      <c r="E4712" t="str">
        <f t="shared" ref="E4712:E4775" si="676">IF(J8=3,S8,"")</f>
        <v/>
      </c>
      <c r="F4712" t="str">
        <f t="shared" ref="F4712:F4775" si="677">IF(J8=4,S8,"")</f>
        <v/>
      </c>
      <c r="G4712" t="str">
        <f t="shared" ref="G4712:G4775" si="678">IF(J8=5,S8,"")</f>
        <v/>
      </c>
    </row>
    <row r="4713" spans="2:7">
      <c r="B4713" s="46"/>
      <c r="C4713" t="str">
        <f t="shared" si="674"/>
        <v/>
      </c>
      <c r="D4713" s="63">
        <f t="shared" si="675"/>
        <v>0.734154929577465</v>
      </c>
      <c r="E4713" t="str">
        <f t="shared" si="676"/>
        <v/>
      </c>
      <c r="F4713" t="str">
        <f t="shared" si="677"/>
        <v/>
      </c>
      <c r="G4713" t="str">
        <f t="shared" si="678"/>
        <v/>
      </c>
    </row>
    <row r="4714" spans="2:7">
      <c r="B4714" s="46"/>
      <c r="C4714" t="str">
        <f t="shared" si="674"/>
        <v/>
      </c>
      <c r="D4714" s="63" t="str">
        <f t="shared" si="675"/>
        <v/>
      </c>
      <c r="E4714">
        <f t="shared" si="676"/>
        <v>1.83823529411765</v>
      </c>
      <c r="F4714" t="str">
        <f t="shared" si="677"/>
        <v/>
      </c>
      <c r="G4714" t="str">
        <f t="shared" si="678"/>
        <v/>
      </c>
    </row>
    <row r="4715" spans="2:7">
      <c r="B4715" s="46"/>
      <c r="C4715" t="str">
        <f t="shared" si="674"/>
        <v/>
      </c>
      <c r="D4715" s="63" t="str">
        <f t="shared" si="675"/>
        <v/>
      </c>
      <c r="E4715" t="str">
        <f t="shared" si="676"/>
        <v/>
      </c>
      <c r="F4715">
        <f t="shared" si="677"/>
        <v>4.28571428571429</v>
      </c>
      <c r="G4715" t="str">
        <f t="shared" si="678"/>
        <v/>
      </c>
    </row>
    <row r="4716" spans="2:7">
      <c r="B4716" s="46"/>
      <c r="C4716" t="str">
        <f t="shared" si="674"/>
        <v/>
      </c>
      <c r="D4716" s="63" t="str">
        <f t="shared" si="675"/>
        <v/>
      </c>
      <c r="E4716" t="str">
        <f t="shared" si="676"/>
        <v/>
      </c>
      <c r="F4716" t="str">
        <f t="shared" si="677"/>
        <v/>
      </c>
      <c r="G4716">
        <f t="shared" si="678"/>
        <v>3.43396226415094</v>
      </c>
    </row>
    <row r="4717" spans="2:7">
      <c r="B4717" s="46"/>
      <c r="C4717" t="str">
        <f t="shared" si="674"/>
        <v/>
      </c>
      <c r="D4717" s="63" t="str">
        <f t="shared" si="675"/>
        <v/>
      </c>
      <c r="E4717">
        <f t="shared" si="676"/>
        <v>14.5833333333333</v>
      </c>
      <c r="F4717" t="str">
        <f t="shared" si="677"/>
        <v/>
      </c>
      <c r="G4717" t="str">
        <f t="shared" si="678"/>
        <v/>
      </c>
    </row>
    <row r="4718" spans="2:7">
      <c r="B4718" s="46"/>
      <c r="C4718" t="str">
        <f t="shared" si="674"/>
        <v/>
      </c>
      <c r="D4718" s="63" t="str">
        <f t="shared" si="675"/>
        <v/>
      </c>
      <c r="E4718" t="str">
        <f t="shared" si="676"/>
        <v/>
      </c>
      <c r="F4718">
        <f t="shared" si="677"/>
        <v>6.42857142857143</v>
      </c>
      <c r="G4718" t="str">
        <f t="shared" si="678"/>
        <v/>
      </c>
    </row>
    <row r="4719" spans="2:7">
      <c r="B4719" s="46"/>
      <c r="C4719" t="str">
        <f t="shared" si="674"/>
        <v/>
      </c>
      <c r="D4719" s="63" t="str">
        <f t="shared" si="675"/>
        <v/>
      </c>
      <c r="E4719" t="str">
        <f t="shared" si="676"/>
        <v/>
      </c>
      <c r="F4719" t="str">
        <f t="shared" si="677"/>
        <v/>
      </c>
      <c r="G4719">
        <f t="shared" si="678"/>
        <v>3.84591194968553</v>
      </c>
    </row>
    <row r="4720" spans="2:7">
      <c r="B4720" s="46"/>
      <c r="C4720">
        <f t="shared" si="674"/>
        <v>0.844907407407407</v>
      </c>
      <c r="D4720" s="63" t="str">
        <f t="shared" si="675"/>
        <v/>
      </c>
      <c r="E4720" t="str">
        <f t="shared" si="676"/>
        <v/>
      </c>
      <c r="F4720" t="str">
        <f t="shared" si="677"/>
        <v/>
      </c>
      <c r="G4720" t="str">
        <f t="shared" si="678"/>
        <v/>
      </c>
    </row>
    <row r="4721" spans="2:7">
      <c r="B4721" s="46"/>
      <c r="C4721">
        <f t="shared" si="674"/>
        <v>6.79803240740741</v>
      </c>
      <c r="D4721" s="63" t="str">
        <f t="shared" si="675"/>
        <v/>
      </c>
      <c r="E4721" t="str">
        <f t="shared" si="676"/>
        <v/>
      </c>
      <c r="F4721" t="str">
        <f t="shared" si="677"/>
        <v/>
      </c>
      <c r="G4721" t="str">
        <f t="shared" si="678"/>
        <v/>
      </c>
    </row>
    <row r="4722" spans="2:7">
      <c r="B4722" s="46"/>
      <c r="C4722">
        <f t="shared" si="674"/>
        <v>6.79803240740741</v>
      </c>
      <c r="D4722" s="63" t="str">
        <f t="shared" si="675"/>
        <v/>
      </c>
      <c r="E4722" t="str">
        <f t="shared" si="676"/>
        <v/>
      </c>
      <c r="F4722" t="str">
        <f t="shared" si="677"/>
        <v/>
      </c>
      <c r="G4722" t="str">
        <f t="shared" si="678"/>
        <v/>
      </c>
    </row>
    <row r="4723" spans="2:7">
      <c r="B4723" s="46"/>
      <c r="C4723">
        <f t="shared" si="674"/>
        <v>7.52719907407408</v>
      </c>
      <c r="D4723" s="63" t="str">
        <f t="shared" si="675"/>
        <v/>
      </c>
      <c r="E4723" t="str">
        <f t="shared" si="676"/>
        <v/>
      </c>
      <c r="F4723" t="str">
        <f t="shared" si="677"/>
        <v/>
      </c>
      <c r="G4723" t="str">
        <f t="shared" si="678"/>
        <v/>
      </c>
    </row>
    <row r="4724" spans="2:7">
      <c r="B4724" s="46"/>
      <c r="C4724" t="str">
        <f t="shared" si="674"/>
        <v/>
      </c>
      <c r="D4724" s="63">
        <f t="shared" si="675"/>
        <v>2.7881455399061</v>
      </c>
      <c r="E4724" t="str">
        <f t="shared" si="676"/>
        <v/>
      </c>
      <c r="F4724" t="str">
        <f t="shared" si="677"/>
        <v/>
      </c>
      <c r="G4724" t="str">
        <f t="shared" si="678"/>
        <v/>
      </c>
    </row>
    <row r="4725" spans="2:7">
      <c r="B4725" s="46"/>
      <c r="C4725" t="str">
        <f t="shared" si="674"/>
        <v/>
      </c>
      <c r="D4725" s="63">
        <f t="shared" si="675"/>
        <v>4.47535211267606</v>
      </c>
      <c r="E4725" t="str">
        <f t="shared" si="676"/>
        <v/>
      </c>
      <c r="F4725" t="str">
        <f t="shared" si="677"/>
        <v/>
      </c>
      <c r="G4725" t="str">
        <f t="shared" si="678"/>
        <v/>
      </c>
    </row>
    <row r="4726" spans="2:7">
      <c r="B4726" s="46"/>
      <c r="C4726" t="str">
        <f t="shared" si="674"/>
        <v/>
      </c>
      <c r="D4726" s="63">
        <f t="shared" si="675"/>
        <v>6.10680751173709</v>
      </c>
      <c r="E4726" t="str">
        <f t="shared" si="676"/>
        <v/>
      </c>
      <c r="F4726" t="str">
        <f t="shared" si="677"/>
        <v/>
      </c>
      <c r="G4726" t="str">
        <f t="shared" si="678"/>
        <v/>
      </c>
    </row>
    <row r="4727" spans="2:7">
      <c r="B4727" s="46"/>
      <c r="C4727" t="str">
        <f t="shared" si="674"/>
        <v/>
      </c>
      <c r="D4727" s="63">
        <f t="shared" si="675"/>
        <v>8.50821596244131</v>
      </c>
      <c r="E4727" t="str">
        <f t="shared" si="676"/>
        <v/>
      </c>
      <c r="F4727" t="str">
        <f t="shared" si="677"/>
        <v/>
      </c>
      <c r="G4727" t="str">
        <f t="shared" si="678"/>
        <v/>
      </c>
    </row>
    <row r="4728" spans="2:7">
      <c r="B4728" s="46"/>
      <c r="C4728" t="str">
        <f t="shared" si="674"/>
        <v/>
      </c>
      <c r="D4728" s="63">
        <f t="shared" si="675"/>
        <v>10.268779342723</v>
      </c>
      <c r="E4728" t="str">
        <f t="shared" si="676"/>
        <v/>
      </c>
      <c r="F4728" t="str">
        <f t="shared" si="677"/>
        <v/>
      </c>
      <c r="G4728" t="str">
        <f t="shared" si="678"/>
        <v/>
      </c>
    </row>
    <row r="4729" spans="2:7">
      <c r="B4729" s="46"/>
      <c r="C4729" t="str">
        <f t="shared" si="674"/>
        <v/>
      </c>
      <c r="D4729" s="63" t="str">
        <f t="shared" si="675"/>
        <v/>
      </c>
      <c r="E4729" t="str">
        <f t="shared" si="676"/>
        <v/>
      </c>
      <c r="F4729" t="str">
        <f t="shared" si="677"/>
        <v/>
      </c>
      <c r="G4729">
        <f t="shared" si="678"/>
        <v>7.67610062893082</v>
      </c>
    </row>
    <row r="4730" spans="2:7">
      <c r="B4730" s="46"/>
      <c r="C4730" t="str">
        <f t="shared" si="674"/>
        <v/>
      </c>
      <c r="D4730" s="63" t="str">
        <f t="shared" si="675"/>
        <v/>
      </c>
      <c r="E4730" t="str">
        <f t="shared" si="676"/>
        <v/>
      </c>
      <c r="F4730" t="str">
        <f t="shared" si="677"/>
        <v/>
      </c>
      <c r="G4730">
        <f t="shared" si="678"/>
        <v>10.3836477987421</v>
      </c>
    </row>
    <row r="4731" spans="2:7">
      <c r="B4731" s="46"/>
      <c r="C4731" t="str">
        <f t="shared" si="674"/>
        <v/>
      </c>
      <c r="D4731" s="63" t="str">
        <f t="shared" si="675"/>
        <v/>
      </c>
      <c r="E4731" t="str">
        <f t="shared" si="676"/>
        <v/>
      </c>
      <c r="F4731" t="str">
        <f t="shared" si="677"/>
        <v/>
      </c>
      <c r="G4731">
        <f t="shared" si="678"/>
        <v>13.2138364779874</v>
      </c>
    </row>
    <row r="4732" spans="2:7">
      <c r="B4732" s="46"/>
      <c r="C4732" t="str">
        <f t="shared" si="674"/>
        <v/>
      </c>
      <c r="D4732" s="63" t="str">
        <f t="shared" si="675"/>
        <v/>
      </c>
      <c r="E4732" t="str">
        <f t="shared" si="676"/>
        <v/>
      </c>
      <c r="F4732" t="str">
        <f t="shared" si="677"/>
        <v/>
      </c>
      <c r="G4732">
        <f t="shared" si="678"/>
        <v>14.7243186582809</v>
      </c>
    </row>
    <row r="4733" spans="2:7">
      <c r="B4733" s="46"/>
      <c r="C4733" t="str">
        <f t="shared" si="674"/>
        <v/>
      </c>
      <c r="D4733" s="63" t="str">
        <f t="shared" si="675"/>
        <v/>
      </c>
      <c r="E4733" t="str">
        <f t="shared" si="676"/>
        <v/>
      </c>
      <c r="F4733">
        <f t="shared" si="677"/>
        <v>9.17630385487529</v>
      </c>
      <c r="G4733" t="str">
        <f t="shared" si="678"/>
        <v/>
      </c>
    </row>
    <row r="4734" spans="2:7">
      <c r="B4734" s="46"/>
      <c r="C4734" t="str">
        <f t="shared" si="674"/>
        <v/>
      </c>
      <c r="D4734" s="63" t="str">
        <f t="shared" si="675"/>
        <v/>
      </c>
      <c r="E4734" t="str">
        <f t="shared" si="676"/>
        <v/>
      </c>
      <c r="F4734">
        <f t="shared" si="677"/>
        <v>12.328231292517</v>
      </c>
      <c r="G4734" t="str">
        <f t="shared" si="678"/>
        <v/>
      </c>
    </row>
    <row r="4735" spans="2:7">
      <c r="B4735" s="46"/>
      <c r="C4735" t="str">
        <f t="shared" si="674"/>
        <v/>
      </c>
      <c r="D4735" s="63" t="str">
        <f t="shared" si="675"/>
        <v/>
      </c>
      <c r="E4735" t="str">
        <f t="shared" si="676"/>
        <v/>
      </c>
      <c r="F4735">
        <f t="shared" si="677"/>
        <v>15.0017006802721</v>
      </c>
      <c r="G4735" t="str">
        <f t="shared" si="678"/>
        <v/>
      </c>
    </row>
    <row r="4736" spans="2:7">
      <c r="B4736" s="46"/>
      <c r="C4736">
        <f t="shared" si="674"/>
        <v>10.328125</v>
      </c>
      <c r="D4736" s="63" t="str">
        <f t="shared" si="675"/>
        <v/>
      </c>
      <c r="E4736" t="str">
        <f t="shared" si="676"/>
        <v/>
      </c>
      <c r="F4736" t="str">
        <f t="shared" si="677"/>
        <v/>
      </c>
      <c r="G4736" t="str">
        <f t="shared" si="678"/>
        <v/>
      </c>
    </row>
    <row r="4737" spans="2:7">
      <c r="B4737" s="46"/>
      <c r="C4737">
        <f t="shared" si="674"/>
        <v>14.5908564814815</v>
      </c>
      <c r="D4737" s="63" t="str">
        <f t="shared" si="675"/>
        <v/>
      </c>
      <c r="E4737" t="str">
        <f t="shared" si="676"/>
        <v/>
      </c>
      <c r="F4737" t="str">
        <f t="shared" si="677"/>
        <v/>
      </c>
      <c r="G4737" t="str">
        <f t="shared" si="678"/>
        <v/>
      </c>
    </row>
    <row r="4738" spans="2:7">
      <c r="B4738" s="46"/>
      <c r="C4738">
        <f t="shared" si="674"/>
        <v>14.9409722222222</v>
      </c>
      <c r="D4738" s="63" t="str">
        <f t="shared" si="675"/>
        <v/>
      </c>
      <c r="E4738" t="str">
        <f t="shared" si="676"/>
        <v/>
      </c>
      <c r="F4738" t="str">
        <f t="shared" si="677"/>
        <v/>
      </c>
      <c r="G4738" t="str">
        <f t="shared" si="678"/>
        <v/>
      </c>
    </row>
    <row r="4739" spans="2:7">
      <c r="B4739" s="46"/>
      <c r="C4739">
        <f t="shared" si="674"/>
        <v>19.2465277777778</v>
      </c>
      <c r="D4739" s="63" t="str">
        <f t="shared" si="675"/>
        <v/>
      </c>
      <c r="E4739" t="str">
        <f t="shared" si="676"/>
        <v/>
      </c>
      <c r="F4739" t="str">
        <f t="shared" si="677"/>
        <v/>
      </c>
      <c r="G4739" t="str">
        <f t="shared" si="678"/>
        <v/>
      </c>
    </row>
    <row r="4740" spans="2:7">
      <c r="B4740" s="46"/>
      <c r="C4740" t="str">
        <f t="shared" si="674"/>
        <v/>
      </c>
      <c r="D4740" s="63">
        <f t="shared" si="675"/>
        <v>15.0340375586854</v>
      </c>
      <c r="E4740" t="str">
        <f t="shared" si="676"/>
        <v/>
      </c>
      <c r="F4740" t="str">
        <f t="shared" si="677"/>
        <v/>
      </c>
      <c r="G4740" t="str">
        <f t="shared" si="678"/>
        <v/>
      </c>
    </row>
    <row r="4741" spans="2:7">
      <c r="B4741" s="46"/>
      <c r="C4741" t="str">
        <f t="shared" si="674"/>
        <v/>
      </c>
      <c r="D4741" s="63">
        <f t="shared" si="675"/>
        <v>15.0340375586854</v>
      </c>
      <c r="E4741" t="str">
        <f t="shared" si="676"/>
        <v/>
      </c>
      <c r="F4741" t="str">
        <f t="shared" si="677"/>
        <v/>
      </c>
      <c r="G4741" t="str">
        <f t="shared" si="678"/>
        <v/>
      </c>
    </row>
    <row r="4742" spans="2:7">
      <c r="B4742" s="46"/>
      <c r="C4742" t="str">
        <f t="shared" si="674"/>
        <v/>
      </c>
      <c r="D4742" s="63">
        <f t="shared" si="675"/>
        <v>16.1343896713615</v>
      </c>
      <c r="E4742" t="str">
        <f t="shared" si="676"/>
        <v/>
      </c>
      <c r="F4742" t="str">
        <f t="shared" si="677"/>
        <v/>
      </c>
      <c r="G4742" t="str">
        <f t="shared" si="678"/>
        <v/>
      </c>
    </row>
    <row r="4743" spans="2:7">
      <c r="B4743" s="46"/>
      <c r="C4743" t="str">
        <f t="shared" si="674"/>
        <v/>
      </c>
      <c r="D4743" s="63">
        <f t="shared" si="675"/>
        <v>16.8620892018779</v>
      </c>
      <c r="E4743" t="str">
        <f t="shared" si="676"/>
        <v/>
      </c>
      <c r="F4743" t="str">
        <f t="shared" si="677"/>
        <v/>
      </c>
      <c r="G4743" t="str">
        <f t="shared" si="678"/>
        <v/>
      </c>
    </row>
    <row r="4744" spans="2:7">
      <c r="B4744" s="46"/>
      <c r="C4744" t="str">
        <f t="shared" si="674"/>
        <v/>
      </c>
      <c r="D4744" s="63" t="str">
        <f t="shared" si="675"/>
        <v/>
      </c>
      <c r="E4744">
        <f t="shared" si="676"/>
        <v>16.1245098039216</v>
      </c>
      <c r="F4744" t="str">
        <f t="shared" si="677"/>
        <v/>
      </c>
      <c r="G4744" t="str">
        <f t="shared" si="678"/>
        <v/>
      </c>
    </row>
    <row r="4745" spans="2:7">
      <c r="B4745" s="46"/>
      <c r="C4745" t="str">
        <f t="shared" si="674"/>
        <v/>
      </c>
      <c r="D4745" s="63" t="str">
        <f t="shared" si="675"/>
        <v/>
      </c>
      <c r="E4745">
        <f t="shared" si="676"/>
        <v>17.9225490196078</v>
      </c>
      <c r="F4745" t="str">
        <f t="shared" si="677"/>
        <v/>
      </c>
      <c r="G4745" t="str">
        <f t="shared" si="678"/>
        <v/>
      </c>
    </row>
    <row r="4746" spans="2:7">
      <c r="B4746" s="46"/>
      <c r="C4746" t="str">
        <f t="shared" si="674"/>
        <v/>
      </c>
      <c r="D4746" s="63" t="str">
        <f t="shared" si="675"/>
        <v/>
      </c>
      <c r="E4746">
        <f t="shared" si="676"/>
        <v>18.7166666666667</v>
      </c>
      <c r="F4746" t="str">
        <f t="shared" si="677"/>
        <v/>
      </c>
      <c r="G4746" t="str">
        <f t="shared" si="678"/>
        <v/>
      </c>
    </row>
    <row r="4747" spans="2:7">
      <c r="B4747" s="46"/>
      <c r="C4747" t="str">
        <f t="shared" si="674"/>
        <v/>
      </c>
      <c r="D4747" s="63" t="str">
        <f t="shared" si="675"/>
        <v/>
      </c>
      <c r="E4747">
        <f t="shared" si="676"/>
        <v>18.9539215686275</v>
      </c>
      <c r="F4747" t="str">
        <f t="shared" si="677"/>
        <v/>
      </c>
      <c r="G4747" t="str">
        <f t="shared" si="678"/>
        <v/>
      </c>
    </row>
    <row r="4748" spans="2:7">
      <c r="B4748" s="46"/>
      <c r="C4748" t="str">
        <f t="shared" si="674"/>
        <v/>
      </c>
      <c r="D4748" s="63" t="str">
        <f t="shared" si="675"/>
        <v/>
      </c>
      <c r="E4748" t="str">
        <f t="shared" si="676"/>
        <v/>
      </c>
      <c r="F4748" t="str">
        <f t="shared" si="677"/>
        <v/>
      </c>
      <c r="G4748">
        <f t="shared" si="678"/>
        <v>15.4449685534591</v>
      </c>
    </row>
    <row r="4749" spans="2:7">
      <c r="B4749" s="46"/>
      <c r="C4749" t="str">
        <f t="shared" si="674"/>
        <v/>
      </c>
      <c r="D4749" s="63" t="str">
        <f t="shared" si="675"/>
        <v/>
      </c>
      <c r="E4749" t="str">
        <f t="shared" si="676"/>
        <v/>
      </c>
      <c r="F4749" t="str">
        <f t="shared" si="677"/>
        <v/>
      </c>
      <c r="G4749">
        <f t="shared" si="678"/>
        <v>16.4669811320755</v>
      </c>
    </row>
    <row r="4750" spans="2:7">
      <c r="B4750" s="46"/>
      <c r="C4750" t="str">
        <f t="shared" si="674"/>
        <v/>
      </c>
      <c r="D4750" s="63" t="str">
        <f t="shared" si="675"/>
        <v/>
      </c>
      <c r="E4750" t="str">
        <f t="shared" si="676"/>
        <v/>
      </c>
      <c r="F4750" t="str">
        <f t="shared" si="677"/>
        <v/>
      </c>
      <c r="G4750">
        <f t="shared" si="678"/>
        <v>17.7877358490566</v>
      </c>
    </row>
    <row r="4751" spans="2:7">
      <c r="B4751" s="46"/>
      <c r="C4751" t="str">
        <f t="shared" si="674"/>
        <v/>
      </c>
      <c r="D4751" s="63" t="str">
        <f t="shared" si="675"/>
        <v/>
      </c>
      <c r="E4751" t="str">
        <f t="shared" si="676"/>
        <v/>
      </c>
      <c r="F4751" t="str">
        <f t="shared" si="677"/>
        <v/>
      </c>
      <c r="G4751">
        <f t="shared" si="678"/>
        <v>18.377358490566</v>
      </c>
    </row>
    <row r="4752" spans="2:7">
      <c r="B4752" s="46"/>
      <c r="C4752" t="str">
        <f t="shared" si="674"/>
        <v/>
      </c>
      <c r="D4752" s="63" t="str">
        <f t="shared" si="675"/>
        <v/>
      </c>
      <c r="E4752" t="str">
        <f t="shared" si="676"/>
        <v/>
      </c>
      <c r="F4752">
        <f t="shared" si="677"/>
        <v>15.4234693877551</v>
      </c>
      <c r="G4752" t="str">
        <f t="shared" si="678"/>
        <v/>
      </c>
    </row>
    <row r="4753" spans="2:7">
      <c r="B4753" s="46"/>
      <c r="C4753" t="str">
        <f t="shared" si="674"/>
        <v/>
      </c>
      <c r="D4753" s="63" t="str">
        <f t="shared" si="675"/>
        <v/>
      </c>
      <c r="E4753" t="str">
        <f t="shared" si="676"/>
        <v/>
      </c>
      <c r="F4753">
        <f t="shared" si="677"/>
        <v>16.7698412698413</v>
      </c>
      <c r="G4753" t="str">
        <f t="shared" si="678"/>
        <v/>
      </c>
    </row>
    <row r="4754" spans="2:7">
      <c r="B4754" s="46"/>
      <c r="C4754" t="str">
        <f t="shared" si="674"/>
        <v/>
      </c>
      <c r="D4754" s="63" t="str">
        <f t="shared" si="675"/>
        <v/>
      </c>
      <c r="E4754" t="str">
        <f t="shared" si="676"/>
        <v/>
      </c>
      <c r="F4754">
        <f t="shared" si="677"/>
        <v>18.109410430839</v>
      </c>
      <c r="G4754" t="str">
        <f t="shared" si="678"/>
        <v/>
      </c>
    </row>
    <row r="4755" spans="2:7">
      <c r="B4755" s="46"/>
      <c r="C4755" t="str">
        <f t="shared" si="674"/>
        <v/>
      </c>
      <c r="D4755" s="63" t="str">
        <f t="shared" si="675"/>
        <v/>
      </c>
      <c r="E4755" t="str">
        <f t="shared" si="676"/>
        <v/>
      </c>
      <c r="F4755">
        <f t="shared" si="677"/>
        <v>20.1581632653061</v>
      </c>
      <c r="G4755" t="str">
        <f t="shared" si="678"/>
        <v/>
      </c>
    </row>
    <row r="4756" spans="2:7">
      <c r="B4756" s="46"/>
      <c r="C4756" t="str">
        <f t="shared" si="674"/>
        <v/>
      </c>
      <c r="D4756" s="63" t="str">
        <f t="shared" si="675"/>
        <v/>
      </c>
      <c r="E4756" t="str">
        <f t="shared" si="676"/>
        <v/>
      </c>
      <c r="F4756">
        <f t="shared" si="677"/>
        <v>22.1581632653061</v>
      </c>
      <c r="G4756" t="str">
        <f t="shared" si="678"/>
        <v/>
      </c>
    </row>
    <row r="4757" spans="2:7">
      <c r="B4757" s="46"/>
      <c r="C4757" t="str">
        <f t="shared" si="674"/>
        <v/>
      </c>
      <c r="D4757" s="63" t="str">
        <f t="shared" si="675"/>
        <v/>
      </c>
      <c r="E4757" t="str">
        <f t="shared" si="676"/>
        <v/>
      </c>
      <c r="F4757">
        <f t="shared" si="677"/>
        <v>22.8781179138322</v>
      </c>
      <c r="G4757" t="str">
        <f t="shared" si="678"/>
        <v/>
      </c>
    </row>
    <row r="4758" spans="2:7">
      <c r="B4758" s="46"/>
      <c r="C4758" t="str">
        <f t="shared" si="674"/>
        <v/>
      </c>
      <c r="D4758" s="63">
        <f t="shared" si="675"/>
        <v>17.3022300469484</v>
      </c>
      <c r="E4758" t="str">
        <f t="shared" si="676"/>
        <v/>
      </c>
      <c r="F4758" t="str">
        <f t="shared" si="677"/>
        <v/>
      </c>
      <c r="G4758" t="str">
        <f t="shared" si="678"/>
        <v/>
      </c>
    </row>
    <row r="4759" spans="2:7">
      <c r="B4759" s="46"/>
      <c r="C4759" t="str">
        <f t="shared" si="674"/>
        <v/>
      </c>
      <c r="D4759" s="63">
        <f t="shared" si="675"/>
        <v>22.837441314554</v>
      </c>
      <c r="E4759" t="str">
        <f t="shared" si="676"/>
        <v/>
      </c>
      <c r="F4759" t="str">
        <f t="shared" si="677"/>
        <v/>
      </c>
      <c r="G4759" t="str">
        <f t="shared" si="678"/>
        <v/>
      </c>
    </row>
    <row r="4760" spans="2:7">
      <c r="B4760" s="46"/>
      <c r="C4760" t="str">
        <f t="shared" si="674"/>
        <v/>
      </c>
      <c r="D4760" s="63">
        <f t="shared" si="675"/>
        <v>23.7089201877934</v>
      </c>
      <c r="E4760" t="str">
        <f t="shared" si="676"/>
        <v/>
      </c>
      <c r="F4760" t="str">
        <f t="shared" si="677"/>
        <v/>
      </c>
      <c r="G4760" t="str">
        <f t="shared" si="678"/>
        <v/>
      </c>
    </row>
    <row r="4761" spans="2:7">
      <c r="B4761" s="46"/>
      <c r="C4761" t="str">
        <f t="shared" si="674"/>
        <v/>
      </c>
      <c r="D4761" s="63">
        <f t="shared" si="675"/>
        <v>24.3427230046948</v>
      </c>
      <c r="E4761" t="str">
        <f t="shared" si="676"/>
        <v/>
      </c>
      <c r="F4761" t="str">
        <f t="shared" si="677"/>
        <v/>
      </c>
      <c r="G4761" t="str">
        <f t="shared" si="678"/>
        <v/>
      </c>
    </row>
    <row r="4762" spans="2:7">
      <c r="B4762" s="46"/>
      <c r="C4762" t="str">
        <f t="shared" si="674"/>
        <v/>
      </c>
      <c r="D4762" s="63">
        <f t="shared" si="675"/>
        <v>27.5704225352113</v>
      </c>
      <c r="E4762" t="str">
        <f t="shared" si="676"/>
        <v/>
      </c>
      <c r="F4762" t="str">
        <f t="shared" si="677"/>
        <v/>
      </c>
      <c r="G4762" t="str">
        <f t="shared" si="678"/>
        <v/>
      </c>
    </row>
    <row r="4763" spans="2:7">
      <c r="B4763" s="46"/>
      <c r="C4763" t="str">
        <f t="shared" si="674"/>
        <v/>
      </c>
      <c r="D4763" s="63" t="str">
        <f t="shared" si="675"/>
        <v/>
      </c>
      <c r="E4763" t="str">
        <f t="shared" si="676"/>
        <v/>
      </c>
      <c r="F4763" t="str">
        <f t="shared" si="677"/>
        <v/>
      </c>
      <c r="G4763">
        <f t="shared" si="678"/>
        <v>19.1949685534591</v>
      </c>
    </row>
    <row r="4764" spans="2:7">
      <c r="B4764" s="46"/>
      <c r="C4764" t="str">
        <f t="shared" si="674"/>
        <v/>
      </c>
      <c r="D4764" s="63" t="str">
        <f t="shared" si="675"/>
        <v/>
      </c>
      <c r="E4764" t="str">
        <f t="shared" si="676"/>
        <v/>
      </c>
      <c r="F4764" t="str">
        <f t="shared" si="677"/>
        <v/>
      </c>
      <c r="G4764">
        <f t="shared" si="678"/>
        <v>21.9606918238994</v>
      </c>
    </row>
    <row r="4765" spans="2:7">
      <c r="B4765" s="46"/>
      <c r="C4765" t="str">
        <f t="shared" si="674"/>
        <v/>
      </c>
      <c r="D4765" s="63" t="str">
        <f t="shared" si="675"/>
        <v/>
      </c>
      <c r="E4765" t="str">
        <f t="shared" si="676"/>
        <v/>
      </c>
      <c r="F4765" t="str">
        <f t="shared" si="677"/>
        <v/>
      </c>
      <c r="G4765">
        <f t="shared" si="678"/>
        <v>21.9606918238994</v>
      </c>
    </row>
    <row r="4766" spans="2:7">
      <c r="B4766" s="46"/>
      <c r="C4766" t="str">
        <f t="shared" si="674"/>
        <v/>
      </c>
      <c r="D4766" s="63" t="str">
        <f t="shared" si="675"/>
        <v/>
      </c>
      <c r="E4766" t="str">
        <f t="shared" si="676"/>
        <v/>
      </c>
      <c r="F4766" t="str">
        <f t="shared" si="677"/>
        <v/>
      </c>
      <c r="G4766">
        <f t="shared" si="678"/>
        <v>25.2222222222222</v>
      </c>
    </row>
    <row r="4767" spans="2:7">
      <c r="B4767" s="46"/>
      <c r="C4767" t="str">
        <f t="shared" si="674"/>
        <v/>
      </c>
      <c r="D4767" s="63" t="str">
        <f t="shared" si="675"/>
        <v/>
      </c>
      <c r="E4767">
        <f t="shared" si="676"/>
        <v>22.268137254902</v>
      </c>
      <c r="F4767" t="str">
        <f t="shared" si="677"/>
        <v/>
      </c>
      <c r="G4767" t="str">
        <f t="shared" si="678"/>
        <v/>
      </c>
    </row>
    <row r="4768" spans="2:7">
      <c r="B4768" s="46"/>
      <c r="C4768" t="str">
        <f t="shared" si="674"/>
        <v/>
      </c>
      <c r="D4768" s="63" t="str">
        <f t="shared" si="675"/>
        <v/>
      </c>
      <c r="E4768">
        <f t="shared" si="676"/>
        <v>22.268137254902</v>
      </c>
      <c r="F4768" t="str">
        <f t="shared" si="677"/>
        <v/>
      </c>
      <c r="G4768" t="str">
        <f t="shared" si="678"/>
        <v/>
      </c>
    </row>
    <row r="4769" spans="2:7">
      <c r="B4769" s="46"/>
      <c r="C4769" t="str">
        <f t="shared" si="674"/>
        <v/>
      </c>
      <c r="D4769" s="63" t="str">
        <f t="shared" si="675"/>
        <v/>
      </c>
      <c r="E4769">
        <f t="shared" si="676"/>
        <v>24.6995098039216</v>
      </c>
      <c r="F4769" t="str">
        <f t="shared" si="677"/>
        <v/>
      </c>
      <c r="G4769" t="str">
        <f t="shared" si="678"/>
        <v/>
      </c>
    </row>
    <row r="4770" spans="2:7">
      <c r="B4770" s="46"/>
      <c r="C4770" t="str">
        <f t="shared" si="674"/>
        <v/>
      </c>
      <c r="D4770" s="63" t="str">
        <f t="shared" si="675"/>
        <v/>
      </c>
      <c r="E4770">
        <f t="shared" si="676"/>
        <v>25.3416666666667</v>
      </c>
      <c r="F4770" t="str">
        <f t="shared" si="677"/>
        <v/>
      </c>
      <c r="G4770" t="str">
        <f t="shared" si="678"/>
        <v/>
      </c>
    </row>
    <row r="4771" spans="2:7">
      <c r="B4771" s="46"/>
      <c r="C4771">
        <f t="shared" si="674"/>
        <v>19.5358796296296</v>
      </c>
      <c r="D4771" s="63" t="str">
        <f t="shared" si="675"/>
        <v/>
      </c>
      <c r="E4771" t="str">
        <f t="shared" si="676"/>
        <v/>
      </c>
      <c r="F4771" t="str">
        <f t="shared" si="677"/>
        <v/>
      </c>
      <c r="G4771" t="str">
        <f t="shared" si="678"/>
        <v/>
      </c>
    </row>
    <row r="4772" spans="2:7">
      <c r="B4772" s="46"/>
      <c r="C4772">
        <f t="shared" si="674"/>
        <v>20.1608796296296</v>
      </c>
      <c r="D4772" s="63" t="str">
        <f t="shared" si="675"/>
        <v/>
      </c>
      <c r="E4772" t="str">
        <f t="shared" si="676"/>
        <v/>
      </c>
      <c r="F4772" t="str">
        <f t="shared" si="677"/>
        <v/>
      </c>
      <c r="G4772" t="str">
        <f t="shared" si="678"/>
        <v/>
      </c>
    </row>
    <row r="4773" spans="2:7">
      <c r="B4773" s="46"/>
      <c r="C4773">
        <f t="shared" si="674"/>
        <v>21.7233796296296</v>
      </c>
      <c r="D4773" s="63" t="str">
        <f t="shared" si="675"/>
        <v/>
      </c>
      <c r="E4773" t="str">
        <f t="shared" si="676"/>
        <v/>
      </c>
      <c r="F4773" t="str">
        <f t="shared" si="677"/>
        <v/>
      </c>
      <c r="G4773" t="str">
        <f t="shared" si="678"/>
        <v/>
      </c>
    </row>
    <row r="4774" spans="2:7">
      <c r="B4774" s="46"/>
      <c r="C4774">
        <f t="shared" si="674"/>
        <v>22.7054398148148</v>
      </c>
      <c r="D4774" s="63" t="str">
        <f t="shared" si="675"/>
        <v/>
      </c>
      <c r="E4774" t="str">
        <f t="shared" si="676"/>
        <v/>
      </c>
      <c r="F4774" t="str">
        <f t="shared" si="677"/>
        <v/>
      </c>
      <c r="G4774" t="str">
        <f t="shared" si="678"/>
        <v/>
      </c>
    </row>
    <row r="4775" spans="2:7">
      <c r="B4775" s="46"/>
      <c r="C4775">
        <f t="shared" si="674"/>
        <v>22.7054398148148</v>
      </c>
      <c r="D4775" s="63" t="str">
        <f t="shared" si="675"/>
        <v/>
      </c>
      <c r="E4775" t="str">
        <f t="shared" si="676"/>
        <v/>
      </c>
      <c r="F4775" t="str">
        <f t="shared" si="677"/>
        <v/>
      </c>
      <c r="G4775" t="str">
        <f t="shared" si="678"/>
        <v/>
      </c>
    </row>
    <row r="4776" spans="2:7">
      <c r="B4776" s="46"/>
      <c r="C4776">
        <f t="shared" ref="C4776:C4802" si="679">IF(J72=1,S72,"")</f>
        <v>22.8512731481482</v>
      </c>
      <c r="D4776" s="63" t="str">
        <f t="shared" ref="D4776:D4802" si="680">IF(J72=2,S72,"")</f>
        <v/>
      </c>
      <c r="E4776" t="str">
        <f t="shared" ref="E4776:E4802" si="681">IF(J72=3,S72,"")</f>
        <v/>
      </c>
      <c r="F4776" t="str">
        <f t="shared" ref="F4776:F4802" si="682">IF(J72=4,S72,"")</f>
        <v/>
      </c>
      <c r="G4776" t="str">
        <f t="shared" ref="G4776:G4802" si="683">IF(J72=5,S72,"")</f>
        <v/>
      </c>
    </row>
    <row r="4777" spans="2:7">
      <c r="B4777" s="46"/>
      <c r="C4777">
        <f t="shared" si="679"/>
        <v>34.4068287037037</v>
      </c>
      <c r="D4777" s="63" t="str">
        <f t="shared" si="680"/>
        <v/>
      </c>
      <c r="E4777" t="str">
        <f t="shared" si="681"/>
        <v/>
      </c>
      <c r="F4777" t="str">
        <f t="shared" si="682"/>
        <v/>
      </c>
      <c r="G4777" t="str">
        <f t="shared" si="683"/>
        <v/>
      </c>
    </row>
    <row r="4778" spans="2:7">
      <c r="B4778" s="46"/>
      <c r="C4778">
        <f t="shared" si="679"/>
        <v>34.4068287037037</v>
      </c>
      <c r="D4778" s="63" t="str">
        <f t="shared" si="680"/>
        <v/>
      </c>
      <c r="E4778" t="str">
        <f t="shared" si="681"/>
        <v/>
      </c>
      <c r="F4778" t="str">
        <f t="shared" si="682"/>
        <v/>
      </c>
      <c r="G4778" t="str">
        <f t="shared" si="683"/>
        <v/>
      </c>
    </row>
    <row r="4779" spans="2:7">
      <c r="B4779" s="46"/>
      <c r="C4779">
        <f t="shared" si="679"/>
        <v>35.5827546296296</v>
      </c>
      <c r="D4779" s="63" t="str">
        <f t="shared" si="680"/>
        <v/>
      </c>
      <c r="E4779" t="str">
        <f t="shared" si="681"/>
        <v/>
      </c>
      <c r="F4779" t="str">
        <f t="shared" si="682"/>
        <v/>
      </c>
      <c r="G4779" t="str">
        <f t="shared" si="683"/>
        <v/>
      </c>
    </row>
    <row r="4780" spans="2:7">
      <c r="B4780" s="46"/>
      <c r="C4780">
        <f t="shared" si="679"/>
        <v>36.7893518518519</v>
      </c>
      <c r="D4780" s="63" t="str">
        <f t="shared" si="680"/>
        <v/>
      </c>
      <c r="E4780" t="str">
        <f t="shared" si="681"/>
        <v/>
      </c>
      <c r="F4780" t="str">
        <f t="shared" si="682"/>
        <v/>
      </c>
      <c r="G4780" t="str">
        <f t="shared" si="683"/>
        <v/>
      </c>
    </row>
    <row r="4781" spans="2:7">
      <c r="B4781" s="46"/>
      <c r="C4781" t="str">
        <f t="shared" si="679"/>
        <v/>
      </c>
      <c r="D4781" s="63" t="str">
        <f t="shared" si="680"/>
        <v/>
      </c>
      <c r="E4781" t="str">
        <f t="shared" si="681"/>
        <v/>
      </c>
      <c r="F4781">
        <f t="shared" si="682"/>
        <v>23.4404761904762</v>
      </c>
      <c r="G4781" t="str">
        <f t="shared" si="683"/>
        <v/>
      </c>
    </row>
    <row r="4782" spans="2:7">
      <c r="B4782" s="46"/>
      <c r="C4782" t="str">
        <f t="shared" si="679"/>
        <v/>
      </c>
      <c r="D4782" s="63" t="str">
        <f t="shared" si="680"/>
        <v/>
      </c>
      <c r="E4782" t="str">
        <f t="shared" si="681"/>
        <v/>
      </c>
      <c r="F4782">
        <f t="shared" si="682"/>
        <v>24.3616780045352</v>
      </c>
      <c r="G4782" t="str">
        <f t="shared" si="683"/>
        <v/>
      </c>
    </row>
    <row r="4783" spans="2:7">
      <c r="B4783" s="46"/>
      <c r="C4783" t="str">
        <f t="shared" si="679"/>
        <v/>
      </c>
      <c r="D4783" s="63" t="str">
        <f t="shared" si="680"/>
        <v/>
      </c>
      <c r="E4783" t="str">
        <f t="shared" si="681"/>
        <v/>
      </c>
      <c r="F4783">
        <f t="shared" si="682"/>
        <v>25.8378684807256</v>
      </c>
      <c r="G4783" t="str">
        <f t="shared" si="683"/>
        <v/>
      </c>
    </row>
    <row r="4784" spans="2:7">
      <c r="B4784" s="46"/>
      <c r="C4784" t="str">
        <f t="shared" si="679"/>
        <v/>
      </c>
      <c r="D4784" s="63" t="str">
        <f t="shared" si="680"/>
        <v/>
      </c>
      <c r="E4784" t="str">
        <f t="shared" si="681"/>
        <v/>
      </c>
      <c r="F4784">
        <f t="shared" si="682"/>
        <v>29.4625850340136</v>
      </c>
      <c r="G4784" t="str">
        <f t="shared" si="683"/>
        <v/>
      </c>
    </row>
    <row r="4785" spans="2:7">
      <c r="B4785" s="46"/>
      <c r="C4785" t="str">
        <f t="shared" si="679"/>
        <v/>
      </c>
      <c r="D4785" s="63" t="str">
        <f t="shared" si="680"/>
        <v/>
      </c>
      <c r="E4785" t="str">
        <f t="shared" si="681"/>
        <v/>
      </c>
      <c r="F4785">
        <f t="shared" si="682"/>
        <v>30.092970521542</v>
      </c>
      <c r="G4785" t="str">
        <f t="shared" si="683"/>
        <v/>
      </c>
    </row>
    <row r="4786" spans="2:7">
      <c r="B4786" s="46"/>
      <c r="C4786" t="str">
        <f t="shared" si="679"/>
        <v/>
      </c>
      <c r="D4786" s="63" t="str">
        <f t="shared" si="680"/>
        <v/>
      </c>
      <c r="E4786" t="str">
        <f t="shared" si="681"/>
        <v/>
      </c>
      <c r="F4786">
        <f t="shared" si="682"/>
        <v>30.8809523809524</v>
      </c>
      <c r="G4786" t="str">
        <f t="shared" si="683"/>
        <v/>
      </c>
    </row>
    <row r="4787" spans="2:7">
      <c r="B4787" s="46"/>
      <c r="C4787" t="str">
        <f t="shared" si="679"/>
        <v/>
      </c>
      <c r="D4787" s="63" t="str">
        <f t="shared" si="680"/>
        <v/>
      </c>
      <c r="E4787" t="str">
        <f t="shared" si="681"/>
        <v/>
      </c>
      <c r="F4787" t="str">
        <f t="shared" si="682"/>
        <v/>
      </c>
      <c r="G4787">
        <f t="shared" si="683"/>
        <v>26.0235849056604</v>
      </c>
    </row>
    <row r="4788" spans="2:7">
      <c r="B4788" s="46"/>
      <c r="C4788" t="str">
        <f t="shared" si="679"/>
        <v/>
      </c>
      <c r="D4788" s="63" t="str">
        <f t="shared" si="680"/>
        <v/>
      </c>
      <c r="E4788" t="str">
        <f t="shared" si="681"/>
        <v/>
      </c>
      <c r="F4788" t="str">
        <f t="shared" si="682"/>
        <v/>
      </c>
      <c r="G4788">
        <f t="shared" si="683"/>
        <v>26.8977987421384</v>
      </c>
    </row>
    <row r="4789" spans="2:7">
      <c r="B4789" s="46"/>
      <c r="C4789" t="str">
        <f t="shared" si="679"/>
        <v/>
      </c>
      <c r="D4789" s="63" t="str">
        <f t="shared" si="680"/>
        <v/>
      </c>
      <c r="E4789" t="str">
        <f t="shared" si="681"/>
        <v/>
      </c>
      <c r="F4789" t="str">
        <f t="shared" si="682"/>
        <v/>
      </c>
      <c r="G4789">
        <f t="shared" si="683"/>
        <v>27.8448637316562</v>
      </c>
    </row>
    <row r="4790" spans="2:7">
      <c r="B4790" s="46"/>
      <c r="C4790" t="str">
        <f t="shared" si="679"/>
        <v/>
      </c>
      <c r="D4790" s="63" t="str">
        <f t="shared" si="680"/>
        <v/>
      </c>
      <c r="E4790" t="str">
        <f t="shared" si="681"/>
        <v/>
      </c>
      <c r="F4790" t="str">
        <f t="shared" si="682"/>
        <v/>
      </c>
      <c r="G4790">
        <f t="shared" si="683"/>
        <v>29.229035639413</v>
      </c>
    </row>
    <row r="4791" spans="2:7">
      <c r="B4791" s="46"/>
      <c r="C4791" t="str">
        <f t="shared" si="679"/>
        <v/>
      </c>
      <c r="D4791" s="63" t="str">
        <f t="shared" si="680"/>
        <v/>
      </c>
      <c r="E4791">
        <f t="shared" si="681"/>
        <v>25.5460784313725</v>
      </c>
      <c r="F4791" t="str">
        <f t="shared" si="682"/>
        <v/>
      </c>
      <c r="G4791" t="str">
        <f t="shared" si="683"/>
        <v/>
      </c>
    </row>
    <row r="4792" spans="2:7">
      <c r="B4792" s="46"/>
      <c r="C4792" t="str">
        <f t="shared" si="679"/>
        <v/>
      </c>
      <c r="D4792" s="63" t="str">
        <f t="shared" si="680"/>
        <v/>
      </c>
      <c r="E4792">
        <f t="shared" si="681"/>
        <v>28.8676470588235</v>
      </c>
      <c r="F4792" t="str">
        <f t="shared" si="682"/>
        <v/>
      </c>
      <c r="G4792" t="str">
        <f t="shared" si="683"/>
        <v/>
      </c>
    </row>
    <row r="4793" spans="2:7">
      <c r="B4793" s="46"/>
      <c r="C4793">
        <f t="shared" si="679"/>
        <v>39.1041666666667</v>
      </c>
      <c r="D4793" s="63" t="str">
        <f t="shared" si="680"/>
        <v/>
      </c>
      <c r="E4793" t="str">
        <f t="shared" si="681"/>
        <v/>
      </c>
      <c r="F4793" t="str">
        <f t="shared" si="682"/>
        <v/>
      </c>
      <c r="G4793" t="str">
        <f t="shared" si="683"/>
        <v/>
      </c>
    </row>
    <row r="4794" spans="2:7">
      <c r="B4794" s="46"/>
      <c r="C4794" t="str">
        <f t="shared" si="679"/>
        <v/>
      </c>
      <c r="D4794" s="63" t="str">
        <f t="shared" si="680"/>
        <v/>
      </c>
      <c r="E4794">
        <f t="shared" si="681"/>
        <v>30.843137254902</v>
      </c>
      <c r="F4794" t="str">
        <f t="shared" si="682"/>
        <v/>
      </c>
      <c r="G4794" t="str">
        <f t="shared" si="683"/>
        <v/>
      </c>
    </row>
    <row r="4795" spans="2:7">
      <c r="B4795" s="46"/>
      <c r="C4795" t="str">
        <f t="shared" si="679"/>
        <v/>
      </c>
      <c r="D4795" s="63" t="str">
        <f t="shared" si="680"/>
        <v/>
      </c>
      <c r="E4795">
        <f t="shared" si="681"/>
        <v>32.2524509803922</v>
      </c>
      <c r="F4795" t="str">
        <f t="shared" si="682"/>
        <v/>
      </c>
      <c r="G4795" t="str">
        <f t="shared" si="683"/>
        <v/>
      </c>
    </row>
    <row r="4796" spans="2:7">
      <c r="B4796" s="46"/>
      <c r="C4796" t="str">
        <f t="shared" si="679"/>
        <v/>
      </c>
      <c r="D4796" s="63">
        <f t="shared" si="680"/>
        <v>30.1643192488263</v>
      </c>
      <c r="E4796" t="str">
        <f t="shared" si="681"/>
        <v/>
      </c>
      <c r="F4796" t="str">
        <f t="shared" si="682"/>
        <v/>
      </c>
      <c r="G4796" t="str">
        <f t="shared" si="683"/>
        <v/>
      </c>
    </row>
    <row r="4797" spans="2:7">
      <c r="B4797" s="46"/>
      <c r="C4797" t="str">
        <f t="shared" si="679"/>
        <v/>
      </c>
      <c r="D4797" s="63">
        <f t="shared" si="680"/>
        <v>32.7840375586854</v>
      </c>
      <c r="E4797" t="str">
        <f t="shared" si="681"/>
        <v/>
      </c>
      <c r="F4797" t="str">
        <f t="shared" si="682"/>
        <v/>
      </c>
      <c r="G4797" t="str">
        <f t="shared" si="683"/>
        <v/>
      </c>
    </row>
    <row r="4798" spans="2:7">
      <c r="B4798" s="46"/>
      <c r="C4798" t="str">
        <f t="shared" si="679"/>
        <v/>
      </c>
      <c r="D4798" s="63">
        <f t="shared" si="680"/>
        <v>35.31279342723</v>
      </c>
      <c r="E4798" t="str">
        <f t="shared" si="681"/>
        <v/>
      </c>
      <c r="F4798" t="str">
        <f t="shared" si="682"/>
        <v/>
      </c>
      <c r="G4798" t="str">
        <f t="shared" si="683"/>
        <v/>
      </c>
    </row>
    <row r="4799" spans="2:7">
      <c r="B4799" s="46"/>
      <c r="C4799" t="str">
        <f t="shared" si="679"/>
        <v/>
      </c>
      <c r="D4799" s="63">
        <f t="shared" si="680"/>
        <v>37.6895539906103</v>
      </c>
      <c r="E4799" t="str">
        <f t="shared" si="681"/>
        <v/>
      </c>
      <c r="F4799" t="str">
        <f t="shared" si="682"/>
        <v/>
      </c>
      <c r="G4799" t="str">
        <f t="shared" si="683"/>
        <v/>
      </c>
    </row>
    <row r="4800" spans="2:7">
      <c r="B4800" s="46"/>
      <c r="C4800" t="str">
        <f t="shared" si="679"/>
        <v/>
      </c>
      <c r="D4800" s="63" t="str">
        <f t="shared" si="680"/>
        <v/>
      </c>
      <c r="E4800" t="str">
        <f t="shared" si="681"/>
        <v/>
      </c>
      <c r="F4800" t="str">
        <f t="shared" si="682"/>
        <v/>
      </c>
      <c r="G4800">
        <f t="shared" si="683"/>
        <v>31.5120545073375</v>
      </c>
    </row>
    <row r="4801" spans="2:7">
      <c r="B4801" s="46"/>
      <c r="C4801" t="str">
        <f t="shared" si="679"/>
        <v/>
      </c>
      <c r="D4801" s="63" t="str">
        <f t="shared" si="680"/>
        <v/>
      </c>
      <c r="E4801" t="str">
        <f t="shared" si="681"/>
        <v/>
      </c>
      <c r="F4801" t="str">
        <f t="shared" si="682"/>
        <v/>
      </c>
      <c r="G4801">
        <f t="shared" si="683"/>
        <v>33.3464360587002</v>
      </c>
    </row>
    <row r="4802" ht="15.75" spans="2:7">
      <c r="B4802" s="46"/>
      <c r="C4802" t="str">
        <f t="shared" si="679"/>
        <v/>
      </c>
      <c r="D4802" s="63" t="str">
        <f t="shared" si="680"/>
        <v/>
      </c>
      <c r="E4802" t="str">
        <f t="shared" si="681"/>
        <v/>
      </c>
      <c r="F4802" t="str">
        <f t="shared" si="682"/>
        <v/>
      </c>
      <c r="G4802">
        <f t="shared" si="683"/>
        <v>35.6105870020964</v>
      </c>
    </row>
    <row r="4803" spans="2:7">
      <c r="B4803" s="74" t="s">
        <v>269</v>
      </c>
      <c r="C4803" s="75">
        <f>MAX(C4712:C4802)</f>
        <v>39.1041666666667</v>
      </c>
      <c r="D4803" s="75">
        <f t="shared" ref="D4803:G4803" si="684">MAX(D4712:D4802)</f>
        <v>37.6895539906103</v>
      </c>
      <c r="E4803" s="75">
        <f t="shared" si="684"/>
        <v>32.2524509803922</v>
      </c>
      <c r="F4803" s="75">
        <f t="shared" si="684"/>
        <v>30.8809523809524</v>
      </c>
      <c r="G4803" s="75">
        <f t="shared" si="684"/>
        <v>35.6105870020964</v>
      </c>
    </row>
    <row r="4804" spans="2:7">
      <c r="B4804" s="76" t="s">
        <v>270</v>
      </c>
      <c r="C4804" s="77">
        <v>1</v>
      </c>
      <c r="D4804" s="78">
        <v>2</v>
      </c>
      <c r="E4804">
        <v>3</v>
      </c>
      <c r="F4804">
        <v>4</v>
      </c>
      <c r="G4804">
        <v>5</v>
      </c>
    </row>
    <row r="4805" spans="2:7">
      <c r="B4805" s="79" t="s">
        <v>271</v>
      </c>
      <c r="C4805" s="72">
        <f>HLOOKUP(MIN(C4803:G4803),C4803:G4804,2,FALSE)</f>
        <v>4</v>
      </c>
      <c r="D4805" s="80"/>
    </row>
    <row r="4807" ht="15.75" spans="2:7">
      <c r="B4807" s="43" t="s">
        <v>362</v>
      </c>
      <c r="C4807" s="44"/>
      <c r="D4807" s="45"/>
    </row>
    <row r="4808" spans="2:7">
      <c r="B4808" s="46"/>
      <c r="C4808" s="61" t="s">
        <v>264</v>
      </c>
      <c r="D4808" s="61" t="s">
        <v>265</v>
      </c>
      <c r="E4808" s="62" t="s">
        <v>286</v>
      </c>
      <c r="F4808" s="62" t="s">
        <v>287</v>
      </c>
      <c r="G4808" s="62" t="s">
        <v>288</v>
      </c>
    </row>
    <row r="4809" spans="2:7">
      <c r="B4809" s="46"/>
      <c r="C4809">
        <f t="shared" ref="C4809:C4872" si="685">IF(J8=1,S8,"")</f>
        <v>0.700231481481482</v>
      </c>
      <c r="D4809" s="63" t="str">
        <f t="shared" ref="D4809:D4872" si="686">IF(J8=2,S8,"")</f>
        <v/>
      </c>
      <c r="E4809" t="str">
        <f t="shared" ref="E4809:E4872" si="687">IF(J8=3,S8,"")</f>
        <v/>
      </c>
      <c r="F4809" t="str">
        <f t="shared" ref="F4809:F4872" si="688">IF(J8=4,S8,"")</f>
        <v/>
      </c>
      <c r="G4809" t="str">
        <f t="shared" ref="G4809:G4872" si="689">IF(J8=5,S8,"")</f>
        <v/>
      </c>
    </row>
    <row r="4810" spans="2:7">
      <c r="B4810" s="46"/>
      <c r="C4810" t="str">
        <f t="shared" si="685"/>
        <v/>
      </c>
      <c r="D4810" s="63">
        <f t="shared" si="686"/>
        <v>0.734154929577465</v>
      </c>
      <c r="E4810" t="str">
        <f t="shared" si="687"/>
        <v/>
      </c>
      <c r="F4810" t="str">
        <f t="shared" si="688"/>
        <v/>
      </c>
      <c r="G4810" t="str">
        <f t="shared" si="689"/>
        <v/>
      </c>
    </row>
    <row r="4811" spans="2:7">
      <c r="B4811" s="46"/>
      <c r="C4811" t="str">
        <f t="shared" si="685"/>
        <v/>
      </c>
      <c r="D4811" s="63" t="str">
        <f t="shared" si="686"/>
        <v/>
      </c>
      <c r="E4811">
        <f t="shared" si="687"/>
        <v>1.83823529411765</v>
      </c>
      <c r="F4811" t="str">
        <f t="shared" si="688"/>
        <v/>
      </c>
      <c r="G4811" t="str">
        <f t="shared" si="689"/>
        <v/>
      </c>
    </row>
    <row r="4812" spans="2:7">
      <c r="B4812" s="46"/>
      <c r="C4812" t="str">
        <f t="shared" si="685"/>
        <v/>
      </c>
      <c r="D4812" s="63" t="str">
        <f t="shared" si="686"/>
        <v/>
      </c>
      <c r="E4812" t="str">
        <f t="shared" si="687"/>
        <v/>
      </c>
      <c r="F4812">
        <f t="shared" si="688"/>
        <v>4.28571428571429</v>
      </c>
      <c r="G4812" t="str">
        <f t="shared" si="689"/>
        <v/>
      </c>
    </row>
    <row r="4813" spans="2:7">
      <c r="B4813" s="46"/>
      <c r="C4813" t="str">
        <f t="shared" si="685"/>
        <v/>
      </c>
      <c r="D4813" s="63" t="str">
        <f t="shared" si="686"/>
        <v/>
      </c>
      <c r="E4813" t="str">
        <f t="shared" si="687"/>
        <v/>
      </c>
      <c r="F4813" t="str">
        <f t="shared" si="688"/>
        <v/>
      </c>
      <c r="G4813">
        <f t="shared" si="689"/>
        <v>3.43396226415094</v>
      </c>
    </row>
    <row r="4814" spans="2:7">
      <c r="B4814" s="46"/>
      <c r="C4814" t="str">
        <f t="shared" si="685"/>
        <v/>
      </c>
      <c r="D4814" s="63" t="str">
        <f t="shared" si="686"/>
        <v/>
      </c>
      <c r="E4814">
        <f t="shared" si="687"/>
        <v>14.5833333333333</v>
      </c>
      <c r="F4814" t="str">
        <f t="shared" si="688"/>
        <v/>
      </c>
      <c r="G4814" t="str">
        <f t="shared" si="689"/>
        <v/>
      </c>
    </row>
    <row r="4815" spans="2:7">
      <c r="B4815" s="46"/>
      <c r="C4815" t="str">
        <f t="shared" si="685"/>
        <v/>
      </c>
      <c r="D4815" s="63" t="str">
        <f t="shared" si="686"/>
        <v/>
      </c>
      <c r="E4815" t="str">
        <f t="shared" si="687"/>
        <v/>
      </c>
      <c r="F4815">
        <f t="shared" si="688"/>
        <v>6.42857142857143</v>
      </c>
      <c r="G4815" t="str">
        <f t="shared" si="689"/>
        <v/>
      </c>
    </row>
    <row r="4816" spans="2:7">
      <c r="B4816" s="46"/>
      <c r="C4816" t="str">
        <f t="shared" si="685"/>
        <v/>
      </c>
      <c r="D4816" s="63" t="str">
        <f t="shared" si="686"/>
        <v/>
      </c>
      <c r="E4816" t="str">
        <f t="shared" si="687"/>
        <v/>
      </c>
      <c r="F4816" t="str">
        <f t="shared" si="688"/>
        <v/>
      </c>
      <c r="G4816">
        <f t="shared" si="689"/>
        <v>3.84591194968553</v>
      </c>
    </row>
    <row r="4817" spans="2:7">
      <c r="B4817" s="46"/>
      <c r="C4817">
        <f t="shared" si="685"/>
        <v>0.844907407407407</v>
      </c>
      <c r="D4817" s="63" t="str">
        <f t="shared" si="686"/>
        <v/>
      </c>
      <c r="E4817" t="str">
        <f t="shared" si="687"/>
        <v/>
      </c>
      <c r="F4817" t="str">
        <f t="shared" si="688"/>
        <v/>
      </c>
      <c r="G4817" t="str">
        <f t="shared" si="689"/>
        <v/>
      </c>
    </row>
    <row r="4818" spans="2:7">
      <c r="B4818" s="46"/>
      <c r="C4818">
        <f t="shared" si="685"/>
        <v>6.79803240740741</v>
      </c>
      <c r="D4818" s="63" t="str">
        <f t="shared" si="686"/>
        <v/>
      </c>
      <c r="E4818" t="str">
        <f t="shared" si="687"/>
        <v/>
      </c>
      <c r="F4818" t="str">
        <f t="shared" si="688"/>
        <v/>
      </c>
      <c r="G4818" t="str">
        <f t="shared" si="689"/>
        <v/>
      </c>
    </row>
    <row r="4819" spans="2:7">
      <c r="B4819" s="46"/>
      <c r="C4819">
        <f t="shared" si="685"/>
        <v>6.79803240740741</v>
      </c>
      <c r="D4819" s="63" t="str">
        <f t="shared" si="686"/>
        <v/>
      </c>
      <c r="E4819" t="str">
        <f t="shared" si="687"/>
        <v/>
      </c>
      <c r="F4819" t="str">
        <f t="shared" si="688"/>
        <v/>
      </c>
      <c r="G4819" t="str">
        <f t="shared" si="689"/>
        <v/>
      </c>
    </row>
    <row r="4820" spans="2:7">
      <c r="B4820" s="46"/>
      <c r="C4820">
        <f t="shared" si="685"/>
        <v>7.52719907407408</v>
      </c>
      <c r="D4820" s="63" t="str">
        <f t="shared" si="686"/>
        <v/>
      </c>
      <c r="E4820" t="str">
        <f t="shared" si="687"/>
        <v/>
      </c>
      <c r="F4820" t="str">
        <f t="shared" si="688"/>
        <v/>
      </c>
      <c r="G4820" t="str">
        <f t="shared" si="689"/>
        <v/>
      </c>
    </row>
    <row r="4821" spans="2:7">
      <c r="B4821" s="46"/>
      <c r="C4821" t="str">
        <f t="shared" si="685"/>
        <v/>
      </c>
      <c r="D4821" s="63">
        <f t="shared" si="686"/>
        <v>2.7881455399061</v>
      </c>
      <c r="E4821" t="str">
        <f t="shared" si="687"/>
        <v/>
      </c>
      <c r="F4821" t="str">
        <f t="shared" si="688"/>
        <v/>
      </c>
      <c r="G4821" t="str">
        <f t="shared" si="689"/>
        <v/>
      </c>
    </row>
    <row r="4822" spans="2:7">
      <c r="B4822" s="46"/>
      <c r="C4822" t="str">
        <f t="shared" si="685"/>
        <v/>
      </c>
      <c r="D4822" s="63">
        <f t="shared" si="686"/>
        <v>4.47535211267606</v>
      </c>
      <c r="E4822" t="str">
        <f t="shared" si="687"/>
        <v/>
      </c>
      <c r="F4822" t="str">
        <f t="shared" si="688"/>
        <v/>
      </c>
      <c r="G4822" t="str">
        <f t="shared" si="689"/>
        <v/>
      </c>
    </row>
    <row r="4823" spans="2:7">
      <c r="B4823" s="46"/>
      <c r="C4823" t="str">
        <f t="shared" si="685"/>
        <v/>
      </c>
      <c r="D4823" s="63">
        <f t="shared" si="686"/>
        <v>6.10680751173709</v>
      </c>
      <c r="E4823" t="str">
        <f t="shared" si="687"/>
        <v/>
      </c>
      <c r="F4823" t="str">
        <f t="shared" si="688"/>
        <v/>
      </c>
      <c r="G4823" t="str">
        <f t="shared" si="689"/>
        <v/>
      </c>
    </row>
    <row r="4824" spans="2:7">
      <c r="B4824" s="46"/>
      <c r="C4824" t="str">
        <f t="shared" si="685"/>
        <v/>
      </c>
      <c r="D4824" s="63">
        <f t="shared" si="686"/>
        <v>8.50821596244131</v>
      </c>
      <c r="E4824" t="str">
        <f t="shared" si="687"/>
        <v/>
      </c>
      <c r="F4824" t="str">
        <f t="shared" si="688"/>
        <v/>
      </c>
      <c r="G4824" t="str">
        <f t="shared" si="689"/>
        <v/>
      </c>
    </row>
    <row r="4825" spans="2:7">
      <c r="B4825" s="46"/>
      <c r="C4825" t="str">
        <f t="shared" si="685"/>
        <v/>
      </c>
      <c r="D4825" s="63">
        <f t="shared" si="686"/>
        <v>10.268779342723</v>
      </c>
      <c r="E4825" t="str">
        <f t="shared" si="687"/>
        <v/>
      </c>
      <c r="F4825" t="str">
        <f t="shared" si="688"/>
        <v/>
      </c>
      <c r="G4825" t="str">
        <f t="shared" si="689"/>
        <v/>
      </c>
    </row>
    <row r="4826" spans="2:7">
      <c r="B4826" s="46"/>
      <c r="C4826" t="str">
        <f t="shared" si="685"/>
        <v/>
      </c>
      <c r="D4826" s="63" t="str">
        <f t="shared" si="686"/>
        <v/>
      </c>
      <c r="E4826" t="str">
        <f t="shared" si="687"/>
        <v/>
      </c>
      <c r="F4826" t="str">
        <f t="shared" si="688"/>
        <v/>
      </c>
      <c r="G4826">
        <f t="shared" si="689"/>
        <v>7.67610062893082</v>
      </c>
    </row>
    <row r="4827" spans="2:7">
      <c r="B4827" s="46"/>
      <c r="C4827" t="str">
        <f t="shared" si="685"/>
        <v/>
      </c>
      <c r="D4827" s="63" t="str">
        <f t="shared" si="686"/>
        <v/>
      </c>
      <c r="E4827" t="str">
        <f t="shared" si="687"/>
        <v/>
      </c>
      <c r="F4827" t="str">
        <f t="shared" si="688"/>
        <v/>
      </c>
      <c r="G4827">
        <f t="shared" si="689"/>
        <v>10.3836477987421</v>
      </c>
    </row>
    <row r="4828" spans="2:7">
      <c r="B4828" s="46"/>
      <c r="C4828" t="str">
        <f t="shared" si="685"/>
        <v/>
      </c>
      <c r="D4828" s="63" t="str">
        <f t="shared" si="686"/>
        <v/>
      </c>
      <c r="E4828" t="str">
        <f t="shared" si="687"/>
        <v/>
      </c>
      <c r="F4828" t="str">
        <f t="shared" si="688"/>
        <v/>
      </c>
      <c r="G4828">
        <f t="shared" si="689"/>
        <v>13.2138364779874</v>
      </c>
    </row>
    <row r="4829" spans="2:7">
      <c r="B4829" s="46"/>
      <c r="C4829" t="str">
        <f t="shared" si="685"/>
        <v/>
      </c>
      <c r="D4829" s="63" t="str">
        <f t="shared" si="686"/>
        <v/>
      </c>
      <c r="E4829" t="str">
        <f t="shared" si="687"/>
        <v/>
      </c>
      <c r="F4829" t="str">
        <f t="shared" si="688"/>
        <v/>
      </c>
      <c r="G4829">
        <f t="shared" si="689"/>
        <v>14.7243186582809</v>
      </c>
    </row>
    <row r="4830" spans="2:7">
      <c r="B4830" s="46"/>
      <c r="C4830" t="str">
        <f t="shared" si="685"/>
        <v/>
      </c>
      <c r="D4830" s="63" t="str">
        <f t="shared" si="686"/>
        <v/>
      </c>
      <c r="E4830" t="str">
        <f t="shared" si="687"/>
        <v/>
      </c>
      <c r="F4830">
        <f t="shared" si="688"/>
        <v>9.17630385487529</v>
      </c>
      <c r="G4830" t="str">
        <f t="shared" si="689"/>
        <v/>
      </c>
    </row>
    <row r="4831" spans="2:7">
      <c r="B4831" s="46"/>
      <c r="C4831" t="str">
        <f t="shared" si="685"/>
        <v/>
      </c>
      <c r="D4831" s="63" t="str">
        <f t="shared" si="686"/>
        <v/>
      </c>
      <c r="E4831" t="str">
        <f t="shared" si="687"/>
        <v/>
      </c>
      <c r="F4831">
        <f t="shared" si="688"/>
        <v>12.328231292517</v>
      </c>
      <c r="G4831" t="str">
        <f t="shared" si="689"/>
        <v/>
      </c>
    </row>
    <row r="4832" spans="2:7">
      <c r="B4832" s="46"/>
      <c r="C4832" t="str">
        <f t="shared" si="685"/>
        <v/>
      </c>
      <c r="D4832" s="63" t="str">
        <f t="shared" si="686"/>
        <v/>
      </c>
      <c r="E4832" t="str">
        <f t="shared" si="687"/>
        <v/>
      </c>
      <c r="F4832">
        <f t="shared" si="688"/>
        <v>15.0017006802721</v>
      </c>
      <c r="G4832" t="str">
        <f t="shared" si="689"/>
        <v/>
      </c>
    </row>
    <row r="4833" spans="2:7">
      <c r="B4833" s="46"/>
      <c r="C4833">
        <f t="shared" si="685"/>
        <v>10.328125</v>
      </c>
      <c r="D4833" s="63" t="str">
        <f t="shared" si="686"/>
        <v/>
      </c>
      <c r="E4833" t="str">
        <f t="shared" si="687"/>
        <v/>
      </c>
      <c r="F4833" t="str">
        <f t="shared" si="688"/>
        <v/>
      </c>
      <c r="G4833" t="str">
        <f t="shared" si="689"/>
        <v/>
      </c>
    </row>
    <row r="4834" spans="2:7">
      <c r="B4834" s="46"/>
      <c r="C4834">
        <f t="shared" si="685"/>
        <v>14.5908564814815</v>
      </c>
      <c r="D4834" s="63" t="str">
        <f t="shared" si="686"/>
        <v/>
      </c>
      <c r="E4834" t="str">
        <f t="shared" si="687"/>
        <v/>
      </c>
      <c r="F4834" t="str">
        <f t="shared" si="688"/>
        <v/>
      </c>
      <c r="G4834" t="str">
        <f t="shared" si="689"/>
        <v/>
      </c>
    </row>
    <row r="4835" spans="2:7">
      <c r="B4835" s="46"/>
      <c r="C4835">
        <f t="shared" si="685"/>
        <v>14.9409722222222</v>
      </c>
      <c r="D4835" s="63" t="str">
        <f t="shared" si="686"/>
        <v/>
      </c>
      <c r="E4835" t="str">
        <f t="shared" si="687"/>
        <v/>
      </c>
      <c r="F4835" t="str">
        <f t="shared" si="688"/>
        <v/>
      </c>
      <c r="G4835" t="str">
        <f t="shared" si="689"/>
        <v/>
      </c>
    </row>
    <row r="4836" spans="2:7">
      <c r="B4836" s="46"/>
      <c r="C4836">
        <f t="shared" si="685"/>
        <v>19.2465277777778</v>
      </c>
      <c r="D4836" s="63" t="str">
        <f t="shared" si="686"/>
        <v/>
      </c>
      <c r="E4836" t="str">
        <f t="shared" si="687"/>
        <v/>
      </c>
      <c r="F4836" t="str">
        <f t="shared" si="688"/>
        <v/>
      </c>
      <c r="G4836" t="str">
        <f t="shared" si="689"/>
        <v/>
      </c>
    </row>
    <row r="4837" spans="2:7">
      <c r="B4837" s="46"/>
      <c r="C4837" t="str">
        <f t="shared" si="685"/>
        <v/>
      </c>
      <c r="D4837" s="63">
        <f t="shared" si="686"/>
        <v>15.0340375586854</v>
      </c>
      <c r="E4837" t="str">
        <f t="shared" si="687"/>
        <v/>
      </c>
      <c r="F4837" t="str">
        <f t="shared" si="688"/>
        <v/>
      </c>
      <c r="G4837" t="str">
        <f t="shared" si="689"/>
        <v/>
      </c>
    </row>
    <row r="4838" spans="2:7">
      <c r="B4838" s="46"/>
      <c r="C4838" t="str">
        <f t="shared" si="685"/>
        <v/>
      </c>
      <c r="D4838" s="63">
        <f t="shared" si="686"/>
        <v>15.0340375586854</v>
      </c>
      <c r="E4838" t="str">
        <f t="shared" si="687"/>
        <v/>
      </c>
      <c r="F4838" t="str">
        <f t="shared" si="688"/>
        <v/>
      </c>
      <c r="G4838" t="str">
        <f t="shared" si="689"/>
        <v/>
      </c>
    </row>
    <row r="4839" spans="2:7">
      <c r="B4839" s="46"/>
      <c r="C4839" t="str">
        <f t="shared" si="685"/>
        <v/>
      </c>
      <c r="D4839" s="63">
        <f t="shared" si="686"/>
        <v>16.1343896713615</v>
      </c>
      <c r="E4839" t="str">
        <f t="shared" si="687"/>
        <v/>
      </c>
      <c r="F4839" t="str">
        <f t="shared" si="688"/>
        <v/>
      </c>
      <c r="G4839" t="str">
        <f t="shared" si="689"/>
        <v/>
      </c>
    </row>
    <row r="4840" spans="2:7">
      <c r="B4840" s="46"/>
      <c r="C4840" t="str">
        <f t="shared" si="685"/>
        <v/>
      </c>
      <c r="D4840" s="63">
        <f t="shared" si="686"/>
        <v>16.8620892018779</v>
      </c>
      <c r="E4840" t="str">
        <f t="shared" si="687"/>
        <v/>
      </c>
      <c r="F4840" t="str">
        <f t="shared" si="688"/>
        <v/>
      </c>
      <c r="G4840" t="str">
        <f t="shared" si="689"/>
        <v/>
      </c>
    </row>
    <row r="4841" spans="2:7">
      <c r="B4841" s="46"/>
      <c r="C4841" t="str">
        <f t="shared" si="685"/>
        <v/>
      </c>
      <c r="D4841" s="63" t="str">
        <f t="shared" si="686"/>
        <v/>
      </c>
      <c r="E4841">
        <f t="shared" si="687"/>
        <v>16.1245098039216</v>
      </c>
      <c r="F4841" t="str">
        <f t="shared" si="688"/>
        <v/>
      </c>
      <c r="G4841" t="str">
        <f t="shared" si="689"/>
        <v/>
      </c>
    </row>
    <row r="4842" spans="2:7">
      <c r="B4842" s="46"/>
      <c r="C4842" t="str">
        <f t="shared" si="685"/>
        <v/>
      </c>
      <c r="D4842" s="63" t="str">
        <f t="shared" si="686"/>
        <v/>
      </c>
      <c r="E4842">
        <f t="shared" si="687"/>
        <v>17.9225490196078</v>
      </c>
      <c r="F4842" t="str">
        <f t="shared" si="688"/>
        <v/>
      </c>
      <c r="G4842" t="str">
        <f t="shared" si="689"/>
        <v/>
      </c>
    </row>
    <row r="4843" spans="2:7">
      <c r="B4843" s="46"/>
      <c r="C4843" t="str">
        <f t="shared" si="685"/>
        <v/>
      </c>
      <c r="D4843" s="63" t="str">
        <f t="shared" si="686"/>
        <v/>
      </c>
      <c r="E4843">
        <f t="shared" si="687"/>
        <v>18.7166666666667</v>
      </c>
      <c r="F4843" t="str">
        <f t="shared" si="688"/>
        <v/>
      </c>
      <c r="G4843" t="str">
        <f t="shared" si="689"/>
        <v/>
      </c>
    </row>
    <row r="4844" spans="2:7">
      <c r="B4844" s="46"/>
      <c r="C4844" t="str">
        <f t="shared" si="685"/>
        <v/>
      </c>
      <c r="D4844" s="63" t="str">
        <f t="shared" si="686"/>
        <v/>
      </c>
      <c r="E4844">
        <f t="shared" si="687"/>
        <v>18.9539215686275</v>
      </c>
      <c r="F4844" t="str">
        <f t="shared" si="688"/>
        <v/>
      </c>
      <c r="G4844" t="str">
        <f t="shared" si="689"/>
        <v/>
      </c>
    </row>
    <row r="4845" spans="2:7">
      <c r="B4845" s="46"/>
      <c r="C4845" t="str">
        <f t="shared" si="685"/>
        <v/>
      </c>
      <c r="D4845" s="63" t="str">
        <f t="shared" si="686"/>
        <v/>
      </c>
      <c r="E4845" t="str">
        <f t="shared" si="687"/>
        <v/>
      </c>
      <c r="F4845" t="str">
        <f t="shared" si="688"/>
        <v/>
      </c>
      <c r="G4845">
        <f t="shared" si="689"/>
        <v>15.4449685534591</v>
      </c>
    </row>
    <row r="4846" spans="2:7">
      <c r="B4846" s="46"/>
      <c r="C4846" t="str">
        <f t="shared" si="685"/>
        <v/>
      </c>
      <c r="D4846" s="63" t="str">
        <f t="shared" si="686"/>
        <v/>
      </c>
      <c r="E4846" t="str">
        <f t="shared" si="687"/>
        <v/>
      </c>
      <c r="F4846" t="str">
        <f t="shared" si="688"/>
        <v/>
      </c>
      <c r="G4846">
        <f t="shared" si="689"/>
        <v>16.4669811320755</v>
      </c>
    </row>
    <row r="4847" spans="2:7">
      <c r="B4847" s="46"/>
      <c r="C4847" t="str">
        <f t="shared" si="685"/>
        <v/>
      </c>
      <c r="D4847" s="63" t="str">
        <f t="shared" si="686"/>
        <v/>
      </c>
      <c r="E4847" t="str">
        <f t="shared" si="687"/>
        <v/>
      </c>
      <c r="F4847" t="str">
        <f t="shared" si="688"/>
        <v/>
      </c>
      <c r="G4847">
        <f t="shared" si="689"/>
        <v>17.7877358490566</v>
      </c>
    </row>
    <row r="4848" spans="2:7">
      <c r="B4848" s="46"/>
      <c r="C4848" t="str">
        <f t="shared" si="685"/>
        <v/>
      </c>
      <c r="D4848" s="63" t="str">
        <f t="shared" si="686"/>
        <v/>
      </c>
      <c r="E4848" t="str">
        <f t="shared" si="687"/>
        <v/>
      </c>
      <c r="F4848" t="str">
        <f t="shared" si="688"/>
        <v/>
      </c>
      <c r="G4848">
        <f t="shared" si="689"/>
        <v>18.377358490566</v>
      </c>
    </row>
    <row r="4849" spans="2:7">
      <c r="B4849" s="46"/>
      <c r="C4849" t="str">
        <f t="shared" si="685"/>
        <v/>
      </c>
      <c r="D4849" s="63" t="str">
        <f t="shared" si="686"/>
        <v/>
      </c>
      <c r="E4849" t="str">
        <f t="shared" si="687"/>
        <v/>
      </c>
      <c r="F4849">
        <f t="shared" si="688"/>
        <v>15.4234693877551</v>
      </c>
      <c r="G4849" t="str">
        <f t="shared" si="689"/>
        <v/>
      </c>
    </row>
    <row r="4850" spans="2:7">
      <c r="B4850" s="46"/>
      <c r="C4850" t="str">
        <f t="shared" si="685"/>
        <v/>
      </c>
      <c r="D4850" s="63" t="str">
        <f t="shared" si="686"/>
        <v/>
      </c>
      <c r="E4850" t="str">
        <f t="shared" si="687"/>
        <v/>
      </c>
      <c r="F4850">
        <f t="shared" si="688"/>
        <v>16.7698412698413</v>
      </c>
      <c r="G4850" t="str">
        <f t="shared" si="689"/>
        <v/>
      </c>
    </row>
    <row r="4851" spans="2:7">
      <c r="B4851" s="46"/>
      <c r="C4851" t="str">
        <f t="shared" si="685"/>
        <v/>
      </c>
      <c r="D4851" s="63" t="str">
        <f t="shared" si="686"/>
        <v/>
      </c>
      <c r="E4851" t="str">
        <f t="shared" si="687"/>
        <v/>
      </c>
      <c r="F4851">
        <f t="shared" si="688"/>
        <v>18.109410430839</v>
      </c>
      <c r="G4851" t="str">
        <f t="shared" si="689"/>
        <v/>
      </c>
    </row>
    <row r="4852" spans="2:7">
      <c r="B4852" s="46"/>
      <c r="C4852" t="str">
        <f t="shared" si="685"/>
        <v/>
      </c>
      <c r="D4852" s="63" t="str">
        <f t="shared" si="686"/>
        <v/>
      </c>
      <c r="E4852" t="str">
        <f t="shared" si="687"/>
        <v/>
      </c>
      <c r="F4852">
        <f t="shared" si="688"/>
        <v>20.1581632653061</v>
      </c>
      <c r="G4852" t="str">
        <f t="shared" si="689"/>
        <v/>
      </c>
    </row>
    <row r="4853" spans="2:7">
      <c r="B4853" s="46"/>
      <c r="C4853" t="str">
        <f t="shared" si="685"/>
        <v/>
      </c>
      <c r="D4853" s="63" t="str">
        <f t="shared" si="686"/>
        <v/>
      </c>
      <c r="E4853" t="str">
        <f t="shared" si="687"/>
        <v/>
      </c>
      <c r="F4853">
        <f t="shared" si="688"/>
        <v>22.1581632653061</v>
      </c>
      <c r="G4853" t="str">
        <f t="shared" si="689"/>
        <v/>
      </c>
    </row>
    <row r="4854" spans="2:7">
      <c r="B4854" s="46"/>
      <c r="C4854" t="str">
        <f t="shared" si="685"/>
        <v/>
      </c>
      <c r="D4854" s="63" t="str">
        <f t="shared" si="686"/>
        <v/>
      </c>
      <c r="E4854" t="str">
        <f t="shared" si="687"/>
        <v/>
      </c>
      <c r="F4854">
        <f t="shared" si="688"/>
        <v>22.8781179138322</v>
      </c>
      <c r="G4854" t="str">
        <f t="shared" si="689"/>
        <v/>
      </c>
    </row>
    <row r="4855" spans="2:7">
      <c r="B4855" s="46"/>
      <c r="C4855" t="str">
        <f t="shared" si="685"/>
        <v/>
      </c>
      <c r="D4855" s="63">
        <f t="shared" si="686"/>
        <v>17.3022300469484</v>
      </c>
      <c r="E4855" t="str">
        <f t="shared" si="687"/>
        <v/>
      </c>
      <c r="F4855" t="str">
        <f t="shared" si="688"/>
        <v/>
      </c>
      <c r="G4855" t="str">
        <f t="shared" si="689"/>
        <v/>
      </c>
    </row>
    <row r="4856" spans="2:7">
      <c r="B4856" s="46"/>
      <c r="C4856" t="str">
        <f t="shared" si="685"/>
        <v/>
      </c>
      <c r="D4856" s="63">
        <f t="shared" si="686"/>
        <v>22.837441314554</v>
      </c>
      <c r="E4856" t="str">
        <f t="shared" si="687"/>
        <v/>
      </c>
      <c r="F4856" t="str">
        <f t="shared" si="688"/>
        <v/>
      </c>
      <c r="G4856" t="str">
        <f t="shared" si="689"/>
        <v/>
      </c>
    </row>
    <row r="4857" spans="2:7">
      <c r="B4857" s="46"/>
      <c r="C4857" t="str">
        <f t="shared" si="685"/>
        <v/>
      </c>
      <c r="D4857" s="63">
        <f t="shared" si="686"/>
        <v>23.7089201877934</v>
      </c>
      <c r="E4857" t="str">
        <f t="shared" si="687"/>
        <v/>
      </c>
      <c r="F4857" t="str">
        <f t="shared" si="688"/>
        <v/>
      </c>
      <c r="G4857" t="str">
        <f t="shared" si="689"/>
        <v/>
      </c>
    </row>
    <row r="4858" spans="2:7">
      <c r="B4858" s="46"/>
      <c r="C4858" t="str">
        <f t="shared" si="685"/>
        <v/>
      </c>
      <c r="D4858" s="63">
        <f t="shared" si="686"/>
        <v>24.3427230046948</v>
      </c>
      <c r="E4858" t="str">
        <f t="shared" si="687"/>
        <v/>
      </c>
      <c r="F4858" t="str">
        <f t="shared" si="688"/>
        <v/>
      </c>
      <c r="G4858" t="str">
        <f t="shared" si="689"/>
        <v/>
      </c>
    </row>
    <row r="4859" spans="2:7">
      <c r="B4859" s="46"/>
      <c r="C4859" t="str">
        <f t="shared" si="685"/>
        <v/>
      </c>
      <c r="D4859" s="63">
        <f t="shared" si="686"/>
        <v>27.5704225352113</v>
      </c>
      <c r="E4859" t="str">
        <f t="shared" si="687"/>
        <v/>
      </c>
      <c r="F4859" t="str">
        <f t="shared" si="688"/>
        <v/>
      </c>
      <c r="G4859" t="str">
        <f t="shared" si="689"/>
        <v/>
      </c>
    </row>
    <row r="4860" spans="2:7">
      <c r="B4860" s="46"/>
      <c r="C4860" t="str">
        <f t="shared" si="685"/>
        <v/>
      </c>
      <c r="D4860" s="63" t="str">
        <f t="shared" si="686"/>
        <v/>
      </c>
      <c r="E4860" t="str">
        <f t="shared" si="687"/>
        <v/>
      </c>
      <c r="F4860" t="str">
        <f t="shared" si="688"/>
        <v/>
      </c>
      <c r="G4860">
        <f t="shared" si="689"/>
        <v>19.1949685534591</v>
      </c>
    </row>
    <row r="4861" spans="2:7">
      <c r="B4861" s="46"/>
      <c r="C4861" t="str">
        <f t="shared" si="685"/>
        <v/>
      </c>
      <c r="D4861" s="63" t="str">
        <f t="shared" si="686"/>
        <v/>
      </c>
      <c r="E4861" t="str">
        <f t="shared" si="687"/>
        <v/>
      </c>
      <c r="F4861" t="str">
        <f t="shared" si="688"/>
        <v/>
      </c>
      <c r="G4861">
        <f t="shared" si="689"/>
        <v>21.9606918238994</v>
      </c>
    </row>
    <row r="4862" spans="2:7">
      <c r="B4862" s="46"/>
      <c r="C4862" t="str">
        <f t="shared" si="685"/>
        <v/>
      </c>
      <c r="D4862" s="63" t="str">
        <f t="shared" si="686"/>
        <v/>
      </c>
      <c r="E4862" t="str">
        <f t="shared" si="687"/>
        <v/>
      </c>
      <c r="F4862" t="str">
        <f t="shared" si="688"/>
        <v/>
      </c>
      <c r="G4862">
        <f t="shared" si="689"/>
        <v>21.9606918238994</v>
      </c>
    </row>
    <row r="4863" spans="2:7">
      <c r="B4863" s="46"/>
      <c r="C4863" t="str">
        <f t="shared" si="685"/>
        <v/>
      </c>
      <c r="D4863" s="63" t="str">
        <f t="shared" si="686"/>
        <v/>
      </c>
      <c r="E4863" t="str">
        <f t="shared" si="687"/>
        <v/>
      </c>
      <c r="F4863" t="str">
        <f t="shared" si="688"/>
        <v/>
      </c>
      <c r="G4863">
        <f t="shared" si="689"/>
        <v>25.2222222222222</v>
      </c>
    </row>
    <row r="4864" spans="2:7">
      <c r="B4864" s="46"/>
      <c r="C4864" t="str">
        <f t="shared" si="685"/>
        <v/>
      </c>
      <c r="D4864" s="63" t="str">
        <f t="shared" si="686"/>
        <v/>
      </c>
      <c r="E4864">
        <f t="shared" si="687"/>
        <v>22.268137254902</v>
      </c>
      <c r="F4864" t="str">
        <f t="shared" si="688"/>
        <v/>
      </c>
      <c r="G4864" t="str">
        <f t="shared" si="689"/>
        <v/>
      </c>
    </row>
    <row r="4865" spans="2:7">
      <c r="B4865" s="46"/>
      <c r="C4865" t="str">
        <f t="shared" si="685"/>
        <v/>
      </c>
      <c r="D4865" s="63" t="str">
        <f t="shared" si="686"/>
        <v/>
      </c>
      <c r="E4865">
        <f t="shared" si="687"/>
        <v>22.268137254902</v>
      </c>
      <c r="F4865" t="str">
        <f t="shared" si="688"/>
        <v/>
      </c>
      <c r="G4865" t="str">
        <f t="shared" si="689"/>
        <v/>
      </c>
    </row>
    <row r="4866" spans="2:7">
      <c r="B4866" s="46"/>
      <c r="C4866" t="str">
        <f t="shared" si="685"/>
        <v/>
      </c>
      <c r="D4866" s="63" t="str">
        <f t="shared" si="686"/>
        <v/>
      </c>
      <c r="E4866">
        <f t="shared" si="687"/>
        <v>24.6995098039216</v>
      </c>
      <c r="F4866" t="str">
        <f t="shared" si="688"/>
        <v/>
      </c>
      <c r="G4866" t="str">
        <f t="shared" si="689"/>
        <v/>
      </c>
    </row>
    <row r="4867" spans="2:7">
      <c r="B4867" s="46"/>
      <c r="C4867" t="str">
        <f t="shared" si="685"/>
        <v/>
      </c>
      <c r="D4867" s="63" t="str">
        <f t="shared" si="686"/>
        <v/>
      </c>
      <c r="E4867">
        <f t="shared" si="687"/>
        <v>25.3416666666667</v>
      </c>
      <c r="F4867" t="str">
        <f t="shared" si="688"/>
        <v/>
      </c>
      <c r="G4867" t="str">
        <f t="shared" si="689"/>
        <v/>
      </c>
    </row>
    <row r="4868" spans="2:7">
      <c r="B4868" s="46"/>
      <c r="C4868">
        <f t="shared" si="685"/>
        <v>19.5358796296296</v>
      </c>
      <c r="D4868" s="63" t="str">
        <f t="shared" si="686"/>
        <v/>
      </c>
      <c r="E4868" t="str">
        <f t="shared" si="687"/>
        <v/>
      </c>
      <c r="F4868" t="str">
        <f t="shared" si="688"/>
        <v/>
      </c>
      <c r="G4868" t="str">
        <f t="shared" si="689"/>
        <v/>
      </c>
    </row>
    <row r="4869" spans="2:7">
      <c r="B4869" s="46"/>
      <c r="C4869">
        <f t="shared" si="685"/>
        <v>20.1608796296296</v>
      </c>
      <c r="D4869" s="63" t="str">
        <f t="shared" si="686"/>
        <v/>
      </c>
      <c r="E4869" t="str">
        <f t="shared" si="687"/>
        <v/>
      </c>
      <c r="F4869" t="str">
        <f t="shared" si="688"/>
        <v/>
      </c>
      <c r="G4869" t="str">
        <f t="shared" si="689"/>
        <v/>
      </c>
    </row>
    <row r="4870" spans="2:7">
      <c r="B4870" s="46"/>
      <c r="C4870">
        <f t="shared" si="685"/>
        <v>21.7233796296296</v>
      </c>
      <c r="D4870" s="63" t="str">
        <f t="shared" si="686"/>
        <v/>
      </c>
      <c r="E4870" t="str">
        <f t="shared" si="687"/>
        <v/>
      </c>
      <c r="F4870" t="str">
        <f t="shared" si="688"/>
        <v/>
      </c>
      <c r="G4870" t="str">
        <f t="shared" si="689"/>
        <v/>
      </c>
    </row>
    <row r="4871" spans="2:7">
      <c r="B4871" s="46"/>
      <c r="C4871">
        <f t="shared" si="685"/>
        <v>22.7054398148148</v>
      </c>
      <c r="D4871" s="63" t="str">
        <f t="shared" si="686"/>
        <v/>
      </c>
      <c r="E4871" t="str">
        <f t="shared" si="687"/>
        <v/>
      </c>
      <c r="F4871" t="str">
        <f t="shared" si="688"/>
        <v/>
      </c>
      <c r="G4871" t="str">
        <f t="shared" si="689"/>
        <v/>
      </c>
    </row>
    <row r="4872" spans="2:7">
      <c r="B4872" s="46"/>
      <c r="C4872">
        <f t="shared" si="685"/>
        <v>22.7054398148148</v>
      </c>
      <c r="D4872" s="63" t="str">
        <f t="shared" si="686"/>
        <v/>
      </c>
      <c r="E4872" t="str">
        <f t="shared" si="687"/>
        <v/>
      </c>
      <c r="F4872" t="str">
        <f t="shared" si="688"/>
        <v/>
      </c>
      <c r="G4872" t="str">
        <f t="shared" si="689"/>
        <v/>
      </c>
    </row>
    <row r="4873" spans="2:7">
      <c r="B4873" s="46"/>
      <c r="C4873">
        <f t="shared" ref="C4873:C4900" si="690">IF(J72=1,S72,"")</f>
        <v>22.8512731481482</v>
      </c>
      <c r="D4873" s="63" t="str">
        <f t="shared" ref="D4873:D4900" si="691">IF(J72=2,S72,"")</f>
        <v/>
      </c>
      <c r="E4873" t="str">
        <f t="shared" ref="E4873:E4900" si="692">IF(J72=3,S72,"")</f>
        <v/>
      </c>
      <c r="F4873" t="str">
        <f t="shared" ref="F4873:F4900" si="693">IF(J72=4,S72,"")</f>
        <v/>
      </c>
      <c r="G4873" t="str">
        <f t="shared" ref="G4873:G4900" si="694">IF(J72=5,S72,"")</f>
        <v/>
      </c>
    </row>
    <row r="4874" spans="2:7">
      <c r="B4874" s="46"/>
      <c r="C4874">
        <f t="shared" si="690"/>
        <v>34.4068287037037</v>
      </c>
      <c r="D4874" s="63" t="str">
        <f t="shared" si="691"/>
        <v/>
      </c>
      <c r="E4874" t="str">
        <f t="shared" si="692"/>
        <v/>
      </c>
      <c r="F4874" t="str">
        <f t="shared" si="693"/>
        <v/>
      </c>
      <c r="G4874" t="str">
        <f t="shared" si="694"/>
        <v/>
      </c>
    </row>
    <row r="4875" spans="2:7">
      <c r="B4875" s="46"/>
      <c r="C4875">
        <f t="shared" si="690"/>
        <v>34.4068287037037</v>
      </c>
      <c r="D4875" s="63" t="str">
        <f t="shared" si="691"/>
        <v/>
      </c>
      <c r="E4875" t="str">
        <f t="shared" si="692"/>
        <v/>
      </c>
      <c r="F4875" t="str">
        <f t="shared" si="693"/>
        <v/>
      </c>
      <c r="G4875" t="str">
        <f t="shared" si="694"/>
        <v/>
      </c>
    </row>
    <row r="4876" spans="2:7">
      <c r="B4876" s="46"/>
      <c r="C4876">
        <f t="shared" si="690"/>
        <v>35.5827546296296</v>
      </c>
      <c r="D4876" s="63" t="str">
        <f t="shared" si="691"/>
        <v/>
      </c>
      <c r="E4876" t="str">
        <f t="shared" si="692"/>
        <v/>
      </c>
      <c r="F4876" t="str">
        <f t="shared" si="693"/>
        <v/>
      </c>
      <c r="G4876" t="str">
        <f t="shared" si="694"/>
        <v/>
      </c>
    </row>
    <row r="4877" spans="2:7">
      <c r="B4877" s="46"/>
      <c r="C4877">
        <f t="shared" si="690"/>
        <v>36.7893518518519</v>
      </c>
      <c r="D4877" s="63" t="str">
        <f t="shared" si="691"/>
        <v/>
      </c>
      <c r="E4877" t="str">
        <f t="shared" si="692"/>
        <v/>
      </c>
      <c r="F4877" t="str">
        <f t="shared" si="693"/>
        <v/>
      </c>
      <c r="G4877" t="str">
        <f t="shared" si="694"/>
        <v/>
      </c>
    </row>
    <row r="4878" spans="2:7">
      <c r="B4878" s="46"/>
      <c r="C4878" t="str">
        <f t="shared" si="690"/>
        <v/>
      </c>
      <c r="D4878" s="63" t="str">
        <f t="shared" si="691"/>
        <v/>
      </c>
      <c r="E4878" t="str">
        <f t="shared" si="692"/>
        <v/>
      </c>
      <c r="F4878">
        <f t="shared" si="693"/>
        <v>23.4404761904762</v>
      </c>
      <c r="G4878" t="str">
        <f t="shared" si="694"/>
        <v/>
      </c>
    </row>
    <row r="4879" spans="2:7">
      <c r="B4879" s="46"/>
      <c r="C4879" t="str">
        <f t="shared" si="690"/>
        <v/>
      </c>
      <c r="D4879" s="63" t="str">
        <f t="shared" si="691"/>
        <v/>
      </c>
      <c r="E4879" t="str">
        <f t="shared" si="692"/>
        <v/>
      </c>
      <c r="F4879">
        <f t="shared" si="693"/>
        <v>24.3616780045352</v>
      </c>
      <c r="G4879" t="str">
        <f t="shared" si="694"/>
        <v/>
      </c>
    </row>
    <row r="4880" spans="2:7">
      <c r="B4880" s="46"/>
      <c r="C4880" t="str">
        <f t="shared" si="690"/>
        <v/>
      </c>
      <c r="D4880" s="63" t="str">
        <f t="shared" si="691"/>
        <v/>
      </c>
      <c r="E4880" t="str">
        <f t="shared" si="692"/>
        <v/>
      </c>
      <c r="F4880">
        <f t="shared" si="693"/>
        <v>25.8378684807256</v>
      </c>
      <c r="G4880" t="str">
        <f t="shared" si="694"/>
        <v/>
      </c>
    </row>
    <row r="4881" spans="2:7">
      <c r="B4881" s="46"/>
      <c r="C4881" t="str">
        <f t="shared" si="690"/>
        <v/>
      </c>
      <c r="D4881" s="63" t="str">
        <f t="shared" si="691"/>
        <v/>
      </c>
      <c r="E4881" t="str">
        <f t="shared" si="692"/>
        <v/>
      </c>
      <c r="F4881">
        <f t="shared" si="693"/>
        <v>29.4625850340136</v>
      </c>
      <c r="G4881" t="str">
        <f t="shared" si="694"/>
        <v/>
      </c>
    </row>
    <row r="4882" spans="2:7">
      <c r="B4882" s="46"/>
      <c r="C4882" t="str">
        <f t="shared" si="690"/>
        <v/>
      </c>
      <c r="D4882" s="63" t="str">
        <f t="shared" si="691"/>
        <v/>
      </c>
      <c r="E4882" t="str">
        <f t="shared" si="692"/>
        <v/>
      </c>
      <c r="F4882">
        <f t="shared" si="693"/>
        <v>30.092970521542</v>
      </c>
      <c r="G4882" t="str">
        <f t="shared" si="694"/>
        <v/>
      </c>
    </row>
    <row r="4883" spans="2:7">
      <c r="B4883" s="46"/>
      <c r="C4883" t="str">
        <f t="shared" si="690"/>
        <v/>
      </c>
      <c r="D4883" s="63" t="str">
        <f t="shared" si="691"/>
        <v/>
      </c>
      <c r="E4883" t="str">
        <f t="shared" si="692"/>
        <v/>
      </c>
      <c r="F4883">
        <f t="shared" si="693"/>
        <v>30.8809523809524</v>
      </c>
      <c r="G4883" t="str">
        <f t="shared" si="694"/>
        <v/>
      </c>
    </row>
    <row r="4884" spans="2:7">
      <c r="B4884" s="46"/>
      <c r="C4884" t="str">
        <f t="shared" si="690"/>
        <v/>
      </c>
      <c r="D4884" s="63" t="str">
        <f t="shared" si="691"/>
        <v/>
      </c>
      <c r="E4884" t="str">
        <f t="shared" si="692"/>
        <v/>
      </c>
      <c r="F4884" t="str">
        <f t="shared" si="693"/>
        <v/>
      </c>
      <c r="G4884">
        <f t="shared" si="694"/>
        <v>26.0235849056604</v>
      </c>
    </row>
    <row r="4885" spans="2:7">
      <c r="B4885" s="46"/>
      <c r="C4885" t="str">
        <f t="shared" si="690"/>
        <v/>
      </c>
      <c r="D4885" s="63" t="str">
        <f t="shared" si="691"/>
        <v/>
      </c>
      <c r="E4885" t="str">
        <f t="shared" si="692"/>
        <v/>
      </c>
      <c r="F4885" t="str">
        <f t="shared" si="693"/>
        <v/>
      </c>
      <c r="G4885">
        <f t="shared" si="694"/>
        <v>26.8977987421384</v>
      </c>
    </row>
    <row r="4886" spans="2:7">
      <c r="B4886" s="46"/>
      <c r="C4886" t="str">
        <f t="shared" si="690"/>
        <v/>
      </c>
      <c r="D4886" s="63" t="str">
        <f t="shared" si="691"/>
        <v/>
      </c>
      <c r="E4886" t="str">
        <f t="shared" si="692"/>
        <v/>
      </c>
      <c r="F4886" t="str">
        <f t="shared" si="693"/>
        <v/>
      </c>
      <c r="G4886">
        <f t="shared" si="694"/>
        <v>27.8448637316562</v>
      </c>
    </row>
    <row r="4887" spans="2:7">
      <c r="B4887" s="46"/>
      <c r="C4887" t="str">
        <f t="shared" si="690"/>
        <v/>
      </c>
      <c r="D4887" s="63" t="str">
        <f t="shared" si="691"/>
        <v/>
      </c>
      <c r="E4887" t="str">
        <f t="shared" si="692"/>
        <v/>
      </c>
      <c r="F4887" t="str">
        <f t="shared" si="693"/>
        <v/>
      </c>
      <c r="G4887">
        <f t="shared" si="694"/>
        <v>29.229035639413</v>
      </c>
    </row>
    <row r="4888" spans="2:7">
      <c r="B4888" s="46"/>
      <c r="C4888" t="str">
        <f t="shared" si="690"/>
        <v/>
      </c>
      <c r="D4888" s="63" t="str">
        <f t="shared" si="691"/>
        <v/>
      </c>
      <c r="E4888">
        <f t="shared" si="692"/>
        <v>25.5460784313725</v>
      </c>
      <c r="F4888" t="str">
        <f t="shared" si="693"/>
        <v/>
      </c>
      <c r="G4888" t="str">
        <f t="shared" si="694"/>
        <v/>
      </c>
    </row>
    <row r="4889" spans="2:7">
      <c r="B4889" s="46"/>
      <c r="C4889" t="str">
        <f t="shared" si="690"/>
        <v/>
      </c>
      <c r="D4889" s="63" t="str">
        <f t="shared" si="691"/>
        <v/>
      </c>
      <c r="E4889">
        <f t="shared" si="692"/>
        <v>28.8676470588235</v>
      </c>
      <c r="F4889" t="str">
        <f t="shared" si="693"/>
        <v/>
      </c>
      <c r="G4889" t="str">
        <f t="shared" si="694"/>
        <v/>
      </c>
    </row>
    <row r="4890" spans="2:7">
      <c r="B4890" s="46"/>
      <c r="C4890">
        <f t="shared" si="690"/>
        <v>39.1041666666667</v>
      </c>
      <c r="D4890" s="63" t="str">
        <f t="shared" si="691"/>
        <v/>
      </c>
      <c r="E4890" t="str">
        <f t="shared" si="692"/>
        <v/>
      </c>
      <c r="F4890" t="str">
        <f t="shared" si="693"/>
        <v/>
      </c>
      <c r="G4890" t="str">
        <f t="shared" si="694"/>
        <v/>
      </c>
    </row>
    <row r="4891" spans="2:7">
      <c r="B4891" s="46"/>
      <c r="C4891" t="str">
        <f t="shared" si="690"/>
        <v/>
      </c>
      <c r="D4891" s="63" t="str">
        <f t="shared" si="691"/>
        <v/>
      </c>
      <c r="E4891">
        <f t="shared" si="692"/>
        <v>30.843137254902</v>
      </c>
      <c r="F4891" t="str">
        <f t="shared" si="693"/>
        <v/>
      </c>
      <c r="G4891" t="str">
        <f t="shared" si="694"/>
        <v/>
      </c>
    </row>
    <row r="4892" spans="2:7">
      <c r="B4892" s="46"/>
      <c r="C4892" t="str">
        <f t="shared" si="690"/>
        <v/>
      </c>
      <c r="D4892" s="63" t="str">
        <f t="shared" si="691"/>
        <v/>
      </c>
      <c r="E4892">
        <f t="shared" si="692"/>
        <v>32.2524509803922</v>
      </c>
      <c r="F4892" t="str">
        <f t="shared" si="693"/>
        <v/>
      </c>
      <c r="G4892" t="str">
        <f t="shared" si="694"/>
        <v/>
      </c>
    </row>
    <row r="4893" spans="2:7">
      <c r="B4893" s="46"/>
      <c r="C4893" t="str">
        <f t="shared" si="690"/>
        <v/>
      </c>
      <c r="D4893" s="63">
        <f t="shared" si="691"/>
        <v>30.1643192488263</v>
      </c>
      <c r="E4893" t="str">
        <f t="shared" si="692"/>
        <v/>
      </c>
      <c r="F4893" t="str">
        <f t="shared" si="693"/>
        <v/>
      </c>
      <c r="G4893" t="str">
        <f t="shared" si="694"/>
        <v/>
      </c>
    </row>
    <row r="4894" spans="2:7">
      <c r="B4894" s="46"/>
      <c r="C4894" t="str">
        <f t="shared" si="690"/>
        <v/>
      </c>
      <c r="D4894" s="63">
        <f t="shared" si="691"/>
        <v>32.7840375586854</v>
      </c>
      <c r="E4894" t="str">
        <f t="shared" si="692"/>
        <v/>
      </c>
      <c r="F4894" t="str">
        <f t="shared" si="693"/>
        <v/>
      </c>
      <c r="G4894" t="str">
        <f t="shared" si="694"/>
        <v/>
      </c>
    </row>
    <row r="4895" spans="2:7">
      <c r="B4895" s="46"/>
      <c r="C4895" t="str">
        <f t="shared" si="690"/>
        <v/>
      </c>
      <c r="D4895" s="63">
        <f t="shared" si="691"/>
        <v>35.31279342723</v>
      </c>
      <c r="E4895" t="str">
        <f t="shared" si="692"/>
        <v/>
      </c>
      <c r="F4895" t="str">
        <f t="shared" si="693"/>
        <v/>
      </c>
      <c r="G4895" t="str">
        <f t="shared" si="694"/>
        <v/>
      </c>
    </row>
    <row r="4896" spans="2:7">
      <c r="B4896" s="46"/>
      <c r="C4896" t="str">
        <f t="shared" si="690"/>
        <v/>
      </c>
      <c r="D4896" s="63">
        <f t="shared" si="691"/>
        <v>37.6895539906103</v>
      </c>
      <c r="E4896" t="str">
        <f t="shared" si="692"/>
        <v/>
      </c>
      <c r="F4896" t="str">
        <f t="shared" si="693"/>
        <v/>
      </c>
      <c r="G4896" t="str">
        <f t="shared" si="694"/>
        <v/>
      </c>
    </row>
    <row r="4897" spans="2:7">
      <c r="B4897" s="46"/>
      <c r="C4897" t="str">
        <f t="shared" si="690"/>
        <v/>
      </c>
      <c r="D4897" s="63" t="str">
        <f t="shared" si="691"/>
        <v/>
      </c>
      <c r="E4897" t="str">
        <f t="shared" si="692"/>
        <v/>
      </c>
      <c r="F4897" t="str">
        <f t="shared" si="693"/>
        <v/>
      </c>
      <c r="G4897">
        <f t="shared" si="694"/>
        <v>31.5120545073375</v>
      </c>
    </row>
    <row r="4898" spans="2:7">
      <c r="B4898" s="46"/>
      <c r="C4898" t="str">
        <f t="shared" si="690"/>
        <v/>
      </c>
      <c r="D4898" s="63" t="str">
        <f t="shared" si="691"/>
        <v/>
      </c>
      <c r="E4898" t="str">
        <f t="shared" si="692"/>
        <v/>
      </c>
      <c r="F4898" t="str">
        <f t="shared" si="693"/>
        <v/>
      </c>
      <c r="G4898">
        <f t="shared" si="694"/>
        <v>33.3464360587002</v>
      </c>
    </row>
    <row r="4899" spans="2:7">
      <c r="B4899" s="46"/>
      <c r="C4899" t="str">
        <f t="shared" si="690"/>
        <v/>
      </c>
      <c r="D4899" s="63" t="str">
        <f t="shared" si="691"/>
        <v/>
      </c>
      <c r="E4899" t="str">
        <f t="shared" si="692"/>
        <v/>
      </c>
      <c r="F4899" t="str">
        <f t="shared" si="693"/>
        <v/>
      </c>
      <c r="G4899">
        <f t="shared" si="694"/>
        <v>35.6105870020964</v>
      </c>
    </row>
    <row r="4900" ht="15.75" spans="2:7">
      <c r="B4900" s="46"/>
      <c r="C4900" t="str">
        <f t="shared" si="690"/>
        <v/>
      </c>
      <c r="D4900" s="63" t="str">
        <f t="shared" si="691"/>
        <v/>
      </c>
      <c r="E4900" t="str">
        <f t="shared" si="692"/>
        <v/>
      </c>
      <c r="F4900" t="str">
        <f t="shared" si="693"/>
        <v/>
      </c>
      <c r="G4900">
        <f t="shared" si="694"/>
        <v>38.1001048218029</v>
      </c>
    </row>
    <row r="4901" spans="2:7">
      <c r="B4901" s="74" t="s">
        <v>269</v>
      </c>
      <c r="C4901" s="75">
        <f>MAX(C4809:C4900)</f>
        <v>39.1041666666667</v>
      </c>
      <c r="D4901" s="75">
        <f>MAX(D4809:D4900)</f>
        <v>37.6895539906103</v>
      </c>
      <c r="E4901" s="75">
        <f t="shared" ref="E4901:G4901" si="695">MAX(E4809:E4900)</f>
        <v>32.2524509803922</v>
      </c>
      <c r="F4901" s="75">
        <f t="shared" si="695"/>
        <v>30.8809523809524</v>
      </c>
      <c r="G4901" s="75">
        <f t="shared" si="695"/>
        <v>38.1001048218029</v>
      </c>
    </row>
    <row r="4902" spans="2:7">
      <c r="B4902" s="76" t="s">
        <v>270</v>
      </c>
      <c r="C4902" s="77">
        <v>1</v>
      </c>
      <c r="D4902" s="78">
        <v>2</v>
      </c>
      <c r="E4902">
        <v>3</v>
      </c>
      <c r="F4902">
        <v>4</v>
      </c>
      <c r="G4902">
        <v>5</v>
      </c>
    </row>
    <row r="4903" spans="2:7">
      <c r="B4903" s="79" t="s">
        <v>271</v>
      </c>
      <c r="C4903" s="72">
        <f>HLOOKUP(MIN(C4901:G4901),C4901:G4902,2,FALSE)</f>
        <v>4</v>
      </c>
      <c r="D4903" s="80"/>
    </row>
    <row r="4905" ht="15.75" spans="2:7">
      <c r="B4905" s="43" t="s">
        <v>363</v>
      </c>
      <c r="C4905" s="44"/>
      <c r="D4905" s="45"/>
    </row>
    <row r="4906" spans="2:7">
      <c r="B4906" s="46"/>
      <c r="C4906" s="61" t="s">
        <v>264</v>
      </c>
      <c r="D4906" s="61" t="s">
        <v>265</v>
      </c>
      <c r="E4906" s="62" t="s">
        <v>286</v>
      </c>
      <c r="F4906" s="62" t="s">
        <v>287</v>
      </c>
      <c r="G4906" s="62" t="s">
        <v>288</v>
      </c>
    </row>
    <row r="4907" spans="2:7">
      <c r="B4907" s="46"/>
      <c r="C4907">
        <f t="shared" ref="C4907:C4970" si="696">IF(J8=1,S8,"")</f>
        <v>0.700231481481482</v>
      </c>
      <c r="D4907" s="63" t="str">
        <f t="shared" ref="D4907:D4970" si="697">IF(J8=2,S8,"")</f>
        <v/>
      </c>
      <c r="E4907" t="str">
        <f t="shared" ref="E4907:E4970" si="698">IF(J8=3,S8,"")</f>
        <v/>
      </c>
      <c r="F4907" t="str">
        <f t="shared" ref="F4907:F4970" si="699">IF(J8=4,S8,"")</f>
        <v/>
      </c>
      <c r="G4907" t="str">
        <f t="shared" ref="G4907:G4970" si="700">IF(J8=5,S8,"")</f>
        <v/>
      </c>
    </row>
    <row r="4908" spans="2:7">
      <c r="B4908" s="46"/>
      <c r="C4908" t="str">
        <f t="shared" si="696"/>
        <v/>
      </c>
      <c r="D4908" s="63">
        <f t="shared" si="697"/>
        <v>0.734154929577465</v>
      </c>
      <c r="E4908" t="str">
        <f t="shared" si="698"/>
        <v/>
      </c>
      <c r="F4908" t="str">
        <f t="shared" si="699"/>
        <v/>
      </c>
      <c r="G4908" t="str">
        <f t="shared" si="700"/>
        <v/>
      </c>
    </row>
    <row r="4909" spans="2:7">
      <c r="B4909" s="46"/>
      <c r="C4909" t="str">
        <f t="shared" si="696"/>
        <v/>
      </c>
      <c r="D4909" s="63" t="str">
        <f t="shared" si="697"/>
        <v/>
      </c>
      <c r="E4909">
        <f t="shared" si="698"/>
        <v>1.83823529411765</v>
      </c>
      <c r="F4909" t="str">
        <f t="shared" si="699"/>
        <v/>
      </c>
      <c r="G4909" t="str">
        <f t="shared" si="700"/>
        <v/>
      </c>
    </row>
    <row r="4910" spans="2:7">
      <c r="B4910" s="46"/>
      <c r="C4910" t="str">
        <f t="shared" si="696"/>
        <v/>
      </c>
      <c r="D4910" s="63" t="str">
        <f t="shared" si="697"/>
        <v/>
      </c>
      <c r="E4910" t="str">
        <f t="shared" si="698"/>
        <v/>
      </c>
      <c r="F4910">
        <f t="shared" si="699"/>
        <v>4.28571428571429</v>
      </c>
      <c r="G4910" t="str">
        <f t="shared" si="700"/>
        <v/>
      </c>
    </row>
    <row r="4911" spans="2:7">
      <c r="B4911" s="46"/>
      <c r="C4911" t="str">
        <f t="shared" si="696"/>
        <v/>
      </c>
      <c r="D4911" s="63" t="str">
        <f t="shared" si="697"/>
        <v/>
      </c>
      <c r="E4911" t="str">
        <f t="shared" si="698"/>
        <v/>
      </c>
      <c r="F4911" t="str">
        <f t="shared" si="699"/>
        <v/>
      </c>
      <c r="G4911">
        <f t="shared" si="700"/>
        <v>3.43396226415094</v>
      </c>
    </row>
    <row r="4912" spans="2:7">
      <c r="B4912" s="46"/>
      <c r="C4912" t="str">
        <f t="shared" si="696"/>
        <v/>
      </c>
      <c r="D4912" s="63" t="str">
        <f t="shared" si="697"/>
        <v/>
      </c>
      <c r="E4912">
        <f t="shared" si="698"/>
        <v>14.5833333333333</v>
      </c>
      <c r="F4912" t="str">
        <f t="shared" si="699"/>
        <v/>
      </c>
      <c r="G4912" t="str">
        <f t="shared" si="700"/>
        <v/>
      </c>
    </row>
    <row r="4913" spans="2:7">
      <c r="B4913" s="46"/>
      <c r="C4913" t="str">
        <f t="shared" si="696"/>
        <v/>
      </c>
      <c r="D4913" s="63" t="str">
        <f t="shared" si="697"/>
        <v/>
      </c>
      <c r="E4913" t="str">
        <f t="shared" si="698"/>
        <v/>
      </c>
      <c r="F4913">
        <f t="shared" si="699"/>
        <v>6.42857142857143</v>
      </c>
      <c r="G4913" t="str">
        <f t="shared" si="700"/>
        <v/>
      </c>
    </row>
    <row r="4914" spans="2:7">
      <c r="B4914" s="46"/>
      <c r="C4914" t="str">
        <f t="shared" si="696"/>
        <v/>
      </c>
      <c r="D4914" s="63" t="str">
        <f t="shared" si="697"/>
        <v/>
      </c>
      <c r="E4914" t="str">
        <f t="shared" si="698"/>
        <v/>
      </c>
      <c r="F4914" t="str">
        <f t="shared" si="699"/>
        <v/>
      </c>
      <c r="G4914">
        <f t="shared" si="700"/>
        <v>3.84591194968553</v>
      </c>
    </row>
    <row r="4915" spans="2:7">
      <c r="B4915" s="46"/>
      <c r="C4915">
        <f t="shared" si="696"/>
        <v>0.844907407407407</v>
      </c>
      <c r="D4915" s="63" t="str">
        <f t="shared" si="697"/>
        <v/>
      </c>
      <c r="E4915" t="str">
        <f t="shared" si="698"/>
        <v/>
      </c>
      <c r="F4915" t="str">
        <f t="shared" si="699"/>
        <v/>
      </c>
      <c r="G4915" t="str">
        <f t="shared" si="700"/>
        <v/>
      </c>
    </row>
    <row r="4916" spans="2:7">
      <c r="B4916" s="46"/>
      <c r="C4916">
        <f t="shared" si="696"/>
        <v>6.79803240740741</v>
      </c>
      <c r="D4916" s="63" t="str">
        <f t="shared" si="697"/>
        <v/>
      </c>
      <c r="E4916" t="str">
        <f t="shared" si="698"/>
        <v/>
      </c>
      <c r="F4916" t="str">
        <f t="shared" si="699"/>
        <v/>
      </c>
      <c r="G4916" t="str">
        <f t="shared" si="700"/>
        <v/>
      </c>
    </row>
    <row r="4917" spans="2:7">
      <c r="B4917" s="46"/>
      <c r="C4917">
        <f t="shared" si="696"/>
        <v>6.79803240740741</v>
      </c>
      <c r="D4917" s="63" t="str">
        <f t="shared" si="697"/>
        <v/>
      </c>
      <c r="E4917" t="str">
        <f t="shared" si="698"/>
        <v/>
      </c>
      <c r="F4917" t="str">
        <f t="shared" si="699"/>
        <v/>
      </c>
      <c r="G4917" t="str">
        <f t="shared" si="700"/>
        <v/>
      </c>
    </row>
    <row r="4918" spans="2:7">
      <c r="B4918" s="46"/>
      <c r="C4918">
        <f t="shared" si="696"/>
        <v>7.52719907407408</v>
      </c>
      <c r="D4918" s="63" t="str">
        <f t="shared" si="697"/>
        <v/>
      </c>
      <c r="E4918" t="str">
        <f t="shared" si="698"/>
        <v/>
      </c>
      <c r="F4918" t="str">
        <f t="shared" si="699"/>
        <v/>
      </c>
      <c r="G4918" t="str">
        <f t="shared" si="700"/>
        <v/>
      </c>
    </row>
    <row r="4919" spans="2:7">
      <c r="B4919" s="46"/>
      <c r="C4919" t="str">
        <f t="shared" si="696"/>
        <v/>
      </c>
      <c r="D4919" s="63">
        <f t="shared" si="697"/>
        <v>2.7881455399061</v>
      </c>
      <c r="E4919" t="str">
        <f t="shared" si="698"/>
        <v/>
      </c>
      <c r="F4919" t="str">
        <f t="shared" si="699"/>
        <v/>
      </c>
      <c r="G4919" t="str">
        <f t="shared" si="700"/>
        <v/>
      </c>
    </row>
    <row r="4920" spans="2:7">
      <c r="B4920" s="46"/>
      <c r="C4920" t="str">
        <f t="shared" si="696"/>
        <v/>
      </c>
      <c r="D4920" s="63">
        <f t="shared" si="697"/>
        <v>4.47535211267606</v>
      </c>
      <c r="E4920" t="str">
        <f t="shared" si="698"/>
        <v/>
      </c>
      <c r="F4920" t="str">
        <f t="shared" si="699"/>
        <v/>
      </c>
      <c r="G4920" t="str">
        <f t="shared" si="700"/>
        <v/>
      </c>
    </row>
    <row r="4921" spans="2:7">
      <c r="B4921" s="46"/>
      <c r="C4921" t="str">
        <f t="shared" si="696"/>
        <v/>
      </c>
      <c r="D4921" s="63">
        <f t="shared" si="697"/>
        <v>6.10680751173709</v>
      </c>
      <c r="E4921" t="str">
        <f t="shared" si="698"/>
        <v/>
      </c>
      <c r="F4921" t="str">
        <f t="shared" si="699"/>
        <v/>
      </c>
      <c r="G4921" t="str">
        <f t="shared" si="700"/>
        <v/>
      </c>
    </row>
    <row r="4922" spans="2:7">
      <c r="B4922" s="46"/>
      <c r="C4922" t="str">
        <f t="shared" si="696"/>
        <v/>
      </c>
      <c r="D4922" s="63">
        <f t="shared" si="697"/>
        <v>8.50821596244131</v>
      </c>
      <c r="E4922" t="str">
        <f t="shared" si="698"/>
        <v/>
      </c>
      <c r="F4922" t="str">
        <f t="shared" si="699"/>
        <v/>
      </c>
      <c r="G4922" t="str">
        <f t="shared" si="700"/>
        <v/>
      </c>
    </row>
    <row r="4923" spans="2:7">
      <c r="B4923" s="46"/>
      <c r="C4923" t="str">
        <f t="shared" si="696"/>
        <v/>
      </c>
      <c r="D4923" s="63">
        <f t="shared" si="697"/>
        <v>10.268779342723</v>
      </c>
      <c r="E4923" t="str">
        <f t="shared" si="698"/>
        <v/>
      </c>
      <c r="F4923" t="str">
        <f t="shared" si="699"/>
        <v/>
      </c>
      <c r="G4923" t="str">
        <f t="shared" si="700"/>
        <v/>
      </c>
    </row>
    <row r="4924" spans="2:7">
      <c r="B4924" s="46"/>
      <c r="C4924" t="str">
        <f t="shared" si="696"/>
        <v/>
      </c>
      <c r="D4924" s="63" t="str">
        <f t="shared" si="697"/>
        <v/>
      </c>
      <c r="E4924" t="str">
        <f t="shared" si="698"/>
        <v/>
      </c>
      <c r="F4924" t="str">
        <f t="shared" si="699"/>
        <v/>
      </c>
      <c r="G4924">
        <f t="shared" si="700"/>
        <v>7.67610062893082</v>
      </c>
    </row>
    <row r="4925" spans="2:7">
      <c r="B4925" s="46"/>
      <c r="C4925" t="str">
        <f t="shared" si="696"/>
        <v/>
      </c>
      <c r="D4925" s="63" t="str">
        <f t="shared" si="697"/>
        <v/>
      </c>
      <c r="E4925" t="str">
        <f t="shared" si="698"/>
        <v/>
      </c>
      <c r="F4925" t="str">
        <f t="shared" si="699"/>
        <v/>
      </c>
      <c r="G4925">
        <f t="shared" si="700"/>
        <v>10.3836477987421</v>
      </c>
    </row>
    <row r="4926" spans="2:7">
      <c r="B4926" s="46"/>
      <c r="C4926" t="str">
        <f t="shared" si="696"/>
        <v/>
      </c>
      <c r="D4926" s="63" t="str">
        <f t="shared" si="697"/>
        <v/>
      </c>
      <c r="E4926" t="str">
        <f t="shared" si="698"/>
        <v/>
      </c>
      <c r="F4926" t="str">
        <f t="shared" si="699"/>
        <v/>
      </c>
      <c r="G4926">
        <f t="shared" si="700"/>
        <v>13.2138364779874</v>
      </c>
    </row>
    <row r="4927" spans="2:7">
      <c r="B4927" s="46"/>
      <c r="C4927" t="str">
        <f t="shared" si="696"/>
        <v/>
      </c>
      <c r="D4927" s="63" t="str">
        <f t="shared" si="697"/>
        <v/>
      </c>
      <c r="E4927" t="str">
        <f t="shared" si="698"/>
        <v/>
      </c>
      <c r="F4927" t="str">
        <f t="shared" si="699"/>
        <v/>
      </c>
      <c r="G4927">
        <f t="shared" si="700"/>
        <v>14.7243186582809</v>
      </c>
    </row>
    <row r="4928" spans="2:7">
      <c r="B4928" s="46"/>
      <c r="C4928" t="str">
        <f t="shared" si="696"/>
        <v/>
      </c>
      <c r="D4928" s="63" t="str">
        <f t="shared" si="697"/>
        <v/>
      </c>
      <c r="E4928" t="str">
        <f t="shared" si="698"/>
        <v/>
      </c>
      <c r="F4928">
        <f t="shared" si="699"/>
        <v>9.17630385487529</v>
      </c>
      <c r="G4928" t="str">
        <f t="shared" si="700"/>
        <v/>
      </c>
    </row>
    <row r="4929" spans="2:7">
      <c r="B4929" s="46"/>
      <c r="C4929" t="str">
        <f t="shared" si="696"/>
        <v/>
      </c>
      <c r="D4929" s="63" t="str">
        <f t="shared" si="697"/>
        <v/>
      </c>
      <c r="E4929" t="str">
        <f t="shared" si="698"/>
        <v/>
      </c>
      <c r="F4929">
        <f t="shared" si="699"/>
        <v>12.328231292517</v>
      </c>
      <c r="G4929" t="str">
        <f t="shared" si="700"/>
        <v/>
      </c>
    </row>
    <row r="4930" spans="2:7">
      <c r="B4930" s="46"/>
      <c r="C4930" t="str">
        <f t="shared" si="696"/>
        <v/>
      </c>
      <c r="D4930" s="63" t="str">
        <f t="shared" si="697"/>
        <v/>
      </c>
      <c r="E4930" t="str">
        <f t="shared" si="698"/>
        <v/>
      </c>
      <c r="F4930">
        <f t="shared" si="699"/>
        <v>15.0017006802721</v>
      </c>
      <c r="G4930" t="str">
        <f t="shared" si="700"/>
        <v/>
      </c>
    </row>
    <row r="4931" spans="2:7">
      <c r="B4931" s="46"/>
      <c r="C4931">
        <f t="shared" si="696"/>
        <v>10.328125</v>
      </c>
      <c r="D4931" s="63" t="str">
        <f t="shared" si="697"/>
        <v/>
      </c>
      <c r="E4931" t="str">
        <f t="shared" si="698"/>
        <v/>
      </c>
      <c r="F4931" t="str">
        <f t="shared" si="699"/>
        <v/>
      </c>
      <c r="G4931" t="str">
        <f t="shared" si="700"/>
        <v/>
      </c>
    </row>
    <row r="4932" spans="2:7">
      <c r="B4932" s="46"/>
      <c r="C4932">
        <f t="shared" si="696"/>
        <v>14.5908564814815</v>
      </c>
      <c r="D4932" s="63" t="str">
        <f t="shared" si="697"/>
        <v/>
      </c>
      <c r="E4932" t="str">
        <f t="shared" si="698"/>
        <v/>
      </c>
      <c r="F4932" t="str">
        <f t="shared" si="699"/>
        <v/>
      </c>
      <c r="G4932" t="str">
        <f t="shared" si="700"/>
        <v/>
      </c>
    </row>
    <row r="4933" spans="2:7">
      <c r="B4933" s="46"/>
      <c r="C4933">
        <f t="shared" si="696"/>
        <v>14.9409722222222</v>
      </c>
      <c r="D4933" s="63" t="str">
        <f t="shared" si="697"/>
        <v/>
      </c>
      <c r="E4933" t="str">
        <f t="shared" si="698"/>
        <v/>
      </c>
      <c r="F4933" t="str">
        <f t="shared" si="699"/>
        <v/>
      </c>
      <c r="G4933" t="str">
        <f t="shared" si="700"/>
        <v/>
      </c>
    </row>
    <row r="4934" spans="2:7">
      <c r="B4934" s="46"/>
      <c r="C4934">
        <f t="shared" si="696"/>
        <v>19.2465277777778</v>
      </c>
      <c r="D4934" s="63" t="str">
        <f t="shared" si="697"/>
        <v/>
      </c>
      <c r="E4934" t="str">
        <f t="shared" si="698"/>
        <v/>
      </c>
      <c r="F4934" t="str">
        <f t="shared" si="699"/>
        <v/>
      </c>
      <c r="G4934" t="str">
        <f t="shared" si="700"/>
        <v/>
      </c>
    </row>
    <row r="4935" spans="2:7">
      <c r="B4935" s="46"/>
      <c r="C4935" t="str">
        <f t="shared" si="696"/>
        <v/>
      </c>
      <c r="D4935" s="63">
        <f t="shared" si="697"/>
        <v>15.0340375586854</v>
      </c>
      <c r="E4935" t="str">
        <f t="shared" si="698"/>
        <v/>
      </c>
      <c r="F4935" t="str">
        <f t="shared" si="699"/>
        <v/>
      </c>
      <c r="G4935" t="str">
        <f t="shared" si="700"/>
        <v/>
      </c>
    </row>
    <row r="4936" spans="2:7">
      <c r="B4936" s="46"/>
      <c r="C4936" t="str">
        <f t="shared" si="696"/>
        <v/>
      </c>
      <c r="D4936" s="63">
        <f t="shared" si="697"/>
        <v>15.0340375586854</v>
      </c>
      <c r="E4936" t="str">
        <f t="shared" si="698"/>
        <v/>
      </c>
      <c r="F4936" t="str">
        <f t="shared" si="699"/>
        <v/>
      </c>
      <c r="G4936" t="str">
        <f t="shared" si="700"/>
        <v/>
      </c>
    </row>
    <row r="4937" spans="2:7">
      <c r="B4937" s="46"/>
      <c r="C4937" t="str">
        <f t="shared" si="696"/>
        <v/>
      </c>
      <c r="D4937" s="63">
        <f t="shared" si="697"/>
        <v>16.1343896713615</v>
      </c>
      <c r="E4937" t="str">
        <f t="shared" si="698"/>
        <v/>
      </c>
      <c r="F4937" t="str">
        <f t="shared" si="699"/>
        <v/>
      </c>
      <c r="G4937" t="str">
        <f t="shared" si="700"/>
        <v/>
      </c>
    </row>
    <row r="4938" spans="2:7">
      <c r="B4938" s="46"/>
      <c r="C4938" t="str">
        <f t="shared" si="696"/>
        <v/>
      </c>
      <c r="D4938" s="63">
        <f t="shared" si="697"/>
        <v>16.8620892018779</v>
      </c>
      <c r="E4938" t="str">
        <f t="shared" si="698"/>
        <v/>
      </c>
      <c r="F4938" t="str">
        <f t="shared" si="699"/>
        <v/>
      </c>
      <c r="G4938" t="str">
        <f t="shared" si="700"/>
        <v/>
      </c>
    </row>
    <row r="4939" spans="2:7">
      <c r="B4939" s="46"/>
      <c r="C4939" t="str">
        <f t="shared" si="696"/>
        <v/>
      </c>
      <c r="D4939" s="63" t="str">
        <f t="shared" si="697"/>
        <v/>
      </c>
      <c r="E4939">
        <f t="shared" si="698"/>
        <v>16.1245098039216</v>
      </c>
      <c r="F4939" t="str">
        <f t="shared" si="699"/>
        <v/>
      </c>
      <c r="G4939" t="str">
        <f t="shared" si="700"/>
        <v/>
      </c>
    </row>
    <row r="4940" spans="2:7">
      <c r="B4940" s="46"/>
      <c r="C4940" t="str">
        <f t="shared" si="696"/>
        <v/>
      </c>
      <c r="D4940" s="63" t="str">
        <f t="shared" si="697"/>
        <v/>
      </c>
      <c r="E4940">
        <f t="shared" si="698"/>
        <v>17.9225490196078</v>
      </c>
      <c r="F4940" t="str">
        <f t="shared" si="699"/>
        <v/>
      </c>
      <c r="G4940" t="str">
        <f t="shared" si="700"/>
        <v/>
      </c>
    </row>
    <row r="4941" spans="2:7">
      <c r="B4941" s="46"/>
      <c r="C4941" t="str">
        <f t="shared" si="696"/>
        <v/>
      </c>
      <c r="D4941" s="63" t="str">
        <f t="shared" si="697"/>
        <v/>
      </c>
      <c r="E4941">
        <f t="shared" si="698"/>
        <v>18.7166666666667</v>
      </c>
      <c r="F4941" t="str">
        <f t="shared" si="699"/>
        <v/>
      </c>
      <c r="G4941" t="str">
        <f t="shared" si="700"/>
        <v/>
      </c>
    </row>
    <row r="4942" spans="2:7">
      <c r="B4942" s="46"/>
      <c r="C4942" t="str">
        <f t="shared" si="696"/>
        <v/>
      </c>
      <c r="D4942" s="63" t="str">
        <f t="shared" si="697"/>
        <v/>
      </c>
      <c r="E4942">
        <f t="shared" si="698"/>
        <v>18.9539215686275</v>
      </c>
      <c r="F4942" t="str">
        <f t="shared" si="699"/>
        <v/>
      </c>
      <c r="G4942" t="str">
        <f t="shared" si="700"/>
        <v/>
      </c>
    </row>
    <row r="4943" spans="2:7">
      <c r="B4943" s="46"/>
      <c r="C4943" t="str">
        <f t="shared" si="696"/>
        <v/>
      </c>
      <c r="D4943" s="63" t="str">
        <f t="shared" si="697"/>
        <v/>
      </c>
      <c r="E4943" t="str">
        <f t="shared" si="698"/>
        <v/>
      </c>
      <c r="F4943" t="str">
        <f t="shared" si="699"/>
        <v/>
      </c>
      <c r="G4943">
        <f t="shared" si="700"/>
        <v>15.4449685534591</v>
      </c>
    </row>
    <row r="4944" spans="2:7">
      <c r="B4944" s="46"/>
      <c r="C4944" t="str">
        <f t="shared" si="696"/>
        <v/>
      </c>
      <c r="D4944" s="63" t="str">
        <f t="shared" si="697"/>
        <v/>
      </c>
      <c r="E4944" t="str">
        <f t="shared" si="698"/>
        <v/>
      </c>
      <c r="F4944" t="str">
        <f t="shared" si="699"/>
        <v/>
      </c>
      <c r="G4944">
        <f t="shared" si="700"/>
        <v>16.4669811320755</v>
      </c>
    </row>
    <row r="4945" spans="2:7">
      <c r="B4945" s="46"/>
      <c r="C4945" t="str">
        <f t="shared" si="696"/>
        <v/>
      </c>
      <c r="D4945" s="63" t="str">
        <f t="shared" si="697"/>
        <v/>
      </c>
      <c r="E4945" t="str">
        <f t="shared" si="698"/>
        <v/>
      </c>
      <c r="F4945" t="str">
        <f t="shared" si="699"/>
        <v/>
      </c>
      <c r="G4945">
        <f t="shared" si="700"/>
        <v>17.7877358490566</v>
      </c>
    </row>
    <row r="4946" spans="2:7">
      <c r="B4946" s="46"/>
      <c r="C4946" t="str">
        <f t="shared" si="696"/>
        <v/>
      </c>
      <c r="D4946" s="63" t="str">
        <f t="shared" si="697"/>
        <v/>
      </c>
      <c r="E4946" t="str">
        <f t="shared" si="698"/>
        <v/>
      </c>
      <c r="F4946" t="str">
        <f t="shared" si="699"/>
        <v/>
      </c>
      <c r="G4946">
        <f t="shared" si="700"/>
        <v>18.377358490566</v>
      </c>
    </row>
    <row r="4947" spans="2:7">
      <c r="B4947" s="46"/>
      <c r="C4947" t="str">
        <f t="shared" si="696"/>
        <v/>
      </c>
      <c r="D4947" s="63" t="str">
        <f t="shared" si="697"/>
        <v/>
      </c>
      <c r="E4947" t="str">
        <f t="shared" si="698"/>
        <v/>
      </c>
      <c r="F4947">
        <f t="shared" si="699"/>
        <v>15.4234693877551</v>
      </c>
      <c r="G4947" t="str">
        <f t="shared" si="700"/>
        <v/>
      </c>
    </row>
    <row r="4948" spans="2:7">
      <c r="B4948" s="46"/>
      <c r="C4948" t="str">
        <f t="shared" si="696"/>
        <v/>
      </c>
      <c r="D4948" s="63" t="str">
        <f t="shared" si="697"/>
        <v/>
      </c>
      <c r="E4948" t="str">
        <f t="shared" si="698"/>
        <v/>
      </c>
      <c r="F4948">
        <f t="shared" si="699"/>
        <v>16.7698412698413</v>
      </c>
      <c r="G4948" t="str">
        <f t="shared" si="700"/>
        <v/>
      </c>
    </row>
    <row r="4949" spans="2:7">
      <c r="B4949" s="46"/>
      <c r="C4949" t="str">
        <f t="shared" si="696"/>
        <v/>
      </c>
      <c r="D4949" s="63" t="str">
        <f t="shared" si="697"/>
        <v/>
      </c>
      <c r="E4949" t="str">
        <f t="shared" si="698"/>
        <v/>
      </c>
      <c r="F4949">
        <f t="shared" si="699"/>
        <v>18.109410430839</v>
      </c>
      <c r="G4949" t="str">
        <f t="shared" si="700"/>
        <v/>
      </c>
    </row>
    <row r="4950" spans="2:7">
      <c r="B4950" s="46"/>
      <c r="C4950" t="str">
        <f t="shared" si="696"/>
        <v/>
      </c>
      <c r="D4950" s="63" t="str">
        <f t="shared" si="697"/>
        <v/>
      </c>
      <c r="E4950" t="str">
        <f t="shared" si="698"/>
        <v/>
      </c>
      <c r="F4950">
        <f t="shared" si="699"/>
        <v>20.1581632653061</v>
      </c>
      <c r="G4950" t="str">
        <f t="shared" si="700"/>
        <v/>
      </c>
    </row>
    <row r="4951" spans="2:7">
      <c r="B4951" s="46"/>
      <c r="C4951" t="str">
        <f t="shared" si="696"/>
        <v/>
      </c>
      <c r="D4951" s="63" t="str">
        <f t="shared" si="697"/>
        <v/>
      </c>
      <c r="E4951" t="str">
        <f t="shared" si="698"/>
        <v/>
      </c>
      <c r="F4951">
        <f t="shared" si="699"/>
        <v>22.1581632653061</v>
      </c>
      <c r="G4951" t="str">
        <f t="shared" si="700"/>
        <v/>
      </c>
    </row>
    <row r="4952" spans="2:7">
      <c r="B4952" s="46"/>
      <c r="C4952" t="str">
        <f t="shared" si="696"/>
        <v/>
      </c>
      <c r="D4952" s="63" t="str">
        <f t="shared" si="697"/>
        <v/>
      </c>
      <c r="E4952" t="str">
        <f t="shared" si="698"/>
        <v/>
      </c>
      <c r="F4952">
        <f t="shared" si="699"/>
        <v>22.8781179138322</v>
      </c>
      <c r="G4952" t="str">
        <f t="shared" si="700"/>
        <v/>
      </c>
    </row>
    <row r="4953" spans="2:7">
      <c r="B4953" s="46"/>
      <c r="C4953" t="str">
        <f t="shared" si="696"/>
        <v/>
      </c>
      <c r="D4953" s="63">
        <f t="shared" si="697"/>
        <v>17.3022300469484</v>
      </c>
      <c r="E4953" t="str">
        <f t="shared" si="698"/>
        <v/>
      </c>
      <c r="F4953" t="str">
        <f t="shared" si="699"/>
        <v/>
      </c>
      <c r="G4953" t="str">
        <f t="shared" si="700"/>
        <v/>
      </c>
    </row>
    <row r="4954" spans="2:7">
      <c r="B4954" s="46"/>
      <c r="C4954" t="str">
        <f t="shared" si="696"/>
        <v/>
      </c>
      <c r="D4954" s="63">
        <f t="shared" si="697"/>
        <v>22.837441314554</v>
      </c>
      <c r="E4954" t="str">
        <f t="shared" si="698"/>
        <v/>
      </c>
      <c r="F4954" t="str">
        <f t="shared" si="699"/>
        <v/>
      </c>
      <c r="G4954" t="str">
        <f t="shared" si="700"/>
        <v/>
      </c>
    </row>
    <row r="4955" spans="2:7">
      <c r="B4955" s="46"/>
      <c r="C4955" t="str">
        <f t="shared" si="696"/>
        <v/>
      </c>
      <c r="D4955" s="63">
        <f t="shared" si="697"/>
        <v>23.7089201877934</v>
      </c>
      <c r="E4955" t="str">
        <f t="shared" si="698"/>
        <v/>
      </c>
      <c r="F4955" t="str">
        <f t="shared" si="699"/>
        <v/>
      </c>
      <c r="G4955" t="str">
        <f t="shared" si="700"/>
        <v/>
      </c>
    </row>
    <row r="4956" spans="2:7">
      <c r="B4956" s="46"/>
      <c r="C4956" t="str">
        <f t="shared" si="696"/>
        <v/>
      </c>
      <c r="D4956" s="63">
        <f t="shared" si="697"/>
        <v>24.3427230046948</v>
      </c>
      <c r="E4956" t="str">
        <f t="shared" si="698"/>
        <v/>
      </c>
      <c r="F4956" t="str">
        <f t="shared" si="699"/>
        <v/>
      </c>
      <c r="G4956" t="str">
        <f t="shared" si="700"/>
        <v/>
      </c>
    </row>
    <row r="4957" spans="2:7">
      <c r="B4957" s="46"/>
      <c r="C4957" t="str">
        <f t="shared" si="696"/>
        <v/>
      </c>
      <c r="D4957" s="63">
        <f t="shared" si="697"/>
        <v>27.5704225352113</v>
      </c>
      <c r="E4957" t="str">
        <f t="shared" si="698"/>
        <v/>
      </c>
      <c r="F4957" t="str">
        <f t="shared" si="699"/>
        <v/>
      </c>
      <c r="G4957" t="str">
        <f t="shared" si="700"/>
        <v/>
      </c>
    </row>
    <row r="4958" spans="2:7">
      <c r="B4958" s="46"/>
      <c r="C4958" t="str">
        <f t="shared" si="696"/>
        <v/>
      </c>
      <c r="D4958" s="63" t="str">
        <f t="shared" si="697"/>
        <v/>
      </c>
      <c r="E4958" t="str">
        <f t="shared" si="698"/>
        <v/>
      </c>
      <c r="F4958" t="str">
        <f t="shared" si="699"/>
        <v/>
      </c>
      <c r="G4958">
        <f t="shared" si="700"/>
        <v>19.1949685534591</v>
      </c>
    </row>
    <row r="4959" spans="2:7">
      <c r="B4959" s="46"/>
      <c r="C4959" t="str">
        <f t="shared" si="696"/>
        <v/>
      </c>
      <c r="D4959" s="63" t="str">
        <f t="shared" si="697"/>
        <v/>
      </c>
      <c r="E4959" t="str">
        <f t="shared" si="698"/>
        <v/>
      </c>
      <c r="F4959" t="str">
        <f t="shared" si="699"/>
        <v/>
      </c>
      <c r="G4959">
        <f t="shared" si="700"/>
        <v>21.9606918238994</v>
      </c>
    </row>
    <row r="4960" spans="2:7">
      <c r="B4960" s="46"/>
      <c r="C4960" t="str">
        <f t="shared" si="696"/>
        <v/>
      </c>
      <c r="D4960" s="63" t="str">
        <f t="shared" si="697"/>
        <v/>
      </c>
      <c r="E4960" t="str">
        <f t="shared" si="698"/>
        <v/>
      </c>
      <c r="F4960" t="str">
        <f t="shared" si="699"/>
        <v/>
      </c>
      <c r="G4960">
        <f t="shared" si="700"/>
        <v>21.9606918238994</v>
      </c>
    </row>
    <row r="4961" spans="2:7">
      <c r="B4961" s="46"/>
      <c r="C4961" t="str">
        <f t="shared" si="696"/>
        <v/>
      </c>
      <c r="D4961" s="63" t="str">
        <f t="shared" si="697"/>
        <v/>
      </c>
      <c r="E4961" t="str">
        <f t="shared" si="698"/>
        <v/>
      </c>
      <c r="F4961" t="str">
        <f t="shared" si="699"/>
        <v/>
      </c>
      <c r="G4961">
        <f t="shared" si="700"/>
        <v>25.2222222222222</v>
      </c>
    </row>
    <row r="4962" spans="2:7">
      <c r="B4962" s="46"/>
      <c r="C4962" t="str">
        <f t="shared" si="696"/>
        <v/>
      </c>
      <c r="D4962" s="63" t="str">
        <f t="shared" si="697"/>
        <v/>
      </c>
      <c r="E4962">
        <f t="shared" si="698"/>
        <v>22.268137254902</v>
      </c>
      <c r="F4962" t="str">
        <f t="shared" si="699"/>
        <v/>
      </c>
      <c r="G4962" t="str">
        <f t="shared" si="700"/>
        <v/>
      </c>
    </row>
    <row r="4963" spans="2:7">
      <c r="B4963" s="46"/>
      <c r="C4963" t="str">
        <f t="shared" si="696"/>
        <v/>
      </c>
      <c r="D4963" s="63" t="str">
        <f t="shared" si="697"/>
        <v/>
      </c>
      <c r="E4963">
        <f t="shared" si="698"/>
        <v>22.268137254902</v>
      </c>
      <c r="F4963" t="str">
        <f t="shared" si="699"/>
        <v/>
      </c>
      <c r="G4963" t="str">
        <f t="shared" si="700"/>
        <v/>
      </c>
    </row>
    <row r="4964" spans="2:7">
      <c r="B4964" s="46"/>
      <c r="C4964" t="str">
        <f t="shared" si="696"/>
        <v/>
      </c>
      <c r="D4964" s="63" t="str">
        <f t="shared" si="697"/>
        <v/>
      </c>
      <c r="E4964">
        <f t="shared" si="698"/>
        <v>24.6995098039216</v>
      </c>
      <c r="F4964" t="str">
        <f t="shared" si="699"/>
        <v/>
      </c>
      <c r="G4964" t="str">
        <f t="shared" si="700"/>
        <v/>
      </c>
    </row>
    <row r="4965" spans="2:7">
      <c r="B4965" s="46"/>
      <c r="C4965" t="str">
        <f t="shared" si="696"/>
        <v/>
      </c>
      <c r="D4965" s="63" t="str">
        <f t="shared" si="697"/>
        <v/>
      </c>
      <c r="E4965">
        <f t="shared" si="698"/>
        <v>25.3416666666667</v>
      </c>
      <c r="F4965" t="str">
        <f t="shared" si="699"/>
        <v/>
      </c>
      <c r="G4965" t="str">
        <f t="shared" si="700"/>
        <v/>
      </c>
    </row>
    <row r="4966" spans="2:7">
      <c r="B4966" s="46"/>
      <c r="C4966">
        <f t="shared" si="696"/>
        <v>19.5358796296296</v>
      </c>
      <c r="D4966" s="63" t="str">
        <f t="shared" si="697"/>
        <v/>
      </c>
      <c r="E4966" t="str">
        <f t="shared" si="698"/>
        <v/>
      </c>
      <c r="F4966" t="str">
        <f t="shared" si="699"/>
        <v/>
      </c>
      <c r="G4966" t="str">
        <f t="shared" si="700"/>
        <v/>
      </c>
    </row>
    <row r="4967" spans="2:7">
      <c r="B4967" s="46"/>
      <c r="C4967">
        <f t="shared" si="696"/>
        <v>20.1608796296296</v>
      </c>
      <c r="D4967" s="63" t="str">
        <f t="shared" si="697"/>
        <v/>
      </c>
      <c r="E4967" t="str">
        <f t="shared" si="698"/>
        <v/>
      </c>
      <c r="F4967" t="str">
        <f t="shared" si="699"/>
        <v/>
      </c>
      <c r="G4967" t="str">
        <f t="shared" si="700"/>
        <v/>
      </c>
    </row>
    <row r="4968" spans="2:7">
      <c r="B4968" s="46"/>
      <c r="C4968">
        <f t="shared" si="696"/>
        <v>21.7233796296296</v>
      </c>
      <c r="D4968" s="63" t="str">
        <f t="shared" si="697"/>
        <v/>
      </c>
      <c r="E4968" t="str">
        <f t="shared" si="698"/>
        <v/>
      </c>
      <c r="F4968" t="str">
        <f t="shared" si="699"/>
        <v/>
      </c>
      <c r="G4968" t="str">
        <f t="shared" si="700"/>
        <v/>
      </c>
    </row>
    <row r="4969" spans="2:7">
      <c r="B4969" s="46"/>
      <c r="C4969">
        <f t="shared" si="696"/>
        <v>22.7054398148148</v>
      </c>
      <c r="D4969" s="63" t="str">
        <f t="shared" si="697"/>
        <v/>
      </c>
      <c r="E4969" t="str">
        <f t="shared" si="698"/>
        <v/>
      </c>
      <c r="F4969" t="str">
        <f t="shared" si="699"/>
        <v/>
      </c>
      <c r="G4969" t="str">
        <f t="shared" si="700"/>
        <v/>
      </c>
    </row>
    <row r="4970" spans="2:7">
      <c r="B4970" s="46"/>
      <c r="C4970">
        <f t="shared" si="696"/>
        <v>22.7054398148148</v>
      </c>
      <c r="D4970" s="63" t="str">
        <f t="shared" si="697"/>
        <v/>
      </c>
      <c r="E4970" t="str">
        <f t="shared" si="698"/>
        <v/>
      </c>
      <c r="F4970" t="str">
        <f t="shared" si="699"/>
        <v/>
      </c>
      <c r="G4970" t="str">
        <f t="shared" si="700"/>
        <v/>
      </c>
    </row>
    <row r="4971" spans="2:7">
      <c r="B4971" s="46"/>
      <c r="C4971">
        <f t="shared" ref="C4971:C4999" si="701">IF(J72=1,S72,"")</f>
        <v>22.8512731481482</v>
      </c>
      <c r="D4971" s="63" t="str">
        <f t="shared" ref="D4971:D4999" si="702">IF(J72=2,S72,"")</f>
        <v/>
      </c>
      <c r="E4971" t="str">
        <f t="shared" ref="E4971:E4999" si="703">IF(J72=3,S72,"")</f>
        <v/>
      </c>
      <c r="F4971" t="str">
        <f t="shared" ref="F4971:F4999" si="704">IF(J72=4,S72,"")</f>
        <v/>
      </c>
      <c r="G4971" t="str">
        <f t="shared" ref="G4971:G4999" si="705">IF(J72=5,S72,"")</f>
        <v/>
      </c>
    </row>
    <row r="4972" spans="2:7">
      <c r="B4972" s="46"/>
      <c r="C4972">
        <f t="shared" si="701"/>
        <v>34.4068287037037</v>
      </c>
      <c r="D4972" s="63" t="str">
        <f t="shared" si="702"/>
        <v/>
      </c>
      <c r="E4972" t="str">
        <f t="shared" si="703"/>
        <v/>
      </c>
      <c r="F4972" t="str">
        <f t="shared" si="704"/>
        <v/>
      </c>
      <c r="G4972" t="str">
        <f t="shared" si="705"/>
        <v/>
      </c>
    </row>
    <row r="4973" spans="2:7">
      <c r="B4973" s="46"/>
      <c r="C4973">
        <f t="shared" si="701"/>
        <v>34.4068287037037</v>
      </c>
      <c r="D4973" s="63" t="str">
        <f t="shared" si="702"/>
        <v/>
      </c>
      <c r="E4973" t="str">
        <f t="shared" si="703"/>
        <v/>
      </c>
      <c r="F4973" t="str">
        <f t="shared" si="704"/>
        <v/>
      </c>
      <c r="G4973" t="str">
        <f t="shared" si="705"/>
        <v/>
      </c>
    </row>
    <row r="4974" spans="2:7">
      <c r="B4974" s="46"/>
      <c r="C4974">
        <f t="shared" si="701"/>
        <v>35.5827546296296</v>
      </c>
      <c r="D4974" s="63" t="str">
        <f t="shared" si="702"/>
        <v/>
      </c>
      <c r="E4974" t="str">
        <f t="shared" si="703"/>
        <v/>
      </c>
      <c r="F4974" t="str">
        <f t="shared" si="704"/>
        <v/>
      </c>
      <c r="G4974" t="str">
        <f t="shared" si="705"/>
        <v/>
      </c>
    </row>
    <row r="4975" spans="2:7">
      <c r="B4975" s="46"/>
      <c r="C4975">
        <f t="shared" si="701"/>
        <v>36.7893518518519</v>
      </c>
      <c r="D4975" s="63" t="str">
        <f t="shared" si="702"/>
        <v/>
      </c>
      <c r="E4975" t="str">
        <f t="shared" si="703"/>
        <v/>
      </c>
      <c r="F4975" t="str">
        <f t="shared" si="704"/>
        <v/>
      </c>
      <c r="G4975" t="str">
        <f t="shared" si="705"/>
        <v/>
      </c>
    </row>
    <row r="4976" spans="2:7">
      <c r="B4976" s="46"/>
      <c r="C4976" t="str">
        <f t="shared" si="701"/>
        <v/>
      </c>
      <c r="D4976" s="63" t="str">
        <f t="shared" si="702"/>
        <v/>
      </c>
      <c r="E4976" t="str">
        <f t="shared" si="703"/>
        <v/>
      </c>
      <c r="F4976">
        <f t="shared" si="704"/>
        <v>23.4404761904762</v>
      </c>
      <c r="G4976" t="str">
        <f t="shared" si="705"/>
        <v/>
      </c>
    </row>
    <row r="4977" spans="2:7">
      <c r="B4977" s="46"/>
      <c r="C4977" t="str">
        <f t="shared" si="701"/>
        <v/>
      </c>
      <c r="D4977" s="63" t="str">
        <f t="shared" si="702"/>
        <v/>
      </c>
      <c r="E4977" t="str">
        <f t="shared" si="703"/>
        <v/>
      </c>
      <c r="F4977">
        <f t="shared" si="704"/>
        <v>24.3616780045352</v>
      </c>
      <c r="G4977" t="str">
        <f t="shared" si="705"/>
        <v/>
      </c>
    </row>
    <row r="4978" spans="2:7">
      <c r="B4978" s="46"/>
      <c r="C4978" t="str">
        <f t="shared" si="701"/>
        <v/>
      </c>
      <c r="D4978" s="63" t="str">
        <f t="shared" si="702"/>
        <v/>
      </c>
      <c r="E4978" t="str">
        <f t="shared" si="703"/>
        <v/>
      </c>
      <c r="F4978">
        <f t="shared" si="704"/>
        <v>25.8378684807256</v>
      </c>
      <c r="G4978" t="str">
        <f t="shared" si="705"/>
        <v/>
      </c>
    </row>
    <row r="4979" spans="2:7">
      <c r="B4979" s="46"/>
      <c r="C4979" t="str">
        <f t="shared" si="701"/>
        <v/>
      </c>
      <c r="D4979" s="63" t="str">
        <f t="shared" si="702"/>
        <v/>
      </c>
      <c r="E4979" t="str">
        <f t="shared" si="703"/>
        <v/>
      </c>
      <c r="F4979">
        <f t="shared" si="704"/>
        <v>29.4625850340136</v>
      </c>
      <c r="G4979" t="str">
        <f t="shared" si="705"/>
        <v/>
      </c>
    </row>
    <row r="4980" spans="2:7">
      <c r="B4980" s="46"/>
      <c r="C4980" t="str">
        <f t="shared" si="701"/>
        <v/>
      </c>
      <c r="D4980" s="63" t="str">
        <f t="shared" si="702"/>
        <v/>
      </c>
      <c r="E4980" t="str">
        <f t="shared" si="703"/>
        <v/>
      </c>
      <c r="F4980">
        <f t="shared" si="704"/>
        <v>30.092970521542</v>
      </c>
      <c r="G4980" t="str">
        <f t="shared" si="705"/>
        <v/>
      </c>
    </row>
    <row r="4981" spans="2:7">
      <c r="B4981" s="46"/>
      <c r="C4981" t="str">
        <f t="shared" si="701"/>
        <v/>
      </c>
      <c r="D4981" s="63" t="str">
        <f t="shared" si="702"/>
        <v/>
      </c>
      <c r="E4981" t="str">
        <f t="shared" si="703"/>
        <v/>
      </c>
      <c r="F4981">
        <f t="shared" si="704"/>
        <v>30.8809523809524</v>
      </c>
      <c r="G4981" t="str">
        <f t="shared" si="705"/>
        <v/>
      </c>
    </row>
    <row r="4982" spans="2:7">
      <c r="B4982" s="46"/>
      <c r="C4982" t="str">
        <f t="shared" si="701"/>
        <v/>
      </c>
      <c r="D4982" s="63" t="str">
        <f t="shared" si="702"/>
        <v/>
      </c>
      <c r="E4982" t="str">
        <f t="shared" si="703"/>
        <v/>
      </c>
      <c r="F4982" t="str">
        <f t="shared" si="704"/>
        <v/>
      </c>
      <c r="G4982">
        <f t="shared" si="705"/>
        <v>26.0235849056604</v>
      </c>
    </row>
    <row r="4983" spans="2:7">
      <c r="B4983" s="46"/>
      <c r="C4983" t="str">
        <f t="shared" si="701"/>
        <v/>
      </c>
      <c r="D4983" s="63" t="str">
        <f t="shared" si="702"/>
        <v/>
      </c>
      <c r="E4983" t="str">
        <f t="shared" si="703"/>
        <v/>
      </c>
      <c r="F4983" t="str">
        <f t="shared" si="704"/>
        <v/>
      </c>
      <c r="G4983">
        <f t="shared" si="705"/>
        <v>26.8977987421384</v>
      </c>
    </row>
    <row r="4984" spans="2:7">
      <c r="B4984" s="46"/>
      <c r="C4984" t="str">
        <f t="shared" si="701"/>
        <v/>
      </c>
      <c r="D4984" s="63" t="str">
        <f t="shared" si="702"/>
        <v/>
      </c>
      <c r="E4984" t="str">
        <f t="shared" si="703"/>
        <v/>
      </c>
      <c r="F4984" t="str">
        <f t="shared" si="704"/>
        <v/>
      </c>
      <c r="G4984">
        <f t="shared" si="705"/>
        <v>27.8448637316562</v>
      </c>
    </row>
    <row r="4985" spans="2:7">
      <c r="B4985" s="46"/>
      <c r="C4985" t="str">
        <f t="shared" si="701"/>
        <v/>
      </c>
      <c r="D4985" s="63" t="str">
        <f t="shared" si="702"/>
        <v/>
      </c>
      <c r="E4985" t="str">
        <f t="shared" si="703"/>
        <v/>
      </c>
      <c r="F4985" t="str">
        <f t="shared" si="704"/>
        <v/>
      </c>
      <c r="G4985">
        <f t="shared" si="705"/>
        <v>29.229035639413</v>
      </c>
    </row>
    <row r="4986" spans="2:7">
      <c r="B4986" s="46"/>
      <c r="C4986" t="str">
        <f t="shared" si="701"/>
        <v/>
      </c>
      <c r="D4986" s="63" t="str">
        <f t="shared" si="702"/>
        <v/>
      </c>
      <c r="E4986">
        <f t="shared" si="703"/>
        <v>25.5460784313725</v>
      </c>
      <c r="F4986" t="str">
        <f t="shared" si="704"/>
        <v/>
      </c>
      <c r="G4986" t="str">
        <f t="shared" si="705"/>
        <v/>
      </c>
    </row>
    <row r="4987" spans="2:7">
      <c r="B4987" s="46"/>
      <c r="C4987" t="str">
        <f t="shared" si="701"/>
        <v/>
      </c>
      <c r="D4987" s="63" t="str">
        <f t="shared" si="702"/>
        <v/>
      </c>
      <c r="E4987">
        <f t="shared" si="703"/>
        <v>28.8676470588235</v>
      </c>
      <c r="F4987" t="str">
        <f t="shared" si="704"/>
        <v/>
      </c>
      <c r="G4987" t="str">
        <f t="shared" si="705"/>
        <v/>
      </c>
    </row>
    <row r="4988" spans="2:7">
      <c r="B4988" s="46"/>
      <c r="C4988">
        <f t="shared" si="701"/>
        <v>39.1041666666667</v>
      </c>
      <c r="D4988" s="63" t="str">
        <f t="shared" si="702"/>
        <v/>
      </c>
      <c r="E4988" t="str">
        <f t="shared" si="703"/>
        <v/>
      </c>
      <c r="F4988" t="str">
        <f t="shared" si="704"/>
        <v/>
      </c>
      <c r="G4988" t="str">
        <f t="shared" si="705"/>
        <v/>
      </c>
    </row>
    <row r="4989" spans="2:7">
      <c r="B4989" s="46"/>
      <c r="C4989" t="str">
        <f t="shared" si="701"/>
        <v/>
      </c>
      <c r="D4989" s="63" t="str">
        <f t="shared" si="702"/>
        <v/>
      </c>
      <c r="E4989">
        <f t="shared" si="703"/>
        <v>30.843137254902</v>
      </c>
      <c r="F4989" t="str">
        <f t="shared" si="704"/>
        <v/>
      </c>
      <c r="G4989" t="str">
        <f t="shared" si="705"/>
        <v/>
      </c>
    </row>
    <row r="4990" spans="2:7">
      <c r="B4990" s="46"/>
      <c r="C4990" t="str">
        <f t="shared" si="701"/>
        <v/>
      </c>
      <c r="D4990" s="63" t="str">
        <f t="shared" si="702"/>
        <v/>
      </c>
      <c r="E4990">
        <f t="shared" si="703"/>
        <v>32.2524509803922</v>
      </c>
      <c r="F4990" t="str">
        <f t="shared" si="704"/>
        <v/>
      </c>
      <c r="G4990" t="str">
        <f t="shared" si="705"/>
        <v/>
      </c>
    </row>
    <row r="4991" spans="2:7">
      <c r="B4991" s="46"/>
      <c r="C4991" t="str">
        <f t="shared" si="701"/>
        <v/>
      </c>
      <c r="D4991" s="63">
        <f t="shared" si="702"/>
        <v>30.1643192488263</v>
      </c>
      <c r="E4991" t="str">
        <f t="shared" si="703"/>
        <v/>
      </c>
      <c r="F4991" t="str">
        <f t="shared" si="704"/>
        <v/>
      </c>
      <c r="G4991" t="str">
        <f t="shared" si="705"/>
        <v/>
      </c>
    </row>
    <row r="4992" spans="2:7">
      <c r="B4992" s="46"/>
      <c r="C4992" t="str">
        <f t="shared" si="701"/>
        <v/>
      </c>
      <c r="D4992" s="63">
        <f t="shared" si="702"/>
        <v>32.7840375586854</v>
      </c>
      <c r="E4992" t="str">
        <f t="shared" si="703"/>
        <v/>
      </c>
      <c r="F4992" t="str">
        <f t="shared" si="704"/>
        <v/>
      </c>
      <c r="G4992" t="str">
        <f t="shared" si="705"/>
        <v/>
      </c>
    </row>
    <row r="4993" spans="2:7">
      <c r="B4993" s="46"/>
      <c r="C4993" t="str">
        <f t="shared" si="701"/>
        <v/>
      </c>
      <c r="D4993" s="63">
        <f t="shared" si="702"/>
        <v>35.31279342723</v>
      </c>
      <c r="E4993" t="str">
        <f t="shared" si="703"/>
        <v/>
      </c>
      <c r="F4993" t="str">
        <f t="shared" si="704"/>
        <v/>
      </c>
      <c r="G4993" t="str">
        <f t="shared" si="705"/>
        <v/>
      </c>
    </row>
    <row r="4994" spans="2:7">
      <c r="B4994" s="46"/>
      <c r="C4994" t="str">
        <f t="shared" si="701"/>
        <v/>
      </c>
      <c r="D4994" s="63">
        <f t="shared" si="702"/>
        <v>37.6895539906103</v>
      </c>
      <c r="E4994" t="str">
        <f t="shared" si="703"/>
        <v/>
      </c>
      <c r="F4994" t="str">
        <f t="shared" si="704"/>
        <v/>
      </c>
      <c r="G4994" t="str">
        <f t="shared" si="705"/>
        <v/>
      </c>
    </row>
    <row r="4995" spans="2:7">
      <c r="B4995" s="46"/>
      <c r="C4995" t="str">
        <f t="shared" si="701"/>
        <v/>
      </c>
      <c r="D4995" s="63" t="str">
        <f t="shared" si="702"/>
        <v/>
      </c>
      <c r="E4995" t="str">
        <f t="shared" si="703"/>
        <v/>
      </c>
      <c r="F4995" t="str">
        <f t="shared" si="704"/>
        <v/>
      </c>
      <c r="G4995">
        <f t="shared" si="705"/>
        <v>31.5120545073375</v>
      </c>
    </row>
    <row r="4996" spans="2:7">
      <c r="B4996" s="46"/>
      <c r="C4996" t="str">
        <f t="shared" si="701"/>
        <v/>
      </c>
      <c r="D4996" s="63" t="str">
        <f t="shared" si="702"/>
        <v/>
      </c>
      <c r="E4996" t="str">
        <f t="shared" si="703"/>
        <v/>
      </c>
      <c r="F4996" t="str">
        <f t="shared" si="704"/>
        <v/>
      </c>
      <c r="G4996">
        <f t="shared" si="705"/>
        <v>33.3464360587002</v>
      </c>
    </row>
    <row r="4997" spans="2:7">
      <c r="B4997" s="46"/>
      <c r="C4997" t="str">
        <f t="shared" si="701"/>
        <v/>
      </c>
      <c r="D4997" s="63" t="str">
        <f t="shared" si="702"/>
        <v/>
      </c>
      <c r="E4997" t="str">
        <f t="shared" si="703"/>
        <v/>
      </c>
      <c r="F4997" t="str">
        <f t="shared" si="704"/>
        <v/>
      </c>
      <c r="G4997">
        <f t="shared" si="705"/>
        <v>35.6105870020964</v>
      </c>
    </row>
    <row r="4998" spans="2:7">
      <c r="B4998" s="46"/>
      <c r="C4998" t="str">
        <f t="shared" si="701"/>
        <v/>
      </c>
      <c r="D4998" s="63" t="str">
        <f t="shared" si="702"/>
        <v/>
      </c>
      <c r="E4998" t="str">
        <f t="shared" si="703"/>
        <v/>
      </c>
      <c r="F4998" t="str">
        <f t="shared" si="704"/>
        <v/>
      </c>
      <c r="G4998">
        <f t="shared" si="705"/>
        <v>38.1001048218029</v>
      </c>
    </row>
    <row r="4999" ht="15.75" spans="2:7">
      <c r="B4999" s="46"/>
      <c r="C4999" t="str">
        <f t="shared" si="701"/>
        <v/>
      </c>
      <c r="D4999" s="63" t="str">
        <f t="shared" si="702"/>
        <v/>
      </c>
      <c r="E4999" t="str">
        <f t="shared" si="703"/>
        <v/>
      </c>
      <c r="F4999">
        <f t="shared" si="704"/>
        <v>32.8809523809524</v>
      </c>
      <c r="G4999" t="str">
        <f t="shared" si="705"/>
        <v/>
      </c>
    </row>
    <row r="5000" spans="2:7">
      <c r="B5000" s="74" t="s">
        <v>269</v>
      </c>
      <c r="C5000" s="75">
        <f>MAX(C4907:C4999)</f>
        <v>39.1041666666667</v>
      </c>
      <c r="D5000" s="75">
        <f t="shared" ref="D5000:G5000" si="706">MAX(D4907:D4999)</f>
        <v>37.6895539906103</v>
      </c>
      <c r="E5000" s="75">
        <f t="shared" si="706"/>
        <v>32.2524509803922</v>
      </c>
      <c r="F5000" s="75">
        <f t="shared" si="706"/>
        <v>32.8809523809524</v>
      </c>
      <c r="G5000" s="75">
        <f t="shared" si="706"/>
        <v>38.1001048218029</v>
      </c>
    </row>
    <row r="5001" spans="2:7">
      <c r="B5001" s="76" t="s">
        <v>270</v>
      </c>
      <c r="C5001" s="77">
        <v>1</v>
      </c>
      <c r="D5001" s="78">
        <v>2</v>
      </c>
      <c r="E5001">
        <v>3</v>
      </c>
      <c r="F5001">
        <v>4</v>
      </c>
      <c r="G5001">
        <v>5</v>
      </c>
    </row>
    <row r="5002" spans="2:7">
      <c r="B5002" s="79" t="s">
        <v>271</v>
      </c>
      <c r="C5002" s="72">
        <f>HLOOKUP(MIN(C5000:G5000),C5000:G5001,2,FALSE)</f>
        <v>3</v>
      </c>
      <c r="D5002" s="80"/>
    </row>
    <row r="5004" ht="15.75" spans="2:7">
      <c r="B5004" s="43" t="s">
        <v>364</v>
      </c>
      <c r="C5004" s="44"/>
      <c r="D5004" s="45"/>
    </row>
    <row r="5005" spans="2:7">
      <c r="B5005" s="46"/>
      <c r="C5005" s="61" t="s">
        <v>264</v>
      </c>
      <c r="D5005" s="61" t="s">
        <v>265</v>
      </c>
      <c r="E5005" s="62" t="s">
        <v>286</v>
      </c>
      <c r="F5005" s="62" t="s">
        <v>287</v>
      </c>
      <c r="G5005" s="62" t="s">
        <v>288</v>
      </c>
    </row>
    <row r="5006" spans="2:7">
      <c r="B5006" s="46"/>
      <c r="C5006">
        <f t="shared" ref="C5006:C5069" si="707">IF(J8=1,S8,"")</f>
        <v>0.700231481481482</v>
      </c>
      <c r="D5006" s="63" t="str">
        <f t="shared" ref="D5006:D5069" si="708">IF(J8=2,S8,"")</f>
        <v/>
      </c>
      <c r="E5006" t="str">
        <f t="shared" ref="E5006:E5069" si="709">IF(J8=3,S8,"")</f>
        <v/>
      </c>
      <c r="F5006" t="str">
        <f t="shared" ref="F5006:F5069" si="710">IF(J8=4,S8,"")</f>
        <v/>
      </c>
      <c r="G5006" t="str">
        <f t="shared" ref="G5006:G5069" si="711">IF(J8=5,S8,"")</f>
        <v/>
      </c>
    </row>
    <row r="5007" spans="2:7">
      <c r="B5007" s="46"/>
      <c r="C5007" t="str">
        <f t="shared" si="707"/>
        <v/>
      </c>
      <c r="D5007" s="63">
        <f t="shared" si="708"/>
        <v>0.734154929577465</v>
      </c>
      <c r="E5007" t="str">
        <f t="shared" si="709"/>
        <v/>
      </c>
      <c r="F5007" t="str">
        <f t="shared" si="710"/>
        <v/>
      </c>
      <c r="G5007" t="str">
        <f t="shared" si="711"/>
        <v/>
      </c>
    </row>
    <row r="5008" spans="2:7">
      <c r="B5008" s="46"/>
      <c r="C5008" t="str">
        <f t="shared" si="707"/>
        <v/>
      </c>
      <c r="D5008" s="63" t="str">
        <f t="shared" si="708"/>
        <v/>
      </c>
      <c r="E5008">
        <f t="shared" si="709"/>
        <v>1.83823529411765</v>
      </c>
      <c r="F5008" t="str">
        <f t="shared" si="710"/>
        <v/>
      </c>
      <c r="G5008" t="str">
        <f t="shared" si="711"/>
        <v/>
      </c>
    </row>
    <row r="5009" spans="2:7">
      <c r="B5009" s="46"/>
      <c r="C5009" t="str">
        <f t="shared" si="707"/>
        <v/>
      </c>
      <c r="D5009" s="63" t="str">
        <f t="shared" si="708"/>
        <v/>
      </c>
      <c r="E5009" t="str">
        <f t="shared" si="709"/>
        <v/>
      </c>
      <c r="F5009">
        <f t="shared" si="710"/>
        <v>4.28571428571429</v>
      </c>
      <c r="G5009" t="str">
        <f t="shared" si="711"/>
        <v/>
      </c>
    </row>
    <row r="5010" spans="2:7">
      <c r="B5010" s="46"/>
      <c r="C5010" t="str">
        <f t="shared" si="707"/>
        <v/>
      </c>
      <c r="D5010" s="63" t="str">
        <f t="shared" si="708"/>
        <v/>
      </c>
      <c r="E5010" t="str">
        <f t="shared" si="709"/>
        <v/>
      </c>
      <c r="F5010" t="str">
        <f t="shared" si="710"/>
        <v/>
      </c>
      <c r="G5010">
        <f t="shared" si="711"/>
        <v>3.43396226415094</v>
      </c>
    </row>
    <row r="5011" spans="2:7">
      <c r="B5011" s="46"/>
      <c r="C5011" t="str">
        <f t="shared" si="707"/>
        <v/>
      </c>
      <c r="D5011" s="63" t="str">
        <f t="shared" si="708"/>
        <v/>
      </c>
      <c r="E5011">
        <f t="shared" si="709"/>
        <v>14.5833333333333</v>
      </c>
      <c r="F5011" t="str">
        <f t="shared" si="710"/>
        <v/>
      </c>
      <c r="G5011" t="str">
        <f t="shared" si="711"/>
        <v/>
      </c>
    </row>
    <row r="5012" spans="2:7">
      <c r="B5012" s="46"/>
      <c r="C5012" t="str">
        <f t="shared" si="707"/>
        <v/>
      </c>
      <c r="D5012" s="63" t="str">
        <f t="shared" si="708"/>
        <v/>
      </c>
      <c r="E5012" t="str">
        <f t="shared" si="709"/>
        <v/>
      </c>
      <c r="F5012">
        <f t="shared" si="710"/>
        <v>6.42857142857143</v>
      </c>
      <c r="G5012" t="str">
        <f t="shared" si="711"/>
        <v/>
      </c>
    </row>
    <row r="5013" spans="2:7">
      <c r="B5013" s="46"/>
      <c r="C5013" t="str">
        <f t="shared" si="707"/>
        <v/>
      </c>
      <c r="D5013" s="63" t="str">
        <f t="shared" si="708"/>
        <v/>
      </c>
      <c r="E5013" t="str">
        <f t="shared" si="709"/>
        <v/>
      </c>
      <c r="F5013" t="str">
        <f t="shared" si="710"/>
        <v/>
      </c>
      <c r="G5013">
        <f t="shared" si="711"/>
        <v>3.84591194968553</v>
      </c>
    </row>
    <row r="5014" spans="2:7">
      <c r="B5014" s="46"/>
      <c r="C5014">
        <f t="shared" si="707"/>
        <v>0.844907407407407</v>
      </c>
      <c r="D5014" s="63" t="str">
        <f t="shared" si="708"/>
        <v/>
      </c>
      <c r="E5014" t="str">
        <f t="shared" si="709"/>
        <v/>
      </c>
      <c r="F5014" t="str">
        <f t="shared" si="710"/>
        <v/>
      </c>
      <c r="G5014" t="str">
        <f t="shared" si="711"/>
        <v/>
      </c>
    </row>
    <row r="5015" spans="2:7">
      <c r="B5015" s="46"/>
      <c r="C5015">
        <f t="shared" si="707"/>
        <v>6.79803240740741</v>
      </c>
      <c r="D5015" s="63" t="str">
        <f t="shared" si="708"/>
        <v/>
      </c>
      <c r="E5015" t="str">
        <f t="shared" si="709"/>
        <v/>
      </c>
      <c r="F5015" t="str">
        <f t="shared" si="710"/>
        <v/>
      </c>
      <c r="G5015" t="str">
        <f t="shared" si="711"/>
        <v/>
      </c>
    </row>
    <row r="5016" spans="2:7">
      <c r="B5016" s="46"/>
      <c r="C5016">
        <f t="shared" si="707"/>
        <v>6.79803240740741</v>
      </c>
      <c r="D5016" s="63" t="str">
        <f t="shared" si="708"/>
        <v/>
      </c>
      <c r="E5016" t="str">
        <f t="shared" si="709"/>
        <v/>
      </c>
      <c r="F5016" t="str">
        <f t="shared" si="710"/>
        <v/>
      </c>
      <c r="G5016" t="str">
        <f t="shared" si="711"/>
        <v/>
      </c>
    </row>
    <row r="5017" spans="2:7">
      <c r="B5017" s="46"/>
      <c r="C5017">
        <f t="shared" si="707"/>
        <v>7.52719907407408</v>
      </c>
      <c r="D5017" s="63" t="str">
        <f t="shared" si="708"/>
        <v/>
      </c>
      <c r="E5017" t="str">
        <f t="shared" si="709"/>
        <v/>
      </c>
      <c r="F5017" t="str">
        <f t="shared" si="710"/>
        <v/>
      </c>
      <c r="G5017" t="str">
        <f t="shared" si="711"/>
        <v/>
      </c>
    </row>
    <row r="5018" spans="2:7">
      <c r="B5018" s="46"/>
      <c r="C5018" t="str">
        <f t="shared" si="707"/>
        <v/>
      </c>
      <c r="D5018" s="63">
        <f t="shared" si="708"/>
        <v>2.7881455399061</v>
      </c>
      <c r="E5018" t="str">
        <f t="shared" si="709"/>
        <v/>
      </c>
      <c r="F5018" t="str">
        <f t="shared" si="710"/>
        <v/>
      </c>
      <c r="G5018" t="str">
        <f t="shared" si="711"/>
        <v/>
      </c>
    </row>
    <row r="5019" spans="2:7">
      <c r="B5019" s="46"/>
      <c r="C5019" t="str">
        <f t="shared" si="707"/>
        <v/>
      </c>
      <c r="D5019" s="63">
        <f t="shared" si="708"/>
        <v>4.47535211267606</v>
      </c>
      <c r="E5019" t="str">
        <f t="shared" si="709"/>
        <v/>
      </c>
      <c r="F5019" t="str">
        <f t="shared" si="710"/>
        <v/>
      </c>
      <c r="G5019" t="str">
        <f t="shared" si="711"/>
        <v/>
      </c>
    </row>
    <row r="5020" spans="2:7">
      <c r="B5020" s="46"/>
      <c r="C5020" t="str">
        <f t="shared" si="707"/>
        <v/>
      </c>
      <c r="D5020" s="63">
        <f t="shared" si="708"/>
        <v>6.10680751173709</v>
      </c>
      <c r="E5020" t="str">
        <f t="shared" si="709"/>
        <v/>
      </c>
      <c r="F5020" t="str">
        <f t="shared" si="710"/>
        <v/>
      </c>
      <c r="G5020" t="str">
        <f t="shared" si="711"/>
        <v/>
      </c>
    </row>
    <row r="5021" spans="2:7">
      <c r="B5021" s="46"/>
      <c r="C5021" t="str">
        <f t="shared" si="707"/>
        <v/>
      </c>
      <c r="D5021" s="63">
        <f t="shared" si="708"/>
        <v>8.50821596244131</v>
      </c>
      <c r="E5021" t="str">
        <f t="shared" si="709"/>
        <v/>
      </c>
      <c r="F5021" t="str">
        <f t="shared" si="710"/>
        <v/>
      </c>
      <c r="G5021" t="str">
        <f t="shared" si="711"/>
        <v/>
      </c>
    </row>
    <row r="5022" spans="2:7">
      <c r="B5022" s="46"/>
      <c r="C5022" t="str">
        <f t="shared" si="707"/>
        <v/>
      </c>
      <c r="D5022" s="63">
        <f t="shared" si="708"/>
        <v>10.268779342723</v>
      </c>
      <c r="E5022" t="str">
        <f t="shared" si="709"/>
        <v/>
      </c>
      <c r="F5022" t="str">
        <f t="shared" si="710"/>
        <v/>
      </c>
      <c r="G5022" t="str">
        <f t="shared" si="711"/>
        <v/>
      </c>
    </row>
    <row r="5023" spans="2:7">
      <c r="B5023" s="46"/>
      <c r="C5023" t="str">
        <f t="shared" si="707"/>
        <v/>
      </c>
      <c r="D5023" s="63" t="str">
        <f t="shared" si="708"/>
        <v/>
      </c>
      <c r="E5023" t="str">
        <f t="shared" si="709"/>
        <v/>
      </c>
      <c r="F5023" t="str">
        <f t="shared" si="710"/>
        <v/>
      </c>
      <c r="G5023">
        <f t="shared" si="711"/>
        <v>7.67610062893082</v>
      </c>
    </row>
    <row r="5024" spans="2:7">
      <c r="B5024" s="46"/>
      <c r="C5024" t="str">
        <f t="shared" si="707"/>
        <v/>
      </c>
      <c r="D5024" s="63" t="str">
        <f t="shared" si="708"/>
        <v/>
      </c>
      <c r="E5024" t="str">
        <f t="shared" si="709"/>
        <v/>
      </c>
      <c r="F5024" t="str">
        <f t="shared" si="710"/>
        <v/>
      </c>
      <c r="G5024">
        <f t="shared" si="711"/>
        <v>10.3836477987421</v>
      </c>
    </row>
    <row r="5025" spans="2:7">
      <c r="B5025" s="46"/>
      <c r="C5025" t="str">
        <f t="shared" si="707"/>
        <v/>
      </c>
      <c r="D5025" s="63" t="str">
        <f t="shared" si="708"/>
        <v/>
      </c>
      <c r="E5025" t="str">
        <f t="shared" si="709"/>
        <v/>
      </c>
      <c r="F5025" t="str">
        <f t="shared" si="710"/>
        <v/>
      </c>
      <c r="G5025">
        <f t="shared" si="711"/>
        <v>13.2138364779874</v>
      </c>
    </row>
    <row r="5026" spans="2:7">
      <c r="B5026" s="46"/>
      <c r="C5026" t="str">
        <f t="shared" si="707"/>
        <v/>
      </c>
      <c r="D5026" s="63" t="str">
        <f t="shared" si="708"/>
        <v/>
      </c>
      <c r="E5026" t="str">
        <f t="shared" si="709"/>
        <v/>
      </c>
      <c r="F5026" t="str">
        <f t="shared" si="710"/>
        <v/>
      </c>
      <c r="G5026">
        <f t="shared" si="711"/>
        <v>14.7243186582809</v>
      </c>
    </row>
    <row r="5027" spans="2:7">
      <c r="B5027" s="46"/>
      <c r="C5027" t="str">
        <f t="shared" si="707"/>
        <v/>
      </c>
      <c r="D5027" s="63" t="str">
        <f t="shared" si="708"/>
        <v/>
      </c>
      <c r="E5027" t="str">
        <f t="shared" si="709"/>
        <v/>
      </c>
      <c r="F5027">
        <f t="shared" si="710"/>
        <v>9.17630385487529</v>
      </c>
      <c r="G5027" t="str">
        <f t="shared" si="711"/>
        <v/>
      </c>
    </row>
    <row r="5028" spans="2:7">
      <c r="B5028" s="46"/>
      <c r="C5028" t="str">
        <f t="shared" si="707"/>
        <v/>
      </c>
      <c r="D5028" s="63" t="str">
        <f t="shared" si="708"/>
        <v/>
      </c>
      <c r="E5028" t="str">
        <f t="shared" si="709"/>
        <v/>
      </c>
      <c r="F5028">
        <f t="shared" si="710"/>
        <v>12.328231292517</v>
      </c>
      <c r="G5028" t="str">
        <f t="shared" si="711"/>
        <v/>
      </c>
    </row>
    <row r="5029" spans="2:7">
      <c r="B5029" s="46"/>
      <c r="C5029" t="str">
        <f t="shared" si="707"/>
        <v/>
      </c>
      <c r="D5029" s="63" t="str">
        <f t="shared" si="708"/>
        <v/>
      </c>
      <c r="E5029" t="str">
        <f t="shared" si="709"/>
        <v/>
      </c>
      <c r="F5029">
        <f t="shared" si="710"/>
        <v>15.0017006802721</v>
      </c>
      <c r="G5029" t="str">
        <f t="shared" si="711"/>
        <v/>
      </c>
    </row>
    <row r="5030" spans="2:7">
      <c r="B5030" s="46"/>
      <c r="C5030">
        <f t="shared" si="707"/>
        <v>10.328125</v>
      </c>
      <c r="D5030" s="63" t="str">
        <f t="shared" si="708"/>
        <v/>
      </c>
      <c r="E5030" t="str">
        <f t="shared" si="709"/>
        <v/>
      </c>
      <c r="F5030" t="str">
        <f t="shared" si="710"/>
        <v/>
      </c>
      <c r="G5030" t="str">
        <f t="shared" si="711"/>
        <v/>
      </c>
    </row>
    <row r="5031" spans="2:7">
      <c r="B5031" s="46"/>
      <c r="C5031">
        <f t="shared" si="707"/>
        <v>14.5908564814815</v>
      </c>
      <c r="D5031" s="63" t="str">
        <f t="shared" si="708"/>
        <v/>
      </c>
      <c r="E5031" t="str">
        <f t="shared" si="709"/>
        <v/>
      </c>
      <c r="F5031" t="str">
        <f t="shared" si="710"/>
        <v/>
      </c>
      <c r="G5031" t="str">
        <f t="shared" si="711"/>
        <v/>
      </c>
    </row>
    <row r="5032" spans="2:7">
      <c r="B5032" s="46"/>
      <c r="C5032">
        <f t="shared" si="707"/>
        <v>14.9409722222222</v>
      </c>
      <c r="D5032" s="63" t="str">
        <f t="shared" si="708"/>
        <v/>
      </c>
      <c r="E5032" t="str">
        <f t="shared" si="709"/>
        <v/>
      </c>
      <c r="F5032" t="str">
        <f t="shared" si="710"/>
        <v/>
      </c>
      <c r="G5032" t="str">
        <f t="shared" si="711"/>
        <v/>
      </c>
    </row>
    <row r="5033" spans="2:7">
      <c r="B5033" s="46"/>
      <c r="C5033">
        <f t="shared" si="707"/>
        <v>19.2465277777778</v>
      </c>
      <c r="D5033" s="63" t="str">
        <f t="shared" si="708"/>
        <v/>
      </c>
      <c r="E5033" t="str">
        <f t="shared" si="709"/>
        <v/>
      </c>
      <c r="F5033" t="str">
        <f t="shared" si="710"/>
        <v/>
      </c>
      <c r="G5033" t="str">
        <f t="shared" si="711"/>
        <v/>
      </c>
    </row>
    <row r="5034" spans="2:7">
      <c r="B5034" s="46"/>
      <c r="C5034" t="str">
        <f t="shared" si="707"/>
        <v/>
      </c>
      <c r="D5034" s="63">
        <f t="shared" si="708"/>
        <v>15.0340375586854</v>
      </c>
      <c r="E5034" t="str">
        <f t="shared" si="709"/>
        <v/>
      </c>
      <c r="F5034" t="str">
        <f t="shared" si="710"/>
        <v/>
      </c>
      <c r="G5034" t="str">
        <f t="shared" si="711"/>
        <v/>
      </c>
    </row>
    <row r="5035" spans="2:7">
      <c r="B5035" s="46"/>
      <c r="C5035" t="str">
        <f t="shared" si="707"/>
        <v/>
      </c>
      <c r="D5035" s="63">
        <f t="shared" si="708"/>
        <v>15.0340375586854</v>
      </c>
      <c r="E5035" t="str">
        <f t="shared" si="709"/>
        <v/>
      </c>
      <c r="F5035" t="str">
        <f t="shared" si="710"/>
        <v/>
      </c>
      <c r="G5035" t="str">
        <f t="shared" si="711"/>
        <v/>
      </c>
    </row>
    <row r="5036" spans="2:7">
      <c r="B5036" s="46"/>
      <c r="C5036" t="str">
        <f t="shared" si="707"/>
        <v/>
      </c>
      <c r="D5036" s="63">
        <f t="shared" si="708"/>
        <v>16.1343896713615</v>
      </c>
      <c r="E5036" t="str">
        <f t="shared" si="709"/>
        <v/>
      </c>
      <c r="F5036" t="str">
        <f t="shared" si="710"/>
        <v/>
      </c>
      <c r="G5036" t="str">
        <f t="shared" si="711"/>
        <v/>
      </c>
    </row>
    <row r="5037" spans="2:7">
      <c r="B5037" s="46"/>
      <c r="C5037" t="str">
        <f t="shared" si="707"/>
        <v/>
      </c>
      <c r="D5037" s="63">
        <f t="shared" si="708"/>
        <v>16.8620892018779</v>
      </c>
      <c r="E5037" t="str">
        <f t="shared" si="709"/>
        <v/>
      </c>
      <c r="F5037" t="str">
        <f t="shared" si="710"/>
        <v/>
      </c>
      <c r="G5037" t="str">
        <f t="shared" si="711"/>
        <v/>
      </c>
    </row>
    <row r="5038" spans="2:7">
      <c r="B5038" s="46"/>
      <c r="C5038" t="str">
        <f t="shared" si="707"/>
        <v/>
      </c>
      <c r="D5038" s="63" t="str">
        <f t="shared" si="708"/>
        <v/>
      </c>
      <c r="E5038">
        <f t="shared" si="709"/>
        <v>16.1245098039216</v>
      </c>
      <c r="F5038" t="str">
        <f t="shared" si="710"/>
        <v/>
      </c>
      <c r="G5038" t="str">
        <f t="shared" si="711"/>
        <v/>
      </c>
    </row>
    <row r="5039" spans="2:7">
      <c r="B5039" s="46"/>
      <c r="C5039" t="str">
        <f t="shared" si="707"/>
        <v/>
      </c>
      <c r="D5039" s="63" t="str">
        <f t="shared" si="708"/>
        <v/>
      </c>
      <c r="E5039">
        <f t="shared" si="709"/>
        <v>17.9225490196078</v>
      </c>
      <c r="F5039" t="str">
        <f t="shared" si="710"/>
        <v/>
      </c>
      <c r="G5039" t="str">
        <f t="shared" si="711"/>
        <v/>
      </c>
    </row>
    <row r="5040" spans="2:7">
      <c r="B5040" s="46"/>
      <c r="C5040" t="str">
        <f t="shared" si="707"/>
        <v/>
      </c>
      <c r="D5040" s="63" t="str">
        <f t="shared" si="708"/>
        <v/>
      </c>
      <c r="E5040">
        <f t="shared" si="709"/>
        <v>18.7166666666667</v>
      </c>
      <c r="F5040" t="str">
        <f t="shared" si="710"/>
        <v/>
      </c>
      <c r="G5040" t="str">
        <f t="shared" si="711"/>
        <v/>
      </c>
    </row>
    <row r="5041" spans="2:7">
      <c r="B5041" s="46"/>
      <c r="C5041" t="str">
        <f t="shared" si="707"/>
        <v/>
      </c>
      <c r="D5041" s="63" t="str">
        <f t="shared" si="708"/>
        <v/>
      </c>
      <c r="E5041">
        <f t="shared" si="709"/>
        <v>18.9539215686275</v>
      </c>
      <c r="F5041" t="str">
        <f t="shared" si="710"/>
        <v/>
      </c>
      <c r="G5041" t="str">
        <f t="shared" si="711"/>
        <v/>
      </c>
    </row>
    <row r="5042" spans="2:7">
      <c r="B5042" s="46"/>
      <c r="C5042" t="str">
        <f t="shared" si="707"/>
        <v/>
      </c>
      <c r="D5042" s="63" t="str">
        <f t="shared" si="708"/>
        <v/>
      </c>
      <c r="E5042" t="str">
        <f t="shared" si="709"/>
        <v/>
      </c>
      <c r="F5042" t="str">
        <f t="shared" si="710"/>
        <v/>
      </c>
      <c r="G5042">
        <f t="shared" si="711"/>
        <v>15.4449685534591</v>
      </c>
    </row>
    <row r="5043" spans="2:7">
      <c r="B5043" s="46"/>
      <c r="C5043" t="str">
        <f t="shared" si="707"/>
        <v/>
      </c>
      <c r="D5043" s="63" t="str">
        <f t="shared" si="708"/>
        <v/>
      </c>
      <c r="E5043" t="str">
        <f t="shared" si="709"/>
        <v/>
      </c>
      <c r="F5043" t="str">
        <f t="shared" si="710"/>
        <v/>
      </c>
      <c r="G5043">
        <f t="shared" si="711"/>
        <v>16.4669811320755</v>
      </c>
    </row>
    <row r="5044" spans="2:7">
      <c r="B5044" s="46"/>
      <c r="C5044" t="str">
        <f t="shared" si="707"/>
        <v/>
      </c>
      <c r="D5044" s="63" t="str">
        <f t="shared" si="708"/>
        <v/>
      </c>
      <c r="E5044" t="str">
        <f t="shared" si="709"/>
        <v/>
      </c>
      <c r="F5044" t="str">
        <f t="shared" si="710"/>
        <v/>
      </c>
      <c r="G5044">
        <f t="shared" si="711"/>
        <v>17.7877358490566</v>
      </c>
    </row>
    <row r="5045" spans="2:7">
      <c r="B5045" s="46"/>
      <c r="C5045" t="str">
        <f t="shared" si="707"/>
        <v/>
      </c>
      <c r="D5045" s="63" t="str">
        <f t="shared" si="708"/>
        <v/>
      </c>
      <c r="E5045" t="str">
        <f t="shared" si="709"/>
        <v/>
      </c>
      <c r="F5045" t="str">
        <f t="shared" si="710"/>
        <v/>
      </c>
      <c r="G5045">
        <f t="shared" si="711"/>
        <v>18.377358490566</v>
      </c>
    </row>
    <row r="5046" spans="2:7">
      <c r="B5046" s="46"/>
      <c r="C5046" t="str">
        <f t="shared" si="707"/>
        <v/>
      </c>
      <c r="D5046" s="63" t="str">
        <f t="shared" si="708"/>
        <v/>
      </c>
      <c r="E5046" t="str">
        <f t="shared" si="709"/>
        <v/>
      </c>
      <c r="F5046">
        <f t="shared" si="710"/>
        <v>15.4234693877551</v>
      </c>
      <c r="G5046" t="str">
        <f t="shared" si="711"/>
        <v/>
      </c>
    </row>
    <row r="5047" spans="2:7">
      <c r="B5047" s="46"/>
      <c r="C5047" t="str">
        <f t="shared" si="707"/>
        <v/>
      </c>
      <c r="D5047" s="63" t="str">
        <f t="shared" si="708"/>
        <v/>
      </c>
      <c r="E5047" t="str">
        <f t="shared" si="709"/>
        <v/>
      </c>
      <c r="F5047">
        <f t="shared" si="710"/>
        <v>16.7698412698413</v>
      </c>
      <c r="G5047" t="str">
        <f t="shared" si="711"/>
        <v/>
      </c>
    </row>
    <row r="5048" spans="2:7">
      <c r="B5048" s="46"/>
      <c r="C5048" t="str">
        <f t="shared" si="707"/>
        <v/>
      </c>
      <c r="D5048" s="63" t="str">
        <f t="shared" si="708"/>
        <v/>
      </c>
      <c r="E5048" t="str">
        <f t="shared" si="709"/>
        <v/>
      </c>
      <c r="F5048">
        <f t="shared" si="710"/>
        <v>18.109410430839</v>
      </c>
      <c r="G5048" t="str">
        <f t="shared" si="711"/>
        <v/>
      </c>
    </row>
    <row r="5049" spans="2:7">
      <c r="B5049" s="46"/>
      <c r="C5049" t="str">
        <f t="shared" si="707"/>
        <v/>
      </c>
      <c r="D5049" s="63" t="str">
        <f t="shared" si="708"/>
        <v/>
      </c>
      <c r="E5049" t="str">
        <f t="shared" si="709"/>
        <v/>
      </c>
      <c r="F5049">
        <f t="shared" si="710"/>
        <v>20.1581632653061</v>
      </c>
      <c r="G5049" t="str">
        <f t="shared" si="711"/>
        <v/>
      </c>
    </row>
    <row r="5050" spans="2:7">
      <c r="B5050" s="46"/>
      <c r="C5050" t="str">
        <f t="shared" si="707"/>
        <v/>
      </c>
      <c r="D5050" s="63" t="str">
        <f t="shared" si="708"/>
        <v/>
      </c>
      <c r="E5050" t="str">
        <f t="shared" si="709"/>
        <v/>
      </c>
      <c r="F5050">
        <f t="shared" si="710"/>
        <v>22.1581632653061</v>
      </c>
      <c r="G5050" t="str">
        <f t="shared" si="711"/>
        <v/>
      </c>
    </row>
    <row r="5051" spans="2:7">
      <c r="B5051" s="46"/>
      <c r="C5051" t="str">
        <f t="shared" si="707"/>
        <v/>
      </c>
      <c r="D5051" s="63" t="str">
        <f t="shared" si="708"/>
        <v/>
      </c>
      <c r="E5051" t="str">
        <f t="shared" si="709"/>
        <v/>
      </c>
      <c r="F5051">
        <f t="shared" si="710"/>
        <v>22.8781179138322</v>
      </c>
      <c r="G5051" t="str">
        <f t="shared" si="711"/>
        <v/>
      </c>
    </row>
    <row r="5052" spans="2:7">
      <c r="B5052" s="46"/>
      <c r="C5052" t="str">
        <f t="shared" si="707"/>
        <v/>
      </c>
      <c r="D5052" s="63">
        <f t="shared" si="708"/>
        <v>17.3022300469484</v>
      </c>
      <c r="E5052" t="str">
        <f t="shared" si="709"/>
        <v/>
      </c>
      <c r="F5052" t="str">
        <f t="shared" si="710"/>
        <v/>
      </c>
      <c r="G5052" t="str">
        <f t="shared" si="711"/>
        <v/>
      </c>
    </row>
    <row r="5053" spans="2:7">
      <c r="B5053" s="46"/>
      <c r="C5053" t="str">
        <f t="shared" si="707"/>
        <v/>
      </c>
      <c r="D5053" s="63">
        <f t="shared" si="708"/>
        <v>22.837441314554</v>
      </c>
      <c r="E5053" t="str">
        <f t="shared" si="709"/>
        <v/>
      </c>
      <c r="F5053" t="str">
        <f t="shared" si="710"/>
        <v/>
      </c>
      <c r="G5053" t="str">
        <f t="shared" si="711"/>
        <v/>
      </c>
    </row>
    <row r="5054" spans="2:7">
      <c r="B5054" s="46"/>
      <c r="C5054" t="str">
        <f t="shared" si="707"/>
        <v/>
      </c>
      <c r="D5054" s="63">
        <f t="shared" si="708"/>
        <v>23.7089201877934</v>
      </c>
      <c r="E5054" t="str">
        <f t="shared" si="709"/>
        <v/>
      </c>
      <c r="F5054" t="str">
        <f t="shared" si="710"/>
        <v/>
      </c>
      <c r="G5054" t="str">
        <f t="shared" si="711"/>
        <v/>
      </c>
    </row>
    <row r="5055" spans="2:7">
      <c r="B5055" s="46"/>
      <c r="C5055" t="str">
        <f t="shared" si="707"/>
        <v/>
      </c>
      <c r="D5055" s="63">
        <f t="shared" si="708"/>
        <v>24.3427230046948</v>
      </c>
      <c r="E5055" t="str">
        <f t="shared" si="709"/>
        <v/>
      </c>
      <c r="F5055" t="str">
        <f t="shared" si="710"/>
        <v/>
      </c>
      <c r="G5055" t="str">
        <f t="shared" si="711"/>
        <v/>
      </c>
    </row>
    <row r="5056" spans="2:7">
      <c r="B5056" s="46"/>
      <c r="C5056" t="str">
        <f t="shared" si="707"/>
        <v/>
      </c>
      <c r="D5056" s="63">
        <f t="shared" si="708"/>
        <v>27.5704225352113</v>
      </c>
      <c r="E5056" t="str">
        <f t="shared" si="709"/>
        <v/>
      </c>
      <c r="F5056" t="str">
        <f t="shared" si="710"/>
        <v/>
      </c>
      <c r="G5056" t="str">
        <f t="shared" si="711"/>
        <v/>
      </c>
    </row>
    <row r="5057" spans="2:7">
      <c r="B5057" s="46"/>
      <c r="C5057" t="str">
        <f t="shared" si="707"/>
        <v/>
      </c>
      <c r="D5057" s="63" t="str">
        <f t="shared" si="708"/>
        <v/>
      </c>
      <c r="E5057" t="str">
        <f t="shared" si="709"/>
        <v/>
      </c>
      <c r="F5057" t="str">
        <f t="shared" si="710"/>
        <v/>
      </c>
      <c r="G5057">
        <f t="shared" si="711"/>
        <v>19.1949685534591</v>
      </c>
    </row>
    <row r="5058" spans="2:7">
      <c r="B5058" s="46"/>
      <c r="C5058" t="str">
        <f t="shared" si="707"/>
        <v/>
      </c>
      <c r="D5058" s="63" t="str">
        <f t="shared" si="708"/>
        <v/>
      </c>
      <c r="E5058" t="str">
        <f t="shared" si="709"/>
        <v/>
      </c>
      <c r="F5058" t="str">
        <f t="shared" si="710"/>
        <v/>
      </c>
      <c r="G5058">
        <f t="shared" si="711"/>
        <v>21.9606918238994</v>
      </c>
    </row>
    <row r="5059" spans="2:7">
      <c r="B5059" s="46"/>
      <c r="C5059" t="str">
        <f t="shared" si="707"/>
        <v/>
      </c>
      <c r="D5059" s="63" t="str">
        <f t="shared" si="708"/>
        <v/>
      </c>
      <c r="E5059" t="str">
        <f t="shared" si="709"/>
        <v/>
      </c>
      <c r="F5059" t="str">
        <f t="shared" si="710"/>
        <v/>
      </c>
      <c r="G5059">
        <f t="shared" si="711"/>
        <v>21.9606918238994</v>
      </c>
    </row>
    <row r="5060" spans="2:7">
      <c r="B5060" s="46"/>
      <c r="C5060" t="str">
        <f t="shared" si="707"/>
        <v/>
      </c>
      <c r="D5060" s="63" t="str">
        <f t="shared" si="708"/>
        <v/>
      </c>
      <c r="E5060" t="str">
        <f t="shared" si="709"/>
        <v/>
      </c>
      <c r="F5060" t="str">
        <f t="shared" si="710"/>
        <v/>
      </c>
      <c r="G5060">
        <f t="shared" si="711"/>
        <v>25.2222222222222</v>
      </c>
    </row>
    <row r="5061" spans="2:7">
      <c r="B5061" s="46"/>
      <c r="C5061" t="str">
        <f t="shared" si="707"/>
        <v/>
      </c>
      <c r="D5061" s="63" t="str">
        <f t="shared" si="708"/>
        <v/>
      </c>
      <c r="E5061">
        <f t="shared" si="709"/>
        <v>22.268137254902</v>
      </c>
      <c r="F5061" t="str">
        <f t="shared" si="710"/>
        <v/>
      </c>
      <c r="G5061" t="str">
        <f t="shared" si="711"/>
        <v/>
      </c>
    </row>
    <row r="5062" spans="2:7">
      <c r="B5062" s="46"/>
      <c r="C5062" t="str">
        <f t="shared" si="707"/>
        <v/>
      </c>
      <c r="D5062" s="63" t="str">
        <f t="shared" si="708"/>
        <v/>
      </c>
      <c r="E5062">
        <f t="shared" si="709"/>
        <v>22.268137254902</v>
      </c>
      <c r="F5062" t="str">
        <f t="shared" si="710"/>
        <v/>
      </c>
      <c r="G5062" t="str">
        <f t="shared" si="711"/>
        <v/>
      </c>
    </row>
    <row r="5063" spans="2:7">
      <c r="B5063" s="46"/>
      <c r="C5063" t="str">
        <f t="shared" si="707"/>
        <v/>
      </c>
      <c r="D5063" s="63" t="str">
        <f t="shared" si="708"/>
        <v/>
      </c>
      <c r="E5063">
        <f t="shared" si="709"/>
        <v>24.6995098039216</v>
      </c>
      <c r="F5063" t="str">
        <f t="shared" si="710"/>
        <v/>
      </c>
      <c r="G5063" t="str">
        <f t="shared" si="711"/>
        <v/>
      </c>
    </row>
    <row r="5064" spans="2:7">
      <c r="B5064" s="46"/>
      <c r="C5064" t="str">
        <f t="shared" si="707"/>
        <v/>
      </c>
      <c r="D5064" s="63" t="str">
        <f t="shared" si="708"/>
        <v/>
      </c>
      <c r="E5064">
        <f t="shared" si="709"/>
        <v>25.3416666666667</v>
      </c>
      <c r="F5064" t="str">
        <f t="shared" si="710"/>
        <v/>
      </c>
      <c r="G5064" t="str">
        <f t="shared" si="711"/>
        <v/>
      </c>
    </row>
    <row r="5065" spans="2:7">
      <c r="B5065" s="46"/>
      <c r="C5065">
        <f t="shared" si="707"/>
        <v>19.5358796296296</v>
      </c>
      <c r="D5065" s="63" t="str">
        <f t="shared" si="708"/>
        <v/>
      </c>
      <c r="E5065" t="str">
        <f t="shared" si="709"/>
        <v/>
      </c>
      <c r="F5065" t="str">
        <f t="shared" si="710"/>
        <v/>
      </c>
      <c r="G5065" t="str">
        <f t="shared" si="711"/>
        <v/>
      </c>
    </row>
    <row r="5066" spans="2:7">
      <c r="B5066" s="46"/>
      <c r="C5066">
        <f t="shared" si="707"/>
        <v>20.1608796296296</v>
      </c>
      <c r="D5066" s="63" t="str">
        <f t="shared" si="708"/>
        <v/>
      </c>
      <c r="E5066" t="str">
        <f t="shared" si="709"/>
        <v/>
      </c>
      <c r="F5066" t="str">
        <f t="shared" si="710"/>
        <v/>
      </c>
      <c r="G5066" t="str">
        <f t="shared" si="711"/>
        <v/>
      </c>
    </row>
    <row r="5067" spans="2:7">
      <c r="B5067" s="46"/>
      <c r="C5067">
        <f t="shared" si="707"/>
        <v>21.7233796296296</v>
      </c>
      <c r="D5067" s="63" t="str">
        <f t="shared" si="708"/>
        <v/>
      </c>
      <c r="E5067" t="str">
        <f t="shared" si="709"/>
        <v/>
      </c>
      <c r="F5067" t="str">
        <f t="shared" si="710"/>
        <v/>
      </c>
      <c r="G5067" t="str">
        <f t="shared" si="711"/>
        <v/>
      </c>
    </row>
    <row r="5068" spans="2:7">
      <c r="B5068" s="46"/>
      <c r="C5068">
        <f t="shared" si="707"/>
        <v>22.7054398148148</v>
      </c>
      <c r="D5068" s="63" t="str">
        <f t="shared" si="708"/>
        <v/>
      </c>
      <c r="E5068" t="str">
        <f t="shared" si="709"/>
        <v/>
      </c>
      <c r="F5068" t="str">
        <f t="shared" si="710"/>
        <v/>
      </c>
      <c r="G5068" t="str">
        <f t="shared" si="711"/>
        <v/>
      </c>
    </row>
    <row r="5069" spans="2:7">
      <c r="B5069" s="46"/>
      <c r="C5069">
        <f t="shared" si="707"/>
        <v>22.7054398148148</v>
      </c>
      <c r="D5069" s="63" t="str">
        <f t="shared" si="708"/>
        <v/>
      </c>
      <c r="E5069" t="str">
        <f t="shared" si="709"/>
        <v/>
      </c>
      <c r="F5069" t="str">
        <f t="shared" si="710"/>
        <v/>
      </c>
      <c r="G5069" t="str">
        <f t="shared" si="711"/>
        <v/>
      </c>
    </row>
    <row r="5070" spans="2:7">
      <c r="B5070" s="46"/>
      <c r="C5070">
        <f t="shared" ref="C5070:C5099" si="712">IF(J72=1,S72,"")</f>
        <v>22.8512731481482</v>
      </c>
      <c r="D5070" s="63" t="str">
        <f t="shared" ref="D5070:D5099" si="713">IF(J72=2,S72,"")</f>
        <v/>
      </c>
      <c r="E5070" t="str">
        <f t="shared" ref="E5070:E5099" si="714">IF(J72=3,S72,"")</f>
        <v/>
      </c>
      <c r="F5070" t="str">
        <f t="shared" ref="F5070:F5099" si="715">IF(J72=4,S72,"")</f>
        <v/>
      </c>
      <c r="G5070" t="str">
        <f t="shared" ref="G5070:G5099" si="716">IF(J72=5,S72,"")</f>
        <v/>
      </c>
    </row>
    <row r="5071" spans="2:7">
      <c r="B5071" s="46"/>
      <c r="C5071">
        <f t="shared" si="712"/>
        <v>34.4068287037037</v>
      </c>
      <c r="D5071" s="63" t="str">
        <f t="shared" si="713"/>
        <v/>
      </c>
      <c r="E5071" t="str">
        <f t="shared" si="714"/>
        <v/>
      </c>
      <c r="F5071" t="str">
        <f t="shared" si="715"/>
        <v/>
      </c>
      <c r="G5071" t="str">
        <f t="shared" si="716"/>
        <v/>
      </c>
    </row>
    <row r="5072" spans="2:7">
      <c r="B5072" s="46"/>
      <c r="C5072">
        <f t="shared" si="712"/>
        <v>34.4068287037037</v>
      </c>
      <c r="D5072" s="63" t="str">
        <f t="shared" si="713"/>
        <v/>
      </c>
      <c r="E5072" t="str">
        <f t="shared" si="714"/>
        <v/>
      </c>
      <c r="F5072" t="str">
        <f t="shared" si="715"/>
        <v/>
      </c>
      <c r="G5072" t="str">
        <f t="shared" si="716"/>
        <v/>
      </c>
    </row>
    <row r="5073" spans="2:7">
      <c r="B5073" s="46"/>
      <c r="C5073">
        <f t="shared" si="712"/>
        <v>35.5827546296296</v>
      </c>
      <c r="D5073" s="63" t="str">
        <f t="shared" si="713"/>
        <v/>
      </c>
      <c r="E5073" t="str">
        <f t="shared" si="714"/>
        <v/>
      </c>
      <c r="F5073" t="str">
        <f t="shared" si="715"/>
        <v/>
      </c>
      <c r="G5073" t="str">
        <f t="shared" si="716"/>
        <v/>
      </c>
    </row>
    <row r="5074" spans="2:7">
      <c r="B5074" s="46"/>
      <c r="C5074">
        <f t="shared" si="712"/>
        <v>36.7893518518519</v>
      </c>
      <c r="D5074" s="63" t="str">
        <f t="shared" si="713"/>
        <v/>
      </c>
      <c r="E5074" t="str">
        <f t="shared" si="714"/>
        <v/>
      </c>
      <c r="F5074" t="str">
        <f t="shared" si="715"/>
        <v/>
      </c>
      <c r="G5074" t="str">
        <f t="shared" si="716"/>
        <v/>
      </c>
    </row>
    <row r="5075" spans="2:7">
      <c r="B5075" s="46"/>
      <c r="C5075" t="str">
        <f t="shared" si="712"/>
        <v/>
      </c>
      <c r="D5075" s="63" t="str">
        <f t="shared" si="713"/>
        <v/>
      </c>
      <c r="E5075" t="str">
        <f t="shared" si="714"/>
        <v/>
      </c>
      <c r="F5075">
        <f t="shared" si="715"/>
        <v>23.4404761904762</v>
      </c>
      <c r="G5075" t="str">
        <f t="shared" si="716"/>
        <v/>
      </c>
    </row>
    <row r="5076" spans="2:7">
      <c r="B5076" s="46"/>
      <c r="C5076" t="str">
        <f t="shared" si="712"/>
        <v/>
      </c>
      <c r="D5076" s="63" t="str">
        <f t="shared" si="713"/>
        <v/>
      </c>
      <c r="E5076" t="str">
        <f t="shared" si="714"/>
        <v/>
      </c>
      <c r="F5076">
        <f t="shared" si="715"/>
        <v>24.3616780045352</v>
      </c>
      <c r="G5076" t="str">
        <f t="shared" si="716"/>
        <v/>
      </c>
    </row>
    <row r="5077" spans="2:7">
      <c r="B5077" s="46"/>
      <c r="C5077" t="str">
        <f t="shared" si="712"/>
        <v/>
      </c>
      <c r="D5077" s="63" t="str">
        <f t="shared" si="713"/>
        <v/>
      </c>
      <c r="E5077" t="str">
        <f t="shared" si="714"/>
        <v/>
      </c>
      <c r="F5077">
        <f t="shared" si="715"/>
        <v>25.8378684807256</v>
      </c>
      <c r="G5077" t="str">
        <f t="shared" si="716"/>
        <v/>
      </c>
    </row>
    <row r="5078" spans="2:7">
      <c r="B5078" s="46"/>
      <c r="C5078" t="str">
        <f t="shared" si="712"/>
        <v/>
      </c>
      <c r="D5078" s="63" t="str">
        <f t="shared" si="713"/>
        <v/>
      </c>
      <c r="E5078" t="str">
        <f t="shared" si="714"/>
        <v/>
      </c>
      <c r="F5078">
        <f t="shared" si="715"/>
        <v>29.4625850340136</v>
      </c>
      <c r="G5078" t="str">
        <f t="shared" si="716"/>
        <v/>
      </c>
    </row>
    <row r="5079" spans="2:7">
      <c r="B5079" s="46"/>
      <c r="C5079" t="str">
        <f t="shared" si="712"/>
        <v/>
      </c>
      <c r="D5079" s="63" t="str">
        <f t="shared" si="713"/>
        <v/>
      </c>
      <c r="E5079" t="str">
        <f t="shared" si="714"/>
        <v/>
      </c>
      <c r="F5079">
        <f t="shared" si="715"/>
        <v>30.092970521542</v>
      </c>
      <c r="G5079" t="str">
        <f t="shared" si="716"/>
        <v/>
      </c>
    </row>
    <row r="5080" spans="2:7">
      <c r="B5080" s="46"/>
      <c r="C5080" t="str">
        <f t="shared" si="712"/>
        <v/>
      </c>
      <c r="D5080" s="63" t="str">
        <f t="shared" si="713"/>
        <v/>
      </c>
      <c r="E5080" t="str">
        <f t="shared" si="714"/>
        <v/>
      </c>
      <c r="F5080">
        <f t="shared" si="715"/>
        <v>30.8809523809524</v>
      </c>
      <c r="G5080" t="str">
        <f t="shared" si="716"/>
        <v/>
      </c>
    </row>
    <row r="5081" spans="2:7">
      <c r="B5081" s="46"/>
      <c r="C5081" t="str">
        <f t="shared" si="712"/>
        <v/>
      </c>
      <c r="D5081" s="63" t="str">
        <f t="shared" si="713"/>
        <v/>
      </c>
      <c r="E5081" t="str">
        <f t="shared" si="714"/>
        <v/>
      </c>
      <c r="F5081" t="str">
        <f t="shared" si="715"/>
        <v/>
      </c>
      <c r="G5081">
        <f t="shared" si="716"/>
        <v>26.0235849056604</v>
      </c>
    </row>
    <row r="5082" spans="2:7">
      <c r="B5082" s="46"/>
      <c r="C5082" t="str">
        <f t="shared" si="712"/>
        <v/>
      </c>
      <c r="D5082" s="63" t="str">
        <f t="shared" si="713"/>
        <v/>
      </c>
      <c r="E5082" t="str">
        <f t="shared" si="714"/>
        <v/>
      </c>
      <c r="F5082" t="str">
        <f t="shared" si="715"/>
        <v/>
      </c>
      <c r="G5082">
        <f t="shared" si="716"/>
        <v>26.8977987421384</v>
      </c>
    </row>
    <row r="5083" spans="2:7">
      <c r="B5083" s="46"/>
      <c r="C5083" t="str">
        <f t="shared" si="712"/>
        <v/>
      </c>
      <c r="D5083" s="63" t="str">
        <f t="shared" si="713"/>
        <v/>
      </c>
      <c r="E5083" t="str">
        <f t="shared" si="714"/>
        <v/>
      </c>
      <c r="F5083" t="str">
        <f t="shared" si="715"/>
        <v/>
      </c>
      <c r="G5083">
        <f t="shared" si="716"/>
        <v>27.8448637316562</v>
      </c>
    </row>
    <row r="5084" spans="2:7">
      <c r="B5084" s="46"/>
      <c r="C5084" t="str">
        <f t="shared" si="712"/>
        <v/>
      </c>
      <c r="D5084" s="63" t="str">
        <f t="shared" si="713"/>
        <v/>
      </c>
      <c r="E5084" t="str">
        <f t="shared" si="714"/>
        <v/>
      </c>
      <c r="F5084" t="str">
        <f t="shared" si="715"/>
        <v/>
      </c>
      <c r="G5084">
        <f t="shared" si="716"/>
        <v>29.229035639413</v>
      </c>
    </row>
    <row r="5085" spans="2:7">
      <c r="B5085" s="46"/>
      <c r="C5085" t="str">
        <f t="shared" si="712"/>
        <v/>
      </c>
      <c r="D5085" s="63" t="str">
        <f t="shared" si="713"/>
        <v/>
      </c>
      <c r="E5085">
        <f t="shared" si="714"/>
        <v>25.5460784313725</v>
      </c>
      <c r="F5085" t="str">
        <f t="shared" si="715"/>
        <v/>
      </c>
      <c r="G5085" t="str">
        <f t="shared" si="716"/>
        <v/>
      </c>
    </row>
    <row r="5086" spans="2:7">
      <c r="B5086" s="46"/>
      <c r="C5086" t="str">
        <f t="shared" si="712"/>
        <v/>
      </c>
      <c r="D5086" s="63" t="str">
        <f t="shared" si="713"/>
        <v/>
      </c>
      <c r="E5086">
        <f t="shared" si="714"/>
        <v>28.8676470588235</v>
      </c>
      <c r="F5086" t="str">
        <f t="shared" si="715"/>
        <v/>
      </c>
      <c r="G5086" t="str">
        <f t="shared" si="716"/>
        <v/>
      </c>
    </row>
    <row r="5087" spans="2:7">
      <c r="B5087" s="46"/>
      <c r="C5087">
        <f t="shared" si="712"/>
        <v>39.1041666666667</v>
      </c>
      <c r="D5087" s="63" t="str">
        <f t="shared" si="713"/>
        <v/>
      </c>
      <c r="E5087" t="str">
        <f t="shared" si="714"/>
        <v/>
      </c>
      <c r="F5087" t="str">
        <f t="shared" si="715"/>
        <v/>
      </c>
      <c r="G5087" t="str">
        <f t="shared" si="716"/>
        <v/>
      </c>
    </row>
    <row r="5088" spans="2:7">
      <c r="B5088" s="46"/>
      <c r="C5088" t="str">
        <f t="shared" si="712"/>
        <v/>
      </c>
      <c r="D5088" s="63" t="str">
        <f t="shared" si="713"/>
        <v/>
      </c>
      <c r="E5088">
        <f t="shared" si="714"/>
        <v>30.843137254902</v>
      </c>
      <c r="F5088" t="str">
        <f t="shared" si="715"/>
        <v/>
      </c>
      <c r="G5088" t="str">
        <f t="shared" si="716"/>
        <v/>
      </c>
    </row>
    <row r="5089" spans="2:7">
      <c r="B5089" s="46"/>
      <c r="C5089" t="str">
        <f t="shared" si="712"/>
        <v/>
      </c>
      <c r="D5089" s="63" t="str">
        <f t="shared" si="713"/>
        <v/>
      </c>
      <c r="E5089">
        <f t="shared" si="714"/>
        <v>32.2524509803922</v>
      </c>
      <c r="F5089" t="str">
        <f t="shared" si="715"/>
        <v/>
      </c>
      <c r="G5089" t="str">
        <f t="shared" si="716"/>
        <v/>
      </c>
    </row>
    <row r="5090" spans="2:7">
      <c r="B5090" s="46"/>
      <c r="C5090" t="str">
        <f t="shared" si="712"/>
        <v/>
      </c>
      <c r="D5090" s="63">
        <f t="shared" si="713"/>
        <v>30.1643192488263</v>
      </c>
      <c r="E5090" t="str">
        <f t="shared" si="714"/>
        <v/>
      </c>
      <c r="F5090" t="str">
        <f t="shared" si="715"/>
        <v/>
      </c>
      <c r="G5090" t="str">
        <f t="shared" si="716"/>
        <v/>
      </c>
    </row>
    <row r="5091" spans="2:7">
      <c r="B5091" s="46"/>
      <c r="C5091" t="str">
        <f t="shared" si="712"/>
        <v/>
      </c>
      <c r="D5091" s="63">
        <f t="shared" si="713"/>
        <v>32.7840375586854</v>
      </c>
      <c r="E5091" t="str">
        <f t="shared" si="714"/>
        <v/>
      </c>
      <c r="F5091" t="str">
        <f t="shared" si="715"/>
        <v/>
      </c>
      <c r="G5091" t="str">
        <f t="shared" si="716"/>
        <v/>
      </c>
    </row>
    <row r="5092" spans="2:7">
      <c r="B5092" s="46"/>
      <c r="C5092" t="str">
        <f t="shared" si="712"/>
        <v/>
      </c>
      <c r="D5092" s="63">
        <f t="shared" si="713"/>
        <v>35.31279342723</v>
      </c>
      <c r="E5092" t="str">
        <f t="shared" si="714"/>
        <v/>
      </c>
      <c r="F5092" t="str">
        <f t="shared" si="715"/>
        <v/>
      </c>
      <c r="G5092" t="str">
        <f t="shared" si="716"/>
        <v/>
      </c>
    </row>
    <row r="5093" spans="2:7">
      <c r="B5093" s="46"/>
      <c r="C5093" t="str">
        <f t="shared" si="712"/>
        <v/>
      </c>
      <c r="D5093" s="63">
        <f t="shared" si="713"/>
        <v>37.6895539906103</v>
      </c>
      <c r="E5093" t="str">
        <f t="shared" si="714"/>
        <v/>
      </c>
      <c r="F5093" t="str">
        <f t="shared" si="715"/>
        <v/>
      </c>
      <c r="G5093" t="str">
        <f t="shared" si="716"/>
        <v/>
      </c>
    </row>
    <row r="5094" spans="2:7">
      <c r="B5094" s="46"/>
      <c r="C5094" t="str">
        <f t="shared" si="712"/>
        <v/>
      </c>
      <c r="D5094" s="63" t="str">
        <f t="shared" si="713"/>
        <v/>
      </c>
      <c r="E5094" t="str">
        <f t="shared" si="714"/>
        <v/>
      </c>
      <c r="F5094" t="str">
        <f t="shared" si="715"/>
        <v/>
      </c>
      <c r="G5094">
        <f t="shared" si="716"/>
        <v>31.5120545073375</v>
      </c>
    </row>
    <row r="5095" spans="2:7">
      <c r="B5095" s="46"/>
      <c r="C5095" t="str">
        <f t="shared" si="712"/>
        <v/>
      </c>
      <c r="D5095" s="63" t="str">
        <f t="shared" si="713"/>
        <v/>
      </c>
      <c r="E5095" t="str">
        <f t="shared" si="714"/>
        <v/>
      </c>
      <c r="F5095" t="str">
        <f t="shared" si="715"/>
        <v/>
      </c>
      <c r="G5095">
        <f t="shared" si="716"/>
        <v>33.3464360587002</v>
      </c>
    </row>
    <row r="5096" spans="2:7">
      <c r="B5096" s="46"/>
      <c r="C5096" t="str">
        <f t="shared" si="712"/>
        <v/>
      </c>
      <c r="D5096" s="63" t="str">
        <f t="shared" si="713"/>
        <v/>
      </c>
      <c r="E5096" t="str">
        <f t="shared" si="714"/>
        <v/>
      </c>
      <c r="F5096" t="str">
        <f t="shared" si="715"/>
        <v/>
      </c>
      <c r="G5096">
        <f t="shared" si="716"/>
        <v>35.6105870020964</v>
      </c>
    </row>
    <row r="5097" spans="2:7">
      <c r="B5097" s="46"/>
      <c r="C5097" t="str">
        <f t="shared" si="712"/>
        <v/>
      </c>
      <c r="D5097" s="63" t="str">
        <f t="shared" si="713"/>
        <v/>
      </c>
      <c r="E5097" t="str">
        <f t="shared" si="714"/>
        <v/>
      </c>
      <c r="F5097" t="str">
        <f t="shared" si="715"/>
        <v/>
      </c>
      <c r="G5097">
        <f t="shared" si="716"/>
        <v>38.1001048218029</v>
      </c>
    </row>
    <row r="5098" spans="2:7">
      <c r="B5098" s="46"/>
      <c r="C5098" t="str">
        <f t="shared" si="712"/>
        <v/>
      </c>
      <c r="D5098" s="63" t="str">
        <f t="shared" si="713"/>
        <v/>
      </c>
      <c r="E5098" t="str">
        <f t="shared" si="714"/>
        <v/>
      </c>
      <c r="F5098">
        <f t="shared" si="715"/>
        <v>32.8809523809524</v>
      </c>
      <c r="G5098" t="str">
        <f t="shared" si="716"/>
        <v/>
      </c>
    </row>
    <row r="5099" ht="15.75" spans="2:7">
      <c r="B5099" s="46"/>
      <c r="C5099" t="str">
        <f t="shared" si="712"/>
        <v/>
      </c>
      <c r="D5099" s="63" t="str">
        <f t="shared" si="713"/>
        <v/>
      </c>
      <c r="E5099" t="str">
        <f t="shared" si="714"/>
        <v/>
      </c>
      <c r="F5099">
        <f t="shared" si="715"/>
        <v>35.4818594104308</v>
      </c>
      <c r="G5099" t="str">
        <f t="shared" si="716"/>
        <v/>
      </c>
    </row>
    <row r="5100" spans="2:7">
      <c r="B5100" s="74" t="s">
        <v>269</v>
      </c>
      <c r="C5100" s="75">
        <f>MAX(C5006:C5099)</f>
        <v>39.1041666666667</v>
      </c>
      <c r="D5100" s="75">
        <f>MAX(D5006:D5099)</f>
        <v>37.6895539906103</v>
      </c>
      <c r="E5100" s="75">
        <f t="shared" ref="E5100:G5100" si="717">MAX(E5006:E5099)</f>
        <v>32.2524509803922</v>
      </c>
      <c r="F5100" s="75">
        <f t="shared" si="717"/>
        <v>35.4818594104308</v>
      </c>
      <c r="G5100" s="75">
        <f t="shared" si="717"/>
        <v>38.1001048218029</v>
      </c>
    </row>
    <row r="5101" spans="2:7">
      <c r="B5101" s="76" t="s">
        <v>270</v>
      </c>
      <c r="C5101" s="77">
        <v>1</v>
      </c>
      <c r="D5101" s="78">
        <v>2</v>
      </c>
      <c r="E5101">
        <v>3</v>
      </c>
      <c r="F5101">
        <v>4</v>
      </c>
      <c r="G5101">
        <v>5</v>
      </c>
    </row>
    <row r="5102" spans="2:7">
      <c r="B5102" s="79" t="s">
        <v>271</v>
      </c>
      <c r="C5102" s="72">
        <f>HLOOKUP(MIN(C5100:G5100),C5100:G5101,2,FALSE)</f>
        <v>3</v>
      </c>
      <c r="D5102" s="80"/>
    </row>
    <row r="5104" ht="15.75" spans="2:7">
      <c r="B5104" s="43" t="s">
        <v>365</v>
      </c>
      <c r="C5104" s="44"/>
      <c r="D5104" s="45"/>
    </row>
    <row r="5105" spans="2:7">
      <c r="B5105" s="46"/>
      <c r="C5105" s="61" t="s">
        <v>264</v>
      </c>
      <c r="D5105" s="61" t="s">
        <v>265</v>
      </c>
      <c r="E5105" s="62" t="s">
        <v>286</v>
      </c>
      <c r="F5105" s="62" t="s">
        <v>287</v>
      </c>
      <c r="G5105" s="62" t="s">
        <v>288</v>
      </c>
    </row>
    <row r="5106" spans="2:7">
      <c r="B5106" s="46"/>
      <c r="C5106">
        <f t="shared" ref="C5106:C5165" si="718">IF(J8=1,S8,"")</f>
        <v>0.700231481481482</v>
      </c>
      <c r="D5106" s="63" t="str">
        <f t="shared" ref="D5106:D5165" si="719">IF(J8=2,S8,"")</f>
        <v/>
      </c>
      <c r="E5106" t="str">
        <f t="shared" ref="E5106:E5165" si="720">IF(J8=3,S8,"")</f>
        <v/>
      </c>
      <c r="F5106" t="str">
        <f t="shared" ref="F5106:F5165" si="721">IF(J8=4,S8,"")</f>
        <v/>
      </c>
      <c r="G5106" t="str">
        <f t="shared" ref="G5106:G5165" si="722">IF(J8=5,S8,"")</f>
        <v/>
      </c>
    </row>
    <row r="5107" spans="2:7">
      <c r="B5107" s="46"/>
      <c r="C5107" t="str">
        <f t="shared" si="718"/>
        <v/>
      </c>
      <c r="D5107" s="63">
        <f t="shared" si="719"/>
        <v>0.734154929577465</v>
      </c>
      <c r="E5107" t="str">
        <f t="shared" si="720"/>
        <v/>
      </c>
      <c r="F5107" t="str">
        <f t="shared" si="721"/>
        <v/>
      </c>
      <c r="G5107" t="str">
        <f t="shared" si="722"/>
        <v/>
      </c>
    </row>
    <row r="5108" spans="2:7">
      <c r="B5108" s="46"/>
      <c r="C5108" t="str">
        <f t="shared" si="718"/>
        <v/>
      </c>
      <c r="D5108" s="63" t="str">
        <f t="shared" si="719"/>
        <v/>
      </c>
      <c r="E5108">
        <f t="shared" si="720"/>
        <v>1.83823529411765</v>
      </c>
      <c r="F5108" t="str">
        <f t="shared" si="721"/>
        <v/>
      </c>
      <c r="G5108" t="str">
        <f t="shared" si="722"/>
        <v/>
      </c>
    </row>
    <row r="5109" spans="2:7">
      <c r="B5109" s="46"/>
      <c r="C5109" t="str">
        <f t="shared" si="718"/>
        <v/>
      </c>
      <c r="D5109" s="63" t="str">
        <f t="shared" si="719"/>
        <v/>
      </c>
      <c r="E5109" t="str">
        <f t="shared" si="720"/>
        <v/>
      </c>
      <c r="F5109">
        <f t="shared" si="721"/>
        <v>4.28571428571429</v>
      </c>
      <c r="G5109" t="str">
        <f t="shared" si="722"/>
        <v/>
      </c>
    </row>
    <row r="5110" spans="2:7">
      <c r="B5110" s="46"/>
      <c r="C5110" t="str">
        <f t="shared" si="718"/>
        <v/>
      </c>
      <c r="D5110" s="63" t="str">
        <f t="shared" si="719"/>
        <v/>
      </c>
      <c r="E5110" t="str">
        <f t="shared" si="720"/>
        <v/>
      </c>
      <c r="F5110" t="str">
        <f t="shared" si="721"/>
        <v/>
      </c>
      <c r="G5110">
        <f t="shared" si="722"/>
        <v>3.43396226415094</v>
      </c>
    </row>
    <row r="5111" spans="2:7">
      <c r="B5111" s="46"/>
      <c r="C5111" t="str">
        <f t="shared" si="718"/>
        <v/>
      </c>
      <c r="D5111" s="63" t="str">
        <f t="shared" si="719"/>
        <v/>
      </c>
      <c r="E5111">
        <f t="shared" si="720"/>
        <v>14.5833333333333</v>
      </c>
      <c r="F5111" t="str">
        <f t="shared" si="721"/>
        <v/>
      </c>
      <c r="G5111" t="str">
        <f t="shared" si="722"/>
        <v/>
      </c>
    </row>
    <row r="5112" spans="2:7">
      <c r="B5112" s="46"/>
      <c r="C5112" t="str">
        <f t="shared" si="718"/>
        <v/>
      </c>
      <c r="D5112" s="63" t="str">
        <f t="shared" si="719"/>
        <v/>
      </c>
      <c r="E5112" t="str">
        <f t="shared" si="720"/>
        <v/>
      </c>
      <c r="F5112">
        <f t="shared" si="721"/>
        <v>6.42857142857143</v>
      </c>
      <c r="G5112" t="str">
        <f t="shared" si="722"/>
        <v/>
      </c>
    </row>
    <row r="5113" spans="2:7">
      <c r="B5113" s="46"/>
      <c r="C5113" t="str">
        <f t="shared" si="718"/>
        <v/>
      </c>
      <c r="D5113" s="63" t="str">
        <f t="shared" si="719"/>
        <v/>
      </c>
      <c r="E5113" t="str">
        <f t="shared" si="720"/>
        <v/>
      </c>
      <c r="F5113" t="str">
        <f t="shared" si="721"/>
        <v/>
      </c>
      <c r="G5113">
        <f t="shared" si="722"/>
        <v>3.84591194968553</v>
      </c>
    </row>
    <row r="5114" spans="2:7">
      <c r="B5114" s="46"/>
      <c r="C5114">
        <f t="shared" si="718"/>
        <v>0.844907407407407</v>
      </c>
      <c r="D5114" s="63" t="str">
        <f t="shared" si="719"/>
        <v/>
      </c>
      <c r="E5114" t="str">
        <f t="shared" si="720"/>
        <v/>
      </c>
      <c r="F5114" t="str">
        <f t="shared" si="721"/>
        <v/>
      </c>
      <c r="G5114" t="str">
        <f t="shared" si="722"/>
        <v/>
      </c>
    </row>
    <row r="5115" spans="2:7">
      <c r="B5115" s="46"/>
      <c r="C5115">
        <f t="shared" si="718"/>
        <v>6.79803240740741</v>
      </c>
      <c r="D5115" s="63" t="str">
        <f t="shared" si="719"/>
        <v/>
      </c>
      <c r="E5115" t="str">
        <f t="shared" si="720"/>
        <v/>
      </c>
      <c r="F5115" t="str">
        <f t="shared" si="721"/>
        <v/>
      </c>
      <c r="G5115" t="str">
        <f t="shared" si="722"/>
        <v/>
      </c>
    </row>
    <row r="5116" spans="2:7">
      <c r="B5116" s="46"/>
      <c r="C5116">
        <f t="shared" si="718"/>
        <v>6.79803240740741</v>
      </c>
      <c r="D5116" s="63" t="str">
        <f t="shared" si="719"/>
        <v/>
      </c>
      <c r="E5116" t="str">
        <f t="shared" si="720"/>
        <v/>
      </c>
      <c r="F5116" t="str">
        <f t="shared" si="721"/>
        <v/>
      </c>
      <c r="G5116" t="str">
        <f t="shared" si="722"/>
        <v/>
      </c>
    </row>
    <row r="5117" spans="2:7">
      <c r="B5117" s="46"/>
      <c r="C5117">
        <f t="shared" si="718"/>
        <v>7.52719907407408</v>
      </c>
      <c r="D5117" s="63" t="str">
        <f t="shared" si="719"/>
        <v/>
      </c>
      <c r="E5117" t="str">
        <f t="shared" si="720"/>
        <v/>
      </c>
      <c r="F5117" t="str">
        <f t="shared" si="721"/>
        <v/>
      </c>
      <c r="G5117" t="str">
        <f t="shared" si="722"/>
        <v/>
      </c>
    </row>
    <row r="5118" spans="2:7">
      <c r="B5118" s="46"/>
      <c r="C5118" t="str">
        <f t="shared" si="718"/>
        <v/>
      </c>
      <c r="D5118" s="63">
        <f t="shared" si="719"/>
        <v>2.7881455399061</v>
      </c>
      <c r="E5118" t="str">
        <f t="shared" si="720"/>
        <v/>
      </c>
      <c r="F5118" t="str">
        <f t="shared" si="721"/>
        <v/>
      </c>
      <c r="G5118" t="str">
        <f t="shared" si="722"/>
        <v/>
      </c>
    </row>
    <row r="5119" spans="2:7">
      <c r="B5119" s="46"/>
      <c r="C5119" t="str">
        <f t="shared" si="718"/>
        <v/>
      </c>
      <c r="D5119" s="63">
        <f t="shared" si="719"/>
        <v>4.47535211267606</v>
      </c>
      <c r="E5119" t="str">
        <f t="shared" si="720"/>
        <v/>
      </c>
      <c r="F5119" t="str">
        <f t="shared" si="721"/>
        <v/>
      </c>
      <c r="G5119" t="str">
        <f t="shared" si="722"/>
        <v/>
      </c>
    </row>
    <row r="5120" spans="2:7">
      <c r="B5120" s="46"/>
      <c r="C5120" t="str">
        <f t="shared" si="718"/>
        <v/>
      </c>
      <c r="D5120" s="63">
        <f t="shared" si="719"/>
        <v>6.10680751173709</v>
      </c>
      <c r="E5120" t="str">
        <f t="shared" si="720"/>
        <v/>
      </c>
      <c r="F5120" t="str">
        <f t="shared" si="721"/>
        <v/>
      </c>
      <c r="G5120" t="str">
        <f t="shared" si="722"/>
        <v/>
      </c>
    </row>
    <row r="5121" spans="2:7">
      <c r="B5121" s="46"/>
      <c r="C5121" t="str">
        <f t="shared" si="718"/>
        <v/>
      </c>
      <c r="D5121" s="63">
        <f t="shared" si="719"/>
        <v>8.50821596244131</v>
      </c>
      <c r="E5121" t="str">
        <f t="shared" si="720"/>
        <v/>
      </c>
      <c r="F5121" t="str">
        <f t="shared" si="721"/>
        <v/>
      </c>
      <c r="G5121" t="str">
        <f t="shared" si="722"/>
        <v/>
      </c>
    </row>
    <row r="5122" spans="2:7">
      <c r="B5122" s="46"/>
      <c r="C5122" t="str">
        <f t="shared" si="718"/>
        <v/>
      </c>
      <c r="D5122" s="63">
        <f t="shared" si="719"/>
        <v>10.268779342723</v>
      </c>
      <c r="E5122" t="str">
        <f t="shared" si="720"/>
        <v/>
      </c>
      <c r="F5122" t="str">
        <f t="shared" si="721"/>
        <v/>
      </c>
      <c r="G5122" t="str">
        <f t="shared" si="722"/>
        <v/>
      </c>
    </row>
    <row r="5123" spans="2:7">
      <c r="B5123" s="46"/>
      <c r="C5123" t="str">
        <f t="shared" si="718"/>
        <v/>
      </c>
      <c r="D5123" s="63" t="str">
        <f t="shared" si="719"/>
        <v/>
      </c>
      <c r="E5123" t="str">
        <f t="shared" si="720"/>
        <v/>
      </c>
      <c r="F5123" t="str">
        <f t="shared" si="721"/>
        <v/>
      </c>
      <c r="G5123">
        <f t="shared" si="722"/>
        <v>7.67610062893082</v>
      </c>
    </row>
    <row r="5124" spans="2:7">
      <c r="B5124" s="46"/>
      <c r="C5124" t="str">
        <f t="shared" si="718"/>
        <v/>
      </c>
      <c r="D5124" s="63" t="str">
        <f t="shared" si="719"/>
        <v/>
      </c>
      <c r="E5124" t="str">
        <f t="shared" si="720"/>
        <v/>
      </c>
      <c r="F5124" t="str">
        <f t="shared" si="721"/>
        <v/>
      </c>
      <c r="G5124">
        <f t="shared" si="722"/>
        <v>10.3836477987421</v>
      </c>
    </row>
    <row r="5125" spans="2:7">
      <c r="B5125" s="46"/>
      <c r="C5125" t="str">
        <f t="shared" si="718"/>
        <v/>
      </c>
      <c r="D5125" s="63" t="str">
        <f t="shared" si="719"/>
        <v/>
      </c>
      <c r="E5125" t="str">
        <f t="shared" si="720"/>
        <v/>
      </c>
      <c r="F5125" t="str">
        <f t="shared" si="721"/>
        <v/>
      </c>
      <c r="G5125">
        <f t="shared" si="722"/>
        <v>13.2138364779874</v>
      </c>
    </row>
    <row r="5126" spans="2:7">
      <c r="B5126" s="46"/>
      <c r="C5126" t="str">
        <f t="shared" si="718"/>
        <v/>
      </c>
      <c r="D5126" s="63" t="str">
        <f t="shared" si="719"/>
        <v/>
      </c>
      <c r="E5126" t="str">
        <f t="shared" si="720"/>
        <v/>
      </c>
      <c r="F5126" t="str">
        <f t="shared" si="721"/>
        <v/>
      </c>
      <c r="G5126">
        <f t="shared" si="722"/>
        <v>14.7243186582809</v>
      </c>
    </row>
    <row r="5127" spans="2:7">
      <c r="B5127" s="46"/>
      <c r="C5127" t="str">
        <f t="shared" si="718"/>
        <v/>
      </c>
      <c r="D5127" s="63" t="str">
        <f t="shared" si="719"/>
        <v/>
      </c>
      <c r="E5127" t="str">
        <f t="shared" si="720"/>
        <v/>
      </c>
      <c r="F5127">
        <f t="shared" si="721"/>
        <v>9.17630385487529</v>
      </c>
      <c r="G5127" t="str">
        <f t="shared" si="722"/>
        <v/>
      </c>
    </row>
    <row r="5128" spans="2:7">
      <c r="B5128" s="46"/>
      <c r="C5128" t="str">
        <f t="shared" si="718"/>
        <v/>
      </c>
      <c r="D5128" s="63" t="str">
        <f t="shared" si="719"/>
        <v/>
      </c>
      <c r="E5128" t="str">
        <f t="shared" si="720"/>
        <v/>
      </c>
      <c r="F5128">
        <f t="shared" si="721"/>
        <v>12.328231292517</v>
      </c>
      <c r="G5128" t="str">
        <f t="shared" si="722"/>
        <v/>
      </c>
    </row>
    <row r="5129" spans="2:7">
      <c r="B5129" s="46"/>
      <c r="C5129" t="str">
        <f t="shared" si="718"/>
        <v/>
      </c>
      <c r="D5129" s="63" t="str">
        <f t="shared" si="719"/>
        <v/>
      </c>
      <c r="E5129" t="str">
        <f t="shared" si="720"/>
        <v/>
      </c>
      <c r="F5129">
        <f t="shared" si="721"/>
        <v>15.0017006802721</v>
      </c>
      <c r="G5129" t="str">
        <f t="shared" si="722"/>
        <v/>
      </c>
    </row>
    <row r="5130" spans="2:7">
      <c r="B5130" s="46"/>
      <c r="C5130">
        <f t="shared" si="718"/>
        <v>10.328125</v>
      </c>
      <c r="D5130" s="63" t="str">
        <f t="shared" si="719"/>
        <v/>
      </c>
      <c r="E5130" t="str">
        <f t="shared" si="720"/>
        <v/>
      </c>
      <c r="F5130" t="str">
        <f t="shared" si="721"/>
        <v/>
      </c>
      <c r="G5130" t="str">
        <f t="shared" si="722"/>
        <v/>
      </c>
    </row>
    <row r="5131" spans="2:7">
      <c r="B5131" s="46"/>
      <c r="C5131">
        <f t="shared" si="718"/>
        <v>14.5908564814815</v>
      </c>
      <c r="D5131" s="63" t="str">
        <f t="shared" si="719"/>
        <v/>
      </c>
      <c r="E5131" t="str">
        <f t="shared" si="720"/>
        <v/>
      </c>
      <c r="F5131" t="str">
        <f t="shared" si="721"/>
        <v/>
      </c>
      <c r="G5131" t="str">
        <f t="shared" si="722"/>
        <v/>
      </c>
    </row>
    <row r="5132" spans="2:7">
      <c r="B5132" s="46"/>
      <c r="C5132">
        <f t="shared" si="718"/>
        <v>14.9409722222222</v>
      </c>
      <c r="D5132" s="63" t="str">
        <f t="shared" si="719"/>
        <v/>
      </c>
      <c r="E5132" t="str">
        <f t="shared" si="720"/>
        <v/>
      </c>
      <c r="F5132" t="str">
        <f t="shared" si="721"/>
        <v/>
      </c>
      <c r="G5132" t="str">
        <f t="shared" si="722"/>
        <v/>
      </c>
    </row>
    <row r="5133" spans="2:7">
      <c r="B5133" s="46"/>
      <c r="C5133">
        <f t="shared" si="718"/>
        <v>19.2465277777778</v>
      </c>
      <c r="D5133" s="63" t="str">
        <f t="shared" si="719"/>
        <v/>
      </c>
      <c r="E5133" t="str">
        <f t="shared" si="720"/>
        <v/>
      </c>
      <c r="F5133" t="str">
        <f t="shared" si="721"/>
        <v/>
      </c>
      <c r="G5133" t="str">
        <f t="shared" si="722"/>
        <v/>
      </c>
    </row>
    <row r="5134" spans="2:7">
      <c r="B5134" s="46"/>
      <c r="C5134" t="str">
        <f t="shared" si="718"/>
        <v/>
      </c>
      <c r="D5134" s="63">
        <f t="shared" si="719"/>
        <v>15.0340375586854</v>
      </c>
      <c r="E5134" t="str">
        <f t="shared" si="720"/>
        <v/>
      </c>
      <c r="F5134" t="str">
        <f t="shared" si="721"/>
        <v/>
      </c>
      <c r="G5134" t="str">
        <f t="shared" si="722"/>
        <v/>
      </c>
    </row>
    <row r="5135" spans="2:7">
      <c r="B5135" s="46"/>
      <c r="C5135" t="str">
        <f t="shared" si="718"/>
        <v/>
      </c>
      <c r="D5135" s="63">
        <f t="shared" si="719"/>
        <v>15.0340375586854</v>
      </c>
      <c r="E5135" t="str">
        <f t="shared" si="720"/>
        <v/>
      </c>
      <c r="F5135" t="str">
        <f t="shared" si="721"/>
        <v/>
      </c>
      <c r="G5135" t="str">
        <f t="shared" si="722"/>
        <v/>
      </c>
    </row>
    <row r="5136" spans="2:7">
      <c r="B5136" s="46"/>
      <c r="C5136" t="str">
        <f t="shared" si="718"/>
        <v/>
      </c>
      <c r="D5136" s="63">
        <f t="shared" si="719"/>
        <v>16.1343896713615</v>
      </c>
      <c r="E5136" t="str">
        <f t="shared" si="720"/>
        <v/>
      </c>
      <c r="F5136" t="str">
        <f t="shared" si="721"/>
        <v/>
      </c>
      <c r="G5136" t="str">
        <f t="shared" si="722"/>
        <v/>
      </c>
    </row>
    <row r="5137" spans="2:7">
      <c r="B5137" s="46"/>
      <c r="C5137" t="str">
        <f t="shared" si="718"/>
        <v/>
      </c>
      <c r="D5137" s="63">
        <f t="shared" si="719"/>
        <v>16.8620892018779</v>
      </c>
      <c r="E5137" t="str">
        <f t="shared" si="720"/>
        <v/>
      </c>
      <c r="F5137" t="str">
        <f t="shared" si="721"/>
        <v/>
      </c>
      <c r="G5137" t="str">
        <f t="shared" si="722"/>
        <v/>
      </c>
    </row>
    <row r="5138" spans="2:7">
      <c r="B5138" s="46"/>
      <c r="C5138" t="str">
        <f t="shared" si="718"/>
        <v/>
      </c>
      <c r="D5138" s="63" t="str">
        <f t="shared" si="719"/>
        <v/>
      </c>
      <c r="E5138">
        <f t="shared" si="720"/>
        <v>16.1245098039216</v>
      </c>
      <c r="F5138" t="str">
        <f t="shared" si="721"/>
        <v/>
      </c>
      <c r="G5138" t="str">
        <f t="shared" si="722"/>
        <v/>
      </c>
    </row>
    <row r="5139" spans="2:7">
      <c r="B5139" s="46"/>
      <c r="C5139" t="str">
        <f t="shared" si="718"/>
        <v/>
      </c>
      <c r="D5139" s="63" t="str">
        <f t="shared" si="719"/>
        <v/>
      </c>
      <c r="E5139">
        <f t="shared" si="720"/>
        <v>17.9225490196078</v>
      </c>
      <c r="F5139" t="str">
        <f t="shared" si="721"/>
        <v/>
      </c>
      <c r="G5139" t="str">
        <f t="shared" si="722"/>
        <v/>
      </c>
    </row>
    <row r="5140" spans="2:7">
      <c r="B5140" s="46"/>
      <c r="C5140" t="str">
        <f t="shared" si="718"/>
        <v/>
      </c>
      <c r="D5140" s="63" t="str">
        <f t="shared" si="719"/>
        <v/>
      </c>
      <c r="E5140">
        <f t="shared" si="720"/>
        <v>18.7166666666667</v>
      </c>
      <c r="F5140" t="str">
        <f t="shared" si="721"/>
        <v/>
      </c>
      <c r="G5140" t="str">
        <f t="shared" si="722"/>
        <v/>
      </c>
    </row>
    <row r="5141" spans="2:7">
      <c r="B5141" s="46"/>
      <c r="C5141" t="str">
        <f t="shared" si="718"/>
        <v/>
      </c>
      <c r="D5141" s="63" t="str">
        <f t="shared" si="719"/>
        <v/>
      </c>
      <c r="E5141">
        <f t="shared" si="720"/>
        <v>18.9539215686275</v>
      </c>
      <c r="F5141" t="str">
        <f t="shared" si="721"/>
        <v/>
      </c>
      <c r="G5141" t="str">
        <f t="shared" si="722"/>
        <v/>
      </c>
    </row>
    <row r="5142" spans="2:7">
      <c r="B5142" s="46"/>
      <c r="C5142" t="str">
        <f t="shared" si="718"/>
        <v/>
      </c>
      <c r="D5142" s="63" t="str">
        <f t="shared" si="719"/>
        <v/>
      </c>
      <c r="E5142" t="str">
        <f t="shared" si="720"/>
        <v/>
      </c>
      <c r="F5142" t="str">
        <f t="shared" si="721"/>
        <v/>
      </c>
      <c r="G5142">
        <f t="shared" si="722"/>
        <v>15.4449685534591</v>
      </c>
    </row>
    <row r="5143" spans="2:7">
      <c r="B5143" s="46"/>
      <c r="C5143" t="str">
        <f t="shared" si="718"/>
        <v/>
      </c>
      <c r="D5143" s="63" t="str">
        <f t="shared" si="719"/>
        <v/>
      </c>
      <c r="E5143" t="str">
        <f t="shared" si="720"/>
        <v/>
      </c>
      <c r="F5143" t="str">
        <f t="shared" si="721"/>
        <v/>
      </c>
      <c r="G5143">
        <f t="shared" si="722"/>
        <v>16.4669811320755</v>
      </c>
    </row>
    <row r="5144" spans="2:7">
      <c r="B5144" s="46"/>
      <c r="C5144" t="str">
        <f t="shared" si="718"/>
        <v/>
      </c>
      <c r="D5144" s="63" t="str">
        <f t="shared" si="719"/>
        <v/>
      </c>
      <c r="E5144" t="str">
        <f t="shared" si="720"/>
        <v/>
      </c>
      <c r="F5144" t="str">
        <f t="shared" si="721"/>
        <v/>
      </c>
      <c r="G5144">
        <f t="shared" si="722"/>
        <v>17.7877358490566</v>
      </c>
    </row>
    <row r="5145" spans="2:7">
      <c r="B5145" s="46"/>
      <c r="C5145" t="str">
        <f t="shared" si="718"/>
        <v/>
      </c>
      <c r="D5145" s="63" t="str">
        <f t="shared" si="719"/>
        <v/>
      </c>
      <c r="E5145" t="str">
        <f t="shared" si="720"/>
        <v/>
      </c>
      <c r="F5145" t="str">
        <f t="shared" si="721"/>
        <v/>
      </c>
      <c r="G5145">
        <f t="shared" si="722"/>
        <v>18.377358490566</v>
      </c>
    </row>
    <row r="5146" spans="2:7">
      <c r="B5146" s="46"/>
      <c r="C5146" t="str">
        <f t="shared" si="718"/>
        <v/>
      </c>
      <c r="D5146" s="63" t="str">
        <f t="shared" si="719"/>
        <v/>
      </c>
      <c r="E5146" t="str">
        <f t="shared" si="720"/>
        <v/>
      </c>
      <c r="F5146">
        <f t="shared" si="721"/>
        <v>15.4234693877551</v>
      </c>
      <c r="G5146" t="str">
        <f t="shared" si="722"/>
        <v/>
      </c>
    </row>
    <row r="5147" spans="2:7">
      <c r="B5147" s="46"/>
      <c r="C5147" t="str">
        <f t="shared" si="718"/>
        <v/>
      </c>
      <c r="D5147" s="63" t="str">
        <f t="shared" si="719"/>
        <v/>
      </c>
      <c r="E5147" t="str">
        <f t="shared" si="720"/>
        <v/>
      </c>
      <c r="F5147">
        <f t="shared" si="721"/>
        <v>16.7698412698413</v>
      </c>
      <c r="G5147" t="str">
        <f t="shared" si="722"/>
        <v/>
      </c>
    </row>
    <row r="5148" spans="2:7">
      <c r="B5148" s="46"/>
      <c r="C5148" t="str">
        <f t="shared" si="718"/>
        <v/>
      </c>
      <c r="D5148" s="63" t="str">
        <f t="shared" si="719"/>
        <v/>
      </c>
      <c r="E5148" t="str">
        <f t="shared" si="720"/>
        <v/>
      </c>
      <c r="F5148">
        <f t="shared" si="721"/>
        <v>18.109410430839</v>
      </c>
      <c r="G5148" t="str">
        <f t="shared" si="722"/>
        <v/>
      </c>
    </row>
    <row r="5149" spans="2:7">
      <c r="B5149" s="46"/>
      <c r="C5149" t="str">
        <f t="shared" si="718"/>
        <v/>
      </c>
      <c r="D5149" s="63" t="str">
        <f t="shared" si="719"/>
        <v/>
      </c>
      <c r="E5149" t="str">
        <f t="shared" si="720"/>
        <v/>
      </c>
      <c r="F5149">
        <f t="shared" si="721"/>
        <v>20.1581632653061</v>
      </c>
      <c r="G5149" t="str">
        <f t="shared" si="722"/>
        <v/>
      </c>
    </row>
    <row r="5150" spans="2:7">
      <c r="B5150" s="46"/>
      <c r="C5150" t="str">
        <f t="shared" si="718"/>
        <v/>
      </c>
      <c r="D5150" s="63" t="str">
        <f t="shared" si="719"/>
        <v/>
      </c>
      <c r="E5150" t="str">
        <f t="shared" si="720"/>
        <v/>
      </c>
      <c r="F5150">
        <f t="shared" si="721"/>
        <v>22.1581632653061</v>
      </c>
      <c r="G5150" t="str">
        <f t="shared" si="722"/>
        <v/>
      </c>
    </row>
    <row r="5151" spans="2:7">
      <c r="B5151" s="46"/>
      <c r="C5151" t="str">
        <f t="shared" si="718"/>
        <v/>
      </c>
      <c r="D5151" s="63" t="str">
        <f t="shared" si="719"/>
        <v/>
      </c>
      <c r="E5151" t="str">
        <f t="shared" si="720"/>
        <v/>
      </c>
      <c r="F5151">
        <f t="shared" si="721"/>
        <v>22.8781179138322</v>
      </c>
      <c r="G5151" t="str">
        <f t="shared" si="722"/>
        <v/>
      </c>
    </row>
    <row r="5152" spans="2:7">
      <c r="B5152" s="46"/>
      <c r="C5152" t="str">
        <f t="shared" si="718"/>
        <v/>
      </c>
      <c r="D5152" s="63">
        <f t="shared" si="719"/>
        <v>17.3022300469484</v>
      </c>
      <c r="E5152" t="str">
        <f t="shared" si="720"/>
        <v/>
      </c>
      <c r="F5152" t="str">
        <f t="shared" si="721"/>
        <v/>
      </c>
      <c r="G5152" t="str">
        <f t="shared" si="722"/>
        <v/>
      </c>
    </row>
    <row r="5153" spans="2:7">
      <c r="B5153" s="46"/>
      <c r="C5153" t="str">
        <f t="shared" si="718"/>
        <v/>
      </c>
      <c r="D5153" s="63">
        <f t="shared" si="719"/>
        <v>22.837441314554</v>
      </c>
      <c r="E5153" t="str">
        <f t="shared" si="720"/>
        <v/>
      </c>
      <c r="F5153" t="str">
        <f t="shared" si="721"/>
        <v/>
      </c>
      <c r="G5153" t="str">
        <f t="shared" si="722"/>
        <v/>
      </c>
    </row>
    <row r="5154" spans="2:7">
      <c r="B5154" s="46"/>
      <c r="C5154" t="str">
        <f t="shared" si="718"/>
        <v/>
      </c>
      <c r="D5154" s="63">
        <f t="shared" si="719"/>
        <v>23.7089201877934</v>
      </c>
      <c r="E5154" t="str">
        <f t="shared" si="720"/>
        <v/>
      </c>
      <c r="F5154" t="str">
        <f t="shared" si="721"/>
        <v/>
      </c>
      <c r="G5154" t="str">
        <f t="shared" si="722"/>
        <v/>
      </c>
    </row>
    <row r="5155" spans="2:7">
      <c r="B5155" s="46"/>
      <c r="C5155" t="str">
        <f t="shared" si="718"/>
        <v/>
      </c>
      <c r="D5155" s="63">
        <f t="shared" si="719"/>
        <v>24.3427230046948</v>
      </c>
      <c r="E5155" t="str">
        <f t="shared" si="720"/>
        <v/>
      </c>
      <c r="F5155" t="str">
        <f t="shared" si="721"/>
        <v/>
      </c>
      <c r="G5155" t="str">
        <f t="shared" si="722"/>
        <v/>
      </c>
    </row>
    <row r="5156" spans="2:7">
      <c r="B5156" s="46"/>
      <c r="C5156" t="str">
        <f t="shared" si="718"/>
        <v/>
      </c>
      <c r="D5156" s="63">
        <f t="shared" si="719"/>
        <v>27.5704225352113</v>
      </c>
      <c r="E5156" t="str">
        <f t="shared" si="720"/>
        <v/>
      </c>
      <c r="F5156" t="str">
        <f t="shared" si="721"/>
        <v/>
      </c>
      <c r="G5156" t="str">
        <f t="shared" si="722"/>
        <v/>
      </c>
    </row>
    <row r="5157" spans="2:7">
      <c r="B5157" s="46"/>
      <c r="C5157" t="str">
        <f t="shared" si="718"/>
        <v/>
      </c>
      <c r="D5157" s="63" t="str">
        <f t="shared" si="719"/>
        <v/>
      </c>
      <c r="E5157" t="str">
        <f t="shared" si="720"/>
        <v/>
      </c>
      <c r="F5157" t="str">
        <f t="shared" si="721"/>
        <v/>
      </c>
      <c r="G5157">
        <f t="shared" si="722"/>
        <v>19.1949685534591</v>
      </c>
    </row>
    <row r="5158" spans="2:7">
      <c r="B5158" s="46"/>
      <c r="C5158" t="str">
        <f t="shared" si="718"/>
        <v/>
      </c>
      <c r="D5158" s="63" t="str">
        <f t="shared" si="719"/>
        <v/>
      </c>
      <c r="E5158" t="str">
        <f t="shared" si="720"/>
        <v/>
      </c>
      <c r="F5158" t="str">
        <f t="shared" si="721"/>
        <v/>
      </c>
      <c r="G5158">
        <f t="shared" si="722"/>
        <v>21.9606918238994</v>
      </c>
    </row>
    <row r="5159" spans="2:7">
      <c r="B5159" s="46"/>
      <c r="C5159" t="str">
        <f t="shared" si="718"/>
        <v/>
      </c>
      <c r="D5159" s="63" t="str">
        <f t="shared" si="719"/>
        <v/>
      </c>
      <c r="E5159" t="str">
        <f t="shared" si="720"/>
        <v/>
      </c>
      <c r="F5159" t="str">
        <f t="shared" si="721"/>
        <v/>
      </c>
      <c r="G5159">
        <f t="shared" si="722"/>
        <v>21.9606918238994</v>
      </c>
    </row>
    <row r="5160" spans="2:7">
      <c r="B5160" s="46"/>
      <c r="C5160" t="str">
        <f t="shared" si="718"/>
        <v/>
      </c>
      <c r="D5160" s="63" t="str">
        <f t="shared" si="719"/>
        <v/>
      </c>
      <c r="E5160" t="str">
        <f t="shared" si="720"/>
        <v/>
      </c>
      <c r="F5160" t="str">
        <f t="shared" si="721"/>
        <v/>
      </c>
      <c r="G5160">
        <f t="shared" si="722"/>
        <v>25.2222222222222</v>
      </c>
    </row>
    <row r="5161" spans="2:7">
      <c r="B5161" s="46"/>
      <c r="C5161" t="str">
        <f t="shared" si="718"/>
        <v/>
      </c>
      <c r="D5161" s="63" t="str">
        <f t="shared" si="719"/>
        <v/>
      </c>
      <c r="E5161">
        <f t="shared" si="720"/>
        <v>22.268137254902</v>
      </c>
      <c r="F5161" t="str">
        <f t="shared" si="721"/>
        <v/>
      </c>
      <c r="G5161" t="str">
        <f t="shared" si="722"/>
        <v/>
      </c>
    </row>
    <row r="5162" spans="2:7">
      <c r="B5162" s="46"/>
      <c r="C5162" t="str">
        <f t="shared" si="718"/>
        <v/>
      </c>
      <c r="D5162" s="63" t="str">
        <f t="shared" si="719"/>
        <v/>
      </c>
      <c r="E5162">
        <f t="shared" si="720"/>
        <v>22.268137254902</v>
      </c>
      <c r="F5162" t="str">
        <f t="shared" si="721"/>
        <v/>
      </c>
      <c r="G5162" t="str">
        <f t="shared" si="722"/>
        <v/>
      </c>
    </row>
    <row r="5163" spans="2:7">
      <c r="B5163" s="46"/>
      <c r="C5163" t="str">
        <f t="shared" si="718"/>
        <v/>
      </c>
      <c r="D5163" s="63" t="str">
        <f t="shared" si="719"/>
        <v/>
      </c>
      <c r="E5163">
        <f t="shared" si="720"/>
        <v>24.6995098039216</v>
      </c>
      <c r="F5163" t="str">
        <f t="shared" si="721"/>
        <v/>
      </c>
      <c r="G5163" t="str">
        <f t="shared" si="722"/>
        <v/>
      </c>
    </row>
    <row r="5164" spans="2:7">
      <c r="B5164" s="46"/>
      <c r="C5164" t="str">
        <f t="shared" si="718"/>
        <v/>
      </c>
      <c r="D5164" s="63" t="str">
        <f t="shared" si="719"/>
        <v/>
      </c>
      <c r="E5164">
        <f t="shared" si="720"/>
        <v>25.3416666666667</v>
      </c>
      <c r="F5164" t="str">
        <f t="shared" si="721"/>
        <v/>
      </c>
      <c r="G5164" t="str">
        <f t="shared" si="722"/>
        <v/>
      </c>
    </row>
    <row r="5165" ht="15.75" spans="2:7">
      <c r="B5165" s="46"/>
      <c r="C5165">
        <f t="shared" si="718"/>
        <v>19.5358796296296</v>
      </c>
      <c r="D5165" s="63" t="str">
        <f t="shared" si="719"/>
        <v/>
      </c>
      <c r="E5165" t="str">
        <f t="shared" si="720"/>
        <v/>
      </c>
      <c r="F5165" t="str">
        <f t="shared" si="721"/>
        <v/>
      </c>
      <c r="G5165" t="str">
        <f t="shared" si="722"/>
        <v/>
      </c>
    </row>
    <row r="5166" spans="2:7">
      <c r="B5166" s="74" t="s">
        <v>269</v>
      </c>
      <c r="C5166" s="75">
        <f>MAX(C5106:C5165)</f>
        <v>19.5358796296296</v>
      </c>
      <c r="D5166" s="75">
        <f>MAX(D5106:D5165)</f>
        <v>27.5704225352113</v>
      </c>
      <c r="E5166" s="75">
        <f>MAX(E5106:E5165)</f>
        <v>25.3416666666667</v>
      </c>
      <c r="F5166" s="75">
        <f>MAX(F5106:F5165)</f>
        <v>22.8781179138322</v>
      </c>
      <c r="G5166" s="75">
        <f>MAX(G5106:G5165)</f>
        <v>25.2222222222222</v>
      </c>
    </row>
    <row r="5167" spans="2:7">
      <c r="B5167" s="76" t="s">
        <v>270</v>
      </c>
      <c r="C5167" s="77">
        <v>1</v>
      </c>
      <c r="D5167" s="78">
        <v>2</v>
      </c>
      <c r="E5167">
        <v>3</v>
      </c>
      <c r="F5167">
        <v>4</v>
      </c>
      <c r="G5167">
        <v>5</v>
      </c>
    </row>
    <row r="5168" spans="2:7">
      <c r="B5168" s="79" t="s">
        <v>271</v>
      </c>
      <c r="C5168" s="72">
        <f>HLOOKUP(MIN(C5166:G5166),C5166:G5167,2,FALSE)</f>
        <v>1</v>
      </c>
      <c r="D5168" s="80"/>
    </row>
    <row r="5171" ht="15.75" spans="2:7">
      <c r="B5171" s="43" t="s">
        <v>366</v>
      </c>
      <c r="C5171" s="44"/>
      <c r="D5171" s="45"/>
    </row>
    <row r="5172" spans="2:7">
      <c r="B5172" s="46"/>
      <c r="C5172" s="61" t="s">
        <v>264</v>
      </c>
      <c r="D5172" s="61" t="s">
        <v>265</v>
      </c>
      <c r="E5172" s="62" t="s">
        <v>286</v>
      </c>
      <c r="F5172" s="62" t="s">
        <v>287</v>
      </c>
      <c r="G5172" s="62" t="s">
        <v>288</v>
      </c>
    </row>
    <row r="5173" spans="2:7">
      <c r="B5173" s="46"/>
      <c r="C5173">
        <f t="shared" ref="C5173:C5233" si="723">IF(J8=1,S8,"")</f>
        <v>0.700231481481482</v>
      </c>
      <c r="D5173" s="63" t="str">
        <f t="shared" ref="D5173:D5233" si="724">IF(J8=2,S8,"")</f>
        <v/>
      </c>
      <c r="E5173" t="str">
        <f t="shared" ref="E5173:E5233" si="725">IF(J8=3,S8,"")</f>
        <v/>
      </c>
      <c r="F5173" t="str">
        <f t="shared" ref="F5173:F5233" si="726">IF(J8=4,S8,"")</f>
        <v/>
      </c>
      <c r="G5173" t="str">
        <f t="shared" ref="G5173:G5233" si="727">IF(J8=5,S8,"")</f>
        <v/>
      </c>
    </row>
    <row r="5174" spans="2:7">
      <c r="B5174" s="46"/>
      <c r="C5174" t="str">
        <f t="shared" si="723"/>
        <v/>
      </c>
      <c r="D5174" s="63">
        <f t="shared" si="724"/>
        <v>0.734154929577465</v>
      </c>
      <c r="E5174" t="str">
        <f t="shared" si="725"/>
        <v/>
      </c>
      <c r="F5174" t="str">
        <f t="shared" si="726"/>
        <v/>
      </c>
      <c r="G5174" t="str">
        <f t="shared" si="727"/>
        <v/>
      </c>
    </row>
    <row r="5175" spans="2:7">
      <c r="B5175" s="46"/>
      <c r="C5175" t="str">
        <f t="shared" si="723"/>
        <v/>
      </c>
      <c r="D5175" s="63" t="str">
        <f t="shared" si="724"/>
        <v/>
      </c>
      <c r="E5175">
        <f t="shared" si="725"/>
        <v>1.83823529411765</v>
      </c>
      <c r="F5175" t="str">
        <f t="shared" si="726"/>
        <v/>
      </c>
      <c r="G5175" t="str">
        <f t="shared" si="727"/>
        <v/>
      </c>
    </row>
    <row r="5176" spans="2:7">
      <c r="B5176" s="46"/>
      <c r="C5176" t="str">
        <f t="shared" si="723"/>
        <v/>
      </c>
      <c r="D5176" s="63" t="str">
        <f t="shared" si="724"/>
        <v/>
      </c>
      <c r="E5176" t="str">
        <f t="shared" si="725"/>
        <v/>
      </c>
      <c r="F5176">
        <f t="shared" si="726"/>
        <v>4.28571428571429</v>
      </c>
      <c r="G5176" t="str">
        <f t="shared" si="727"/>
        <v/>
      </c>
    </row>
    <row r="5177" spans="2:7">
      <c r="B5177" s="46"/>
      <c r="C5177" t="str">
        <f t="shared" si="723"/>
        <v/>
      </c>
      <c r="D5177" s="63" t="str">
        <f t="shared" si="724"/>
        <v/>
      </c>
      <c r="E5177" t="str">
        <f t="shared" si="725"/>
        <v/>
      </c>
      <c r="F5177" t="str">
        <f t="shared" si="726"/>
        <v/>
      </c>
      <c r="G5177">
        <f t="shared" si="727"/>
        <v>3.43396226415094</v>
      </c>
    </row>
    <row r="5178" spans="2:7">
      <c r="B5178" s="46"/>
      <c r="C5178" t="str">
        <f t="shared" si="723"/>
        <v/>
      </c>
      <c r="D5178" s="63" t="str">
        <f t="shared" si="724"/>
        <v/>
      </c>
      <c r="E5178">
        <f t="shared" si="725"/>
        <v>14.5833333333333</v>
      </c>
      <c r="F5178" t="str">
        <f t="shared" si="726"/>
        <v/>
      </c>
      <c r="G5178" t="str">
        <f t="shared" si="727"/>
        <v/>
      </c>
    </row>
    <row r="5179" spans="2:7">
      <c r="B5179" s="46"/>
      <c r="C5179" t="str">
        <f t="shared" si="723"/>
        <v/>
      </c>
      <c r="D5179" s="63" t="str">
        <f t="shared" si="724"/>
        <v/>
      </c>
      <c r="E5179" t="str">
        <f t="shared" si="725"/>
        <v/>
      </c>
      <c r="F5179">
        <f t="shared" si="726"/>
        <v>6.42857142857143</v>
      </c>
      <c r="G5179" t="str">
        <f t="shared" si="727"/>
        <v/>
      </c>
    </row>
    <row r="5180" spans="2:7">
      <c r="B5180" s="46"/>
      <c r="C5180" t="str">
        <f t="shared" si="723"/>
        <v/>
      </c>
      <c r="D5180" s="63" t="str">
        <f t="shared" si="724"/>
        <v/>
      </c>
      <c r="E5180" t="str">
        <f t="shared" si="725"/>
        <v/>
      </c>
      <c r="F5180" t="str">
        <f t="shared" si="726"/>
        <v/>
      </c>
      <c r="G5180">
        <f t="shared" si="727"/>
        <v>3.84591194968553</v>
      </c>
    </row>
    <row r="5181" spans="2:7">
      <c r="B5181" s="46"/>
      <c r="C5181">
        <f t="shared" si="723"/>
        <v>0.844907407407407</v>
      </c>
      <c r="D5181" s="63" t="str">
        <f t="shared" si="724"/>
        <v/>
      </c>
      <c r="E5181" t="str">
        <f t="shared" si="725"/>
        <v/>
      </c>
      <c r="F5181" t="str">
        <f t="shared" si="726"/>
        <v/>
      </c>
      <c r="G5181" t="str">
        <f t="shared" si="727"/>
        <v/>
      </c>
    </row>
    <row r="5182" spans="2:7">
      <c r="B5182" s="46"/>
      <c r="C5182">
        <f t="shared" si="723"/>
        <v>6.79803240740741</v>
      </c>
      <c r="D5182" s="63" t="str">
        <f t="shared" si="724"/>
        <v/>
      </c>
      <c r="E5182" t="str">
        <f t="shared" si="725"/>
        <v/>
      </c>
      <c r="F5182" t="str">
        <f t="shared" si="726"/>
        <v/>
      </c>
      <c r="G5182" t="str">
        <f t="shared" si="727"/>
        <v/>
      </c>
    </row>
    <row r="5183" spans="2:7">
      <c r="B5183" s="46"/>
      <c r="C5183">
        <f t="shared" si="723"/>
        <v>6.79803240740741</v>
      </c>
      <c r="D5183" s="63" t="str">
        <f t="shared" si="724"/>
        <v/>
      </c>
      <c r="E5183" t="str">
        <f t="shared" si="725"/>
        <v/>
      </c>
      <c r="F5183" t="str">
        <f t="shared" si="726"/>
        <v/>
      </c>
      <c r="G5183" t="str">
        <f t="shared" si="727"/>
        <v/>
      </c>
    </row>
    <row r="5184" spans="2:7">
      <c r="B5184" s="46"/>
      <c r="C5184">
        <f t="shared" si="723"/>
        <v>7.52719907407408</v>
      </c>
      <c r="D5184" s="63" t="str">
        <f t="shared" si="724"/>
        <v/>
      </c>
      <c r="E5184" t="str">
        <f t="shared" si="725"/>
        <v/>
      </c>
      <c r="F5184" t="str">
        <f t="shared" si="726"/>
        <v/>
      </c>
      <c r="G5184" t="str">
        <f t="shared" si="727"/>
        <v/>
      </c>
    </row>
    <row r="5185" spans="2:7">
      <c r="B5185" s="46"/>
      <c r="C5185" t="str">
        <f t="shared" si="723"/>
        <v/>
      </c>
      <c r="D5185" s="63">
        <f t="shared" si="724"/>
        <v>2.7881455399061</v>
      </c>
      <c r="E5185" t="str">
        <f t="shared" si="725"/>
        <v/>
      </c>
      <c r="F5185" t="str">
        <f t="shared" si="726"/>
        <v/>
      </c>
      <c r="G5185" t="str">
        <f t="shared" si="727"/>
        <v/>
      </c>
    </row>
    <row r="5186" spans="2:7">
      <c r="B5186" s="46"/>
      <c r="C5186" t="str">
        <f t="shared" si="723"/>
        <v/>
      </c>
      <c r="D5186" s="63">
        <f t="shared" si="724"/>
        <v>4.47535211267606</v>
      </c>
      <c r="E5186" t="str">
        <f t="shared" si="725"/>
        <v/>
      </c>
      <c r="F5186" t="str">
        <f t="shared" si="726"/>
        <v/>
      </c>
      <c r="G5186" t="str">
        <f t="shared" si="727"/>
        <v/>
      </c>
    </row>
    <row r="5187" spans="2:7">
      <c r="B5187" s="46"/>
      <c r="C5187" t="str">
        <f t="shared" si="723"/>
        <v/>
      </c>
      <c r="D5187" s="63">
        <f t="shared" si="724"/>
        <v>6.10680751173709</v>
      </c>
      <c r="E5187" t="str">
        <f t="shared" si="725"/>
        <v/>
      </c>
      <c r="F5187" t="str">
        <f t="shared" si="726"/>
        <v/>
      </c>
      <c r="G5187" t="str">
        <f t="shared" si="727"/>
        <v/>
      </c>
    </row>
    <row r="5188" spans="2:7">
      <c r="B5188" s="46"/>
      <c r="C5188" t="str">
        <f t="shared" si="723"/>
        <v/>
      </c>
      <c r="D5188" s="63">
        <f t="shared" si="724"/>
        <v>8.50821596244131</v>
      </c>
      <c r="E5188" t="str">
        <f t="shared" si="725"/>
        <v/>
      </c>
      <c r="F5188" t="str">
        <f t="shared" si="726"/>
        <v/>
      </c>
      <c r="G5188" t="str">
        <f t="shared" si="727"/>
        <v/>
      </c>
    </row>
    <row r="5189" spans="2:7">
      <c r="B5189" s="46"/>
      <c r="C5189" t="str">
        <f t="shared" si="723"/>
        <v/>
      </c>
      <c r="D5189" s="63">
        <f t="shared" si="724"/>
        <v>10.268779342723</v>
      </c>
      <c r="E5189" t="str">
        <f t="shared" si="725"/>
        <v/>
      </c>
      <c r="F5189" t="str">
        <f t="shared" si="726"/>
        <v/>
      </c>
      <c r="G5189" t="str">
        <f t="shared" si="727"/>
        <v/>
      </c>
    </row>
    <row r="5190" spans="2:7">
      <c r="B5190" s="46"/>
      <c r="C5190" t="str">
        <f t="shared" si="723"/>
        <v/>
      </c>
      <c r="D5190" s="63" t="str">
        <f t="shared" si="724"/>
        <v/>
      </c>
      <c r="E5190" t="str">
        <f t="shared" si="725"/>
        <v/>
      </c>
      <c r="F5190" t="str">
        <f t="shared" si="726"/>
        <v/>
      </c>
      <c r="G5190">
        <f t="shared" si="727"/>
        <v>7.67610062893082</v>
      </c>
    </row>
    <row r="5191" spans="2:7">
      <c r="B5191" s="46"/>
      <c r="C5191" t="str">
        <f t="shared" si="723"/>
        <v/>
      </c>
      <c r="D5191" s="63" t="str">
        <f t="shared" si="724"/>
        <v/>
      </c>
      <c r="E5191" t="str">
        <f t="shared" si="725"/>
        <v/>
      </c>
      <c r="F5191" t="str">
        <f t="shared" si="726"/>
        <v/>
      </c>
      <c r="G5191">
        <f t="shared" si="727"/>
        <v>10.3836477987421</v>
      </c>
    </row>
    <row r="5192" spans="2:7">
      <c r="B5192" s="46"/>
      <c r="C5192" t="str">
        <f t="shared" si="723"/>
        <v/>
      </c>
      <c r="D5192" s="63" t="str">
        <f t="shared" si="724"/>
        <v/>
      </c>
      <c r="E5192" t="str">
        <f t="shared" si="725"/>
        <v/>
      </c>
      <c r="F5192" t="str">
        <f t="shared" si="726"/>
        <v/>
      </c>
      <c r="G5192">
        <f t="shared" si="727"/>
        <v>13.2138364779874</v>
      </c>
    </row>
    <row r="5193" spans="2:7">
      <c r="B5193" s="46"/>
      <c r="C5193" t="str">
        <f t="shared" si="723"/>
        <v/>
      </c>
      <c r="D5193" s="63" t="str">
        <f t="shared" si="724"/>
        <v/>
      </c>
      <c r="E5193" t="str">
        <f t="shared" si="725"/>
        <v/>
      </c>
      <c r="F5193" t="str">
        <f t="shared" si="726"/>
        <v/>
      </c>
      <c r="G5193">
        <f t="shared" si="727"/>
        <v>14.7243186582809</v>
      </c>
    </row>
    <row r="5194" spans="2:7">
      <c r="B5194" s="46"/>
      <c r="C5194" t="str">
        <f t="shared" si="723"/>
        <v/>
      </c>
      <c r="D5194" s="63" t="str">
        <f t="shared" si="724"/>
        <v/>
      </c>
      <c r="E5194" t="str">
        <f t="shared" si="725"/>
        <v/>
      </c>
      <c r="F5194">
        <f t="shared" si="726"/>
        <v>9.17630385487529</v>
      </c>
      <c r="G5194" t="str">
        <f t="shared" si="727"/>
        <v/>
      </c>
    </row>
    <row r="5195" spans="2:7">
      <c r="B5195" s="46"/>
      <c r="C5195" t="str">
        <f t="shared" si="723"/>
        <v/>
      </c>
      <c r="D5195" s="63" t="str">
        <f t="shared" si="724"/>
        <v/>
      </c>
      <c r="E5195" t="str">
        <f t="shared" si="725"/>
        <v/>
      </c>
      <c r="F5195">
        <f t="shared" si="726"/>
        <v>12.328231292517</v>
      </c>
      <c r="G5195" t="str">
        <f t="shared" si="727"/>
        <v/>
      </c>
    </row>
    <row r="5196" spans="2:7">
      <c r="B5196" s="46"/>
      <c r="C5196" t="str">
        <f t="shared" si="723"/>
        <v/>
      </c>
      <c r="D5196" s="63" t="str">
        <f t="shared" si="724"/>
        <v/>
      </c>
      <c r="E5196" t="str">
        <f t="shared" si="725"/>
        <v/>
      </c>
      <c r="F5196">
        <f t="shared" si="726"/>
        <v>15.0017006802721</v>
      </c>
      <c r="G5196" t="str">
        <f t="shared" si="727"/>
        <v/>
      </c>
    </row>
    <row r="5197" spans="2:7">
      <c r="B5197" s="46"/>
      <c r="C5197">
        <f t="shared" si="723"/>
        <v>10.328125</v>
      </c>
      <c r="D5197" s="63" t="str">
        <f t="shared" si="724"/>
        <v/>
      </c>
      <c r="E5197" t="str">
        <f t="shared" si="725"/>
        <v/>
      </c>
      <c r="F5197" t="str">
        <f t="shared" si="726"/>
        <v/>
      </c>
      <c r="G5197" t="str">
        <f t="shared" si="727"/>
        <v/>
      </c>
    </row>
    <row r="5198" spans="2:7">
      <c r="B5198" s="46"/>
      <c r="C5198">
        <f t="shared" si="723"/>
        <v>14.5908564814815</v>
      </c>
      <c r="D5198" s="63" t="str">
        <f t="shared" si="724"/>
        <v/>
      </c>
      <c r="E5198" t="str">
        <f t="shared" si="725"/>
        <v/>
      </c>
      <c r="F5198" t="str">
        <f t="shared" si="726"/>
        <v/>
      </c>
      <c r="G5198" t="str">
        <f t="shared" si="727"/>
        <v/>
      </c>
    </row>
    <row r="5199" spans="2:7">
      <c r="B5199" s="46"/>
      <c r="C5199">
        <f t="shared" si="723"/>
        <v>14.9409722222222</v>
      </c>
      <c r="D5199" s="63" t="str">
        <f t="shared" si="724"/>
        <v/>
      </c>
      <c r="E5199" t="str">
        <f t="shared" si="725"/>
        <v/>
      </c>
      <c r="F5199" t="str">
        <f t="shared" si="726"/>
        <v/>
      </c>
      <c r="G5199" t="str">
        <f t="shared" si="727"/>
        <v/>
      </c>
    </row>
    <row r="5200" spans="2:7">
      <c r="B5200" s="46"/>
      <c r="C5200">
        <f t="shared" si="723"/>
        <v>19.2465277777778</v>
      </c>
      <c r="D5200" s="63" t="str">
        <f t="shared" si="724"/>
        <v/>
      </c>
      <c r="E5200" t="str">
        <f t="shared" si="725"/>
        <v/>
      </c>
      <c r="F5200" t="str">
        <f t="shared" si="726"/>
        <v/>
      </c>
      <c r="G5200" t="str">
        <f t="shared" si="727"/>
        <v/>
      </c>
    </row>
    <row r="5201" spans="2:7">
      <c r="B5201" s="46"/>
      <c r="C5201" t="str">
        <f t="shared" si="723"/>
        <v/>
      </c>
      <c r="D5201" s="63">
        <f t="shared" si="724"/>
        <v>15.0340375586854</v>
      </c>
      <c r="E5201" t="str">
        <f t="shared" si="725"/>
        <v/>
      </c>
      <c r="F5201" t="str">
        <f t="shared" si="726"/>
        <v/>
      </c>
      <c r="G5201" t="str">
        <f t="shared" si="727"/>
        <v/>
      </c>
    </row>
    <row r="5202" spans="2:7">
      <c r="B5202" s="46"/>
      <c r="C5202" t="str">
        <f t="shared" si="723"/>
        <v/>
      </c>
      <c r="D5202" s="63">
        <f t="shared" si="724"/>
        <v>15.0340375586854</v>
      </c>
      <c r="E5202" t="str">
        <f t="shared" si="725"/>
        <v/>
      </c>
      <c r="F5202" t="str">
        <f t="shared" si="726"/>
        <v/>
      </c>
      <c r="G5202" t="str">
        <f t="shared" si="727"/>
        <v/>
      </c>
    </row>
    <row r="5203" spans="2:7">
      <c r="B5203" s="46"/>
      <c r="C5203" t="str">
        <f t="shared" si="723"/>
        <v/>
      </c>
      <c r="D5203" s="63">
        <f t="shared" si="724"/>
        <v>16.1343896713615</v>
      </c>
      <c r="E5203" t="str">
        <f t="shared" si="725"/>
        <v/>
      </c>
      <c r="F5203" t="str">
        <f t="shared" si="726"/>
        <v/>
      </c>
      <c r="G5203" t="str">
        <f t="shared" si="727"/>
        <v/>
      </c>
    </row>
    <row r="5204" spans="2:7">
      <c r="B5204" s="46"/>
      <c r="C5204" t="str">
        <f t="shared" si="723"/>
        <v/>
      </c>
      <c r="D5204" s="63">
        <f t="shared" si="724"/>
        <v>16.8620892018779</v>
      </c>
      <c r="E5204" t="str">
        <f t="shared" si="725"/>
        <v/>
      </c>
      <c r="F5204" t="str">
        <f t="shared" si="726"/>
        <v/>
      </c>
      <c r="G5204" t="str">
        <f t="shared" si="727"/>
        <v/>
      </c>
    </row>
    <row r="5205" spans="2:7">
      <c r="B5205" s="46"/>
      <c r="C5205" t="str">
        <f t="shared" si="723"/>
        <v/>
      </c>
      <c r="D5205" s="63" t="str">
        <f t="shared" si="724"/>
        <v/>
      </c>
      <c r="E5205">
        <f t="shared" si="725"/>
        <v>16.1245098039216</v>
      </c>
      <c r="F5205" t="str">
        <f t="shared" si="726"/>
        <v/>
      </c>
      <c r="G5205" t="str">
        <f t="shared" si="727"/>
        <v/>
      </c>
    </row>
    <row r="5206" spans="2:7">
      <c r="B5206" s="46"/>
      <c r="C5206" t="str">
        <f t="shared" si="723"/>
        <v/>
      </c>
      <c r="D5206" s="63" t="str">
        <f t="shared" si="724"/>
        <v/>
      </c>
      <c r="E5206">
        <f t="shared" si="725"/>
        <v>17.9225490196078</v>
      </c>
      <c r="F5206" t="str">
        <f t="shared" si="726"/>
        <v/>
      </c>
      <c r="G5206" t="str">
        <f t="shared" si="727"/>
        <v/>
      </c>
    </row>
    <row r="5207" spans="2:7">
      <c r="B5207" s="46"/>
      <c r="C5207" t="str">
        <f t="shared" si="723"/>
        <v/>
      </c>
      <c r="D5207" s="63" t="str">
        <f t="shared" si="724"/>
        <v/>
      </c>
      <c r="E5207">
        <f t="shared" si="725"/>
        <v>18.7166666666667</v>
      </c>
      <c r="F5207" t="str">
        <f t="shared" si="726"/>
        <v/>
      </c>
      <c r="G5207" t="str">
        <f t="shared" si="727"/>
        <v/>
      </c>
    </row>
    <row r="5208" spans="2:7">
      <c r="B5208" s="46"/>
      <c r="C5208" t="str">
        <f t="shared" si="723"/>
        <v/>
      </c>
      <c r="D5208" s="63" t="str">
        <f t="shared" si="724"/>
        <v/>
      </c>
      <c r="E5208">
        <f t="shared" si="725"/>
        <v>18.9539215686275</v>
      </c>
      <c r="F5208" t="str">
        <f t="shared" si="726"/>
        <v/>
      </c>
      <c r="G5208" t="str">
        <f t="shared" si="727"/>
        <v/>
      </c>
    </row>
    <row r="5209" spans="2:7">
      <c r="B5209" s="46"/>
      <c r="C5209" t="str">
        <f t="shared" si="723"/>
        <v/>
      </c>
      <c r="D5209" s="63" t="str">
        <f t="shared" si="724"/>
        <v/>
      </c>
      <c r="E5209" t="str">
        <f t="shared" si="725"/>
        <v/>
      </c>
      <c r="F5209" t="str">
        <f t="shared" si="726"/>
        <v/>
      </c>
      <c r="G5209">
        <f t="shared" si="727"/>
        <v>15.4449685534591</v>
      </c>
    </row>
    <row r="5210" spans="2:7">
      <c r="B5210" s="46"/>
      <c r="C5210" t="str">
        <f t="shared" si="723"/>
        <v/>
      </c>
      <c r="D5210" s="63" t="str">
        <f t="shared" si="724"/>
        <v/>
      </c>
      <c r="E5210" t="str">
        <f t="shared" si="725"/>
        <v/>
      </c>
      <c r="F5210" t="str">
        <f t="shared" si="726"/>
        <v/>
      </c>
      <c r="G5210">
        <f t="shared" si="727"/>
        <v>16.4669811320755</v>
      </c>
    </row>
    <row r="5211" spans="2:7">
      <c r="B5211" s="46"/>
      <c r="C5211" t="str">
        <f t="shared" si="723"/>
        <v/>
      </c>
      <c r="D5211" s="63" t="str">
        <f t="shared" si="724"/>
        <v/>
      </c>
      <c r="E5211" t="str">
        <f t="shared" si="725"/>
        <v/>
      </c>
      <c r="F5211" t="str">
        <f t="shared" si="726"/>
        <v/>
      </c>
      <c r="G5211">
        <f t="shared" si="727"/>
        <v>17.7877358490566</v>
      </c>
    </row>
    <row r="5212" spans="2:7">
      <c r="B5212" s="46"/>
      <c r="C5212" t="str">
        <f t="shared" si="723"/>
        <v/>
      </c>
      <c r="D5212" s="63" t="str">
        <f t="shared" si="724"/>
        <v/>
      </c>
      <c r="E5212" t="str">
        <f t="shared" si="725"/>
        <v/>
      </c>
      <c r="F5212" t="str">
        <f t="shared" si="726"/>
        <v/>
      </c>
      <c r="G5212">
        <f t="shared" si="727"/>
        <v>18.377358490566</v>
      </c>
    </row>
    <row r="5213" spans="2:7">
      <c r="B5213" s="46"/>
      <c r="C5213" t="str">
        <f t="shared" si="723"/>
        <v/>
      </c>
      <c r="D5213" s="63" t="str">
        <f t="shared" si="724"/>
        <v/>
      </c>
      <c r="E5213" t="str">
        <f t="shared" si="725"/>
        <v/>
      </c>
      <c r="F5213">
        <f t="shared" si="726"/>
        <v>15.4234693877551</v>
      </c>
      <c r="G5213" t="str">
        <f t="shared" si="727"/>
        <v/>
      </c>
    </row>
    <row r="5214" spans="2:7">
      <c r="B5214" s="46"/>
      <c r="C5214" t="str">
        <f t="shared" si="723"/>
        <v/>
      </c>
      <c r="D5214" s="63" t="str">
        <f t="shared" si="724"/>
        <v/>
      </c>
      <c r="E5214" t="str">
        <f t="shared" si="725"/>
        <v/>
      </c>
      <c r="F5214">
        <f t="shared" si="726"/>
        <v>16.7698412698413</v>
      </c>
      <c r="G5214" t="str">
        <f t="shared" si="727"/>
        <v/>
      </c>
    </row>
    <row r="5215" spans="2:7">
      <c r="B5215" s="46"/>
      <c r="C5215" t="str">
        <f t="shared" si="723"/>
        <v/>
      </c>
      <c r="D5215" s="63" t="str">
        <f t="shared" si="724"/>
        <v/>
      </c>
      <c r="E5215" t="str">
        <f t="shared" si="725"/>
        <v/>
      </c>
      <c r="F5215">
        <f t="shared" si="726"/>
        <v>18.109410430839</v>
      </c>
      <c r="G5215" t="str">
        <f t="shared" si="727"/>
        <v/>
      </c>
    </row>
    <row r="5216" spans="2:7">
      <c r="B5216" s="46"/>
      <c r="C5216" t="str">
        <f t="shared" si="723"/>
        <v/>
      </c>
      <c r="D5216" s="63" t="str">
        <f t="shared" si="724"/>
        <v/>
      </c>
      <c r="E5216" t="str">
        <f t="shared" si="725"/>
        <v/>
      </c>
      <c r="F5216">
        <f t="shared" si="726"/>
        <v>20.1581632653061</v>
      </c>
      <c r="G5216" t="str">
        <f t="shared" si="727"/>
        <v/>
      </c>
    </row>
    <row r="5217" spans="2:7">
      <c r="B5217" s="46"/>
      <c r="C5217" t="str">
        <f t="shared" si="723"/>
        <v/>
      </c>
      <c r="D5217" s="63" t="str">
        <f t="shared" si="724"/>
        <v/>
      </c>
      <c r="E5217" t="str">
        <f t="shared" si="725"/>
        <v/>
      </c>
      <c r="F5217">
        <f t="shared" si="726"/>
        <v>22.1581632653061</v>
      </c>
      <c r="G5217" t="str">
        <f t="shared" si="727"/>
        <v/>
      </c>
    </row>
    <row r="5218" spans="2:7">
      <c r="B5218" s="46"/>
      <c r="C5218" t="str">
        <f t="shared" si="723"/>
        <v/>
      </c>
      <c r="D5218" s="63" t="str">
        <f t="shared" si="724"/>
        <v/>
      </c>
      <c r="E5218" t="str">
        <f t="shared" si="725"/>
        <v/>
      </c>
      <c r="F5218">
        <f t="shared" si="726"/>
        <v>22.8781179138322</v>
      </c>
      <c r="G5218" t="str">
        <f t="shared" si="727"/>
        <v/>
      </c>
    </row>
    <row r="5219" spans="2:7">
      <c r="B5219" s="46"/>
      <c r="C5219" t="str">
        <f t="shared" si="723"/>
        <v/>
      </c>
      <c r="D5219" s="63">
        <f t="shared" si="724"/>
        <v>17.3022300469484</v>
      </c>
      <c r="E5219" t="str">
        <f t="shared" si="725"/>
        <v/>
      </c>
      <c r="F5219" t="str">
        <f t="shared" si="726"/>
        <v/>
      </c>
      <c r="G5219" t="str">
        <f t="shared" si="727"/>
        <v/>
      </c>
    </row>
    <row r="5220" spans="2:7">
      <c r="B5220" s="46"/>
      <c r="C5220" t="str">
        <f t="shared" si="723"/>
        <v/>
      </c>
      <c r="D5220" s="63">
        <f t="shared" si="724"/>
        <v>22.837441314554</v>
      </c>
      <c r="E5220" t="str">
        <f t="shared" si="725"/>
        <v/>
      </c>
      <c r="F5220" t="str">
        <f t="shared" si="726"/>
        <v/>
      </c>
      <c r="G5220" t="str">
        <f t="shared" si="727"/>
        <v/>
      </c>
    </row>
    <row r="5221" spans="2:7">
      <c r="B5221" s="46"/>
      <c r="C5221" t="str">
        <f t="shared" si="723"/>
        <v/>
      </c>
      <c r="D5221" s="63">
        <f t="shared" si="724"/>
        <v>23.7089201877934</v>
      </c>
      <c r="E5221" t="str">
        <f t="shared" si="725"/>
        <v/>
      </c>
      <c r="F5221" t="str">
        <f t="shared" si="726"/>
        <v/>
      </c>
      <c r="G5221" t="str">
        <f t="shared" si="727"/>
        <v/>
      </c>
    </row>
    <row r="5222" spans="2:7">
      <c r="B5222" s="46"/>
      <c r="C5222" t="str">
        <f t="shared" si="723"/>
        <v/>
      </c>
      <c r="D5222" s="63">
        <f t="shared" si="724"/>
        <v>24.3427230046948</v>
      </c>
      <c r="E5222" t="str">
        <f t="shared" si="725"/>
        <v/>
      </c>
      <c r="F5222" t="str">
        <f t="shared" si="726"/>
        <v/>
      </c>
      <c r="G5222" t="str">
        <f t="shared" si="727"/>
        <v/>
      </c>
    </row>
    <row r="5223" spans="2:7">
      <c r="B5223" s="46"/>
      <c r="C5223" t="str">
        <f t="shared" si="723"/>
        <v/>
      </c>
      <c r="D5223" s="63">
        <f t="shared" si="724"/>
        <v>27.5704225352113</v>
      </c>
      <c r="E5223" t="str">
        <f t="shared" si="725"/>
        <v/>
      </c>
      <c r="F5223" t="str">
        <f t="shared" si="726"/>
        <v/>
      </c>
      <c r="G5223" t="str">
        <f t="shared" si="727"/>
        <v/>
      </c>
    </row>
    <row r="5224" spans="2:7">
      <c r="B5224" s="46"/>
      <c r="C5224" t="str">
        <f t="shared" si="723"/>
        <v/>
      </c>
      <c r="D5224" s="63" t="str">
        <f t="shared" si="724"/>
        <v/>
      </c>
      <c r="E5224" t="str">
        <f t="shared" si="725"/>
        <v/>
      </c>
      <c r="F5224" t="str">
        <f t="shared" si="726"/>
        <v/>
      </c>
      <c r="G5224">
        <f t="shared" si="727"/>
        <v>19.1949685534591</v>
      </c>
    </row>
    <row r="5225" spans="2:7">
      <c r="B5225" s="46"/>
      <c r="C5225" t="str">
        <f t="shared" si="723"/>
        <v/>
      </c>
      <c r="D5225" s="63" t="str">
        <f t="shared" si="724"/>
        <v/>
      </c>
      <c r="E5225" t="str">
        <f t="shared" si="725"/>
        <v/>
      </c>
      <c r="F5225" t="str">
        <f t="shared" si="726"/>
        <v/>
      </c>
      <c r="G5225">
        <f t="shared" si="727"/>
        <v>21.9606918238994</v>
      </c>
    </row>
    <row r="5226" spans="2:7">
      <c r="B5226" s="46"/>
      <c r="C5226" t="str">
        <f t="shared" si="723"/>
        <v/>
      </c>
      <c r="D5226" s="63" t="str">
        <f t="shared" si="724"/>
        <v/>
      </c>
      <c r="E5226" t="str">
        <f t="shared" si="725"/>
        <v/>
      </c>
      <c r="F5226" t="str">
        <f t="shared" si="726"/>
        <v/>
      </c>
      <c r="G5226">
        <f t="shared" si="727"/>
        <v>21.9606918238994</v>
      </c>
    </row>
    <row r="5227" spans="2:7">
      <c r="B5227" s="46"/>
      <c r="C5227" t="str">
        <f t="shared" si="723"/>
        <v/>
      </c>
      <c r="D5227" s="63" t="str">
        <f t="shared" si="724"/>
        <v/>
      </c>
      <c r="E5227" t="str">
        <f t="shared" si="725"/>
        <v/>
      </c>
      <c r="F5227" t="str">
        <f t="shared" si="726"/>
        <v/>
      </c>
      <c r="G5227">
        <f t="shared" si="727"/>
        <v>25.2222222222222</v>
      </c>
    </row>
    <row r="5228" spans="2:7">
      <c r="B5228" s="46"/>
      <c r="C5228" t="str">
        <f t="shared" si="723"/>
        <v/>
      </c>
      <c r="D5228" s="63" t="str">
        <f t="shared" si="724"/>
        <v/>
      </c>
      <c r="E5228">
        <f t="shared" si="725"/>
        <v>22.268137254902</v>
      </c>
      <c r="F5228" t="str">
        <f t="shared" si="726"/>
        <v/>
      </c>
      <c r="G5228" t="str">
        <f t="shared" si="727"/>
        <v/>
      </c>
    </row>
    <row r="5229" spans="2:7">
      <c r="B5229" s="46"/>
      <c r="C5229" t="str">
        <f t="shared" si="723"/>
        <v/>
      </c>
      <c r="D5229" s="63" t="str">
        <f t="shared" si="724"/>
        <v/>
      </c>
      <c r="E5229">
        <f t="shared" si="725"/>
        <v>22.268137254902</v>
      </c>
      <c r="F5229" t="str">
        <f t="shared" si="726"/>
        <v/>
      </c>
      <c r="G5229" t="str">
        <f t="shared" si="727"/>
        <v/>
      </c>
    </row>
    <row r="5230" spans="2:7">
      <c r="B5230" s="46"/>
      <c r="C5230" t="str">
        <f t="shared" si="723"/>
        <v/>
      </c>
      <c r="D5230" s="63" t="str">
        <f t="shared" si="724"/>
        <v/>
      </c>
      <c r="E5230">
        <f t="shared" si="725"/>
        <v>24.6995098039216</v>
      </c>
      <c r="F5230" t="str">
        <f t="shared" si="726"/>
        <v/>
      </c>
      <c r="G5230" t="str">
        <f t="shared" si="727"/>
        <v/>
      </c>
    </row>
    <row r="5231" spans="2:7">
      <c r="B5231" s="46"/>
      <c r="C5231" t="str">
        <f t="shared" si="723"/>
        <v/>
      </c>
      <c r="D5231" s="63" t="str">
        <f t="shared" si="724"/>
        <v/>
      </c>
      <c r="E5231">
        <f t="shared" si="725"/>
        <v>25.3416666666667</v>
      </c>
      <c r="F5231" t="str">
        <f t="shared" si="726"/>
        <v/>
      </c>
      <c r="G5231" t="str">
        <f t="shared" si="727"/>
        <v/>
      </c>
    </row>
    <row r="5232" spans="2:7">
      <c r="B5232" s="46"/>
      <c r="C5232">
        <f t="shared" si="723"/>
        <v>19.5358796296296</v>
      </c>
      <c r="D5232" s="63" t="str">
        <f t="shared" si="724"/>
        <v/>
      </c>
      <c r="E5232" t="str">
        <f t="shared" si="725"/>
        <v/>
      </c>
      <c r="F5232" t="str">
        <f t="shared" si="726"/>
        <v/>
      </c>
      <c r="G5232" t="str">
        <f t="shared" si="727"/>
        <v/>
      </c>
    </row>
    <row r="5233" ht="15.75" spans="2:7">
      <c r="B5233" s="46"/>
      <c r="C5233">
        <f t="shared" si="723"/>
        <v>20.1608796296296</v>
      </c>
      <c r="D5233" s="63" t="str">
        <f t="shared" si="724"/>
        <v/>
      </c>
      <c r="E5233" t="str">
        <f t="shared" si="725"/>
        <v/>
      </c>
      <c r="F5233" t="str">
        <f t="shared" si="726"/>
        <v/>
      </c>
      <c r="G5233" t="str">
        <f t="shared" si="727"/>
        <v/>
      </c>
    </row>
    <row r="5234" spans="2:7">
      <c r="B5234" s="74" t="s">
        <v>269</v>
      </c>
      <c r="C5234" s="75">
        <f>MAX(C5173:C5233)</f>
        <v>20.1608796296296</v>
      </c>
      <c r="D5234" s="75">
        <f>MAX(D5173:D5233)</f>
        <v>27.5704225352113</v>
      </c>
      <c r="E5234" s="75">
        <f>MAX(E5173:E5233)</f>
        <v>25.3416666666667</v>
      </c>
      <c r="F5234" s="75">
        <f>MAX(F5173:F5233)</f>
        <v>22.8781179138322</v>
      </c>
      <c r="G5234" s="75">
        <f>MAX(G5173:G5233)</f>
        <v>25.2222222222222</v>
      </c>
    </row>
    <row r="5235" spans="2:7">
      <c r="B5235" s="76" t="s">
        <v>270</v>
      </c>
      <c r="C5235" s="77">
        <v>1</v>
      </c>
      <c r="D5235" s="78">
        <v>2</v>
      </c>
      <c r="E5235">
        <v>3</v>
      </c>
      <c r="F5235">
        <v>4</v>
      </c>
      <c r="G5235">
        <v>5</v>
      </c>
    </row>
    <row r="5236" spans="2:7">
      <c r="B5236" s="79" t="s">
        <v>271</v>
      </c>
      <c r="C5236" s="72">
        <f>HLOOKUP(MIN(C5234:G5234),C5234:G5235,2,FALSE)</f>
        <v>1</v>
      </c>
      <c r="D5236" s="80"/>
    </row>
    <row r="5238" ht="15.75" spans="2:7">
      <c r="B5238" s="43" t="s">
        <v>367</v>
      </c>
      <c r="C5238" s="44"/>
      <c r="D5238" s="45"/>
    </row>
    <row r="5239" spans="2:7">
      <c r="B5239" s="46"/>
      <c r="C5239" s="61" t="s">
        <v>264</v>
      </c>
      <c r="D5239" s="61" t="s">
        <v>265</v>
      </c>
      <c r="E5239" s="62" t="s">
        <v>286</v>
      </c>
      <c r="F5239" s="62" t="s">
        <v>287</v>
      </c>
      <c r="G5239" s="62" t="s">
        <v>288</v>
      </c>
    </row>
    <row r="5240" spans="2:7">
      <c r="B5240" s="46"/>
      <c r="C5240">
        <f t="shared" ref="C5240:C5303" si="728">IF(J8=1,S8,"")</f>
        <v>0.700231481481482</v>
      </c>
      <c r="D5240" s="63" t="str">
        <f t="shared" ref="D5240:D5303" si="729">IF(J8=2,S8,"")</f>
        <v/>
      </c>
      <c r="E5240" t="str">
        <f t="shared" ref="E5240:E5303" si="730">IF(J8=3,S8,"")</f>
        <v/>
      </c>
      <c r="F5240" t="str">
        <f t="shared" ref="F5240:F5303" si="731">IF(J8=4,S8,"")</f>
        <v/>
      </c>
      <c r="G5240" t="str">
        <f t="shared" ref="G5240:G5303" si="732">IF(J8=5,S8,"")</f>
        <v/>
      </c>
    </row>
    <row r="5241" spans="2:7">
      <c r="B5241" s="46"/>
      <c r="C5241" t="str">
        <f t="shared" si="728"/>
        <v/>
      </c>
      <c r="D5241" s="63">
        <f t="shared" si="729"/>
        <v>0.734154929577465</v>
      </c>
      <c r="E5241" t="str">
        <f t="shared" si="730"/>
        <v/>
      </c>
      <c r="F5241" t="str">
        <f t="shared" si="731"/>
        <v/>
      </c>
      <c r="G5241" t="str">
        <f t="shared" si="732"/>
        <v/>
      </c>
    </row>
    <row r="5242" spans="2:7">
      <c r="B5242" s="46"/>
      <c r="C5242" t="str">
        <f t="shared" si="728"/>
        <v/>
      </c>
      <c r="D5242" s="63" t="str">
        <f t="shared" si="729"/>
        <v/>
      </c>
      <c r="E5242">
        <f t="shared" si="730"/>
        <v>1.83823529411765</v>
      </c>
      <c r="F5242" t="str">
        <f t="shared" si="731"/>
        <v/>
      </c>
      <c r="G5242" t="str">
        <f t="shared" si="732"/>
        <v/>
      </c>
    </row>
    <row r="5243" spans="2:7">
      <c r="B5243" s="46"/>
      <c r="C5243" t="str">
        <f t="shared" si="728"/>
        <v/>
      </c>
      <c r="D5243" s="63" t="str">
        <f t="shared" si="729"/>
        <v/>
      </c>
      <c r="E5243" t="str">
        <f t="shared" si="730"/>
        <v/>
      </c>
      <c r="F5243">
        <f t="shared" si="731"/>
        <v>4.28571428571429</v>
      </c>
      <c r="G5243" t="str">
        <f t="shared" si="732"/>
        <v/>
      </c>
    </row>
    <row r="5244" spans="2:7">
      <c r="B5244" s="46"/>
      <c r="C5244" t="str">
        <f t="shared" si="728"/>
        <v/>
      </c>
      <c r="D5244" s="63" t="str">
        <f t="shared" si="729"/>
        <v/>
      </c>
      <c r="E5244" t="str">
        <f t="shared" si="730"/>
        <v/>
      </c>
      <c r="F5244" t="str">
        <f t="shared" si="731"/>
        <v/>
      </c>
      <c r="G5244">
        <f t="shared" si="732"/>
        <v>3.43396226415094</v>
      </c>
    </row>
    <row r="5245" spans="2:7">
      <c r="B5245" s="46"/>
      <c r="C5245" t="str">
        <f t="shared" si="728"/>
        <v/>
      </c>
      <c r="D5245" s="63" t="str">
        <f t="shared" si="729"/>
        <v/>
      </c>
      <c r="E5245">
        <f t="shared" si="730"/>
        <v>14.5833333333333</v>
      </c>
      <c r="F5245" t="str">
        <f t="shared" si="731"/>
        <v/>
      </c>
      <c r="G5245" t="str">
        <f t="shared" si="732"/>
        <v/>
      </c>
    </row>
    <row r="5246" spans="2:7">
      <c r="B5246" s="46"/>
      <c r="C5246" t="str">
        <f t="shared" si="728"/>
        <v/>
      </c>
      <c r="D5246" s="63" t="str">
        <f t="shared" si="729"/>
        <v/>
      </c>
      <c r="E5246" t="str">
        <f t="shared" si="730"/>
        <v/>
      </c>
      <c r="F5246">
        <f t="shared" si="731"/>
        <v>6.42857142857143</v>
      </c>
      <c r="G5246" t="str">
        <f t="shared" si="732"/>
        <v/>
      </c>
    </row>
    <row r="5247" spans="2:7">
      <c r="B5247" s="46"/>
      <c r="C5247" t="str">
        <f t="shared" si="728"/>
        <v/>
      </c>
      <c r="D5247" s="63" t="str">
        <f t="shared" si="729"/>
        <v/>
      </c>
      <c r="E5247" t="str">
        <f t="shared" si="730"/>
        <v/>
      </c>
      <c r="F5247" t="str">
        <f t="shared" si="731"/>
        <v/>
      </c>
      <c r="G5247">
        <f t="shared" si="732"/>
        <v>3.84591194968553</v>
      </c>
    </row>
    <row r="5248" spans="2:7">
      <c r="B5248" s="46"/>
      <c r="C5248">
        <f t="shared" si="728"/>
        <v>0.844907407407407</v>
      </c>
      <c r="D5248" s="63" t="str">
        <f t="shared" si="729"/>
        <v/>
      </c>
      <c r="E5248" t="str">
        <f t="shared" si="730"/>
        <v/>
      </c>
      <c r="F5248" t="str">
        <f t="shared" si="731"/>
        <v/>
      </c>
      <c r="G5248" t="str">
        <f t="shared" si="732"/>
        <v/>
      </c>
    </row>
    <row r="5249" spans="2:7">
      <c r="B5249" s="46"/>
      <c r="C5249">
        <f t="shared" si="728"/>
        <v>6.79803240740741</v>
      </c>
      <c r="D5249" s="63" t="str">
        <f t="shared" si="729"/>
        <v/>
      </c>
      <c r="E5249" t="str">
        <f t="shared" si="730"/>
        <v/>
      </c>
      <c r="F5249" t="str">
        <f t="shared" si="731"/>
        <v/>
      </c>
      <c r="G5249" t="str">
        <f t="shared" si="732"/>
        <v/>
      </c>
    </row>
    <row r="5250" spans="2:7">
      <c r="B5250" s="46"/>
      <c r="C5250">
        <f t="shared" si="728"/>
        <v>6.79803240740741</v>
      </c>
      <c r="D5250" s="63" t="str">
        <f t="shared" si="729"/>
        <v/>
      </c>
      <c r="E5250" t="str">
        <f t="shared" si="730"/>
        <v/>
      </c>
      <c r="F5250" t="str">
        <f t="shared" si="731"/>
        <v/>
      </c>
      <c r="G5250" t="str">
        <f t="shared" si="732"/>
        <v/>
      </c>
    </row>
    <row r="5251" spans="2:7">
      <c r="B5251" s="46"/>
      <c r="C5251">
        <f t="shared" si="728"/>
        <v>7.52719907407408</v>
      </c>
      <c r="D5251" s="63" t="str">
        <f t="shared" si="729"/>
        <v/>
      </c>
      <c r="E5251" t="str">
        <f t="shared" si="730"/>
        <v/>
      </c>
      <c r="F5251" t="str">
        <f t="shared" si="731"/>
        <v/>
      </c>
      <c r="G5251" t="str">
        <f t="shared" si="732"/>
        <v/>
      </c>
    </row>
    <row r="5252" spans="2:7">
      <c r="B5252" s="46"/>
      <c r="C5252" t="str">
        <f t="shared" si="728"/>
        <v/>
      </c>
      <c r="D5252" s="63">
        <f t="shared" si="729"/>
        <v>2.7881455399061</v>
      </c>
      <c r="E5252" t="str">
        <f t="shared" si="730"/>
        <v/>
      </c>
      <c r="F5252" t="str">
        <f t="shared" si="731"/>
        <v/>
      </c>
      <c r="G5252" t="str">
        <f t="shared" si="732"/>
        <v/>
      </c>
    </row>
    <row r="5253" spans="2:7">
      <c r="B5253" s="46"/>
      <c r="C5253" t="str">
        <f t="shared" si="728"/>
        <v/>
      </c>
      <c r="D5253" s="63">
        <f t="shared" si="729"/>
        <v>4.47535211267606</v>
      </c>
      <c r="E5253" t="str">
        <f t="shared" si="730"/>
        <v/>
      </c>
      <c r="F5253" t="str">
        <f t="shared" si="731"/>
        <v/>
      </c>
      <c r="G5253" t="str">
        <f t="shared" si="732"/>
        <v/>
      </c>
    </row>
    <row r="5254" spans="2:7">
      <c r="B5254" s="46"/>
      <c r="C5254" t="str">
        <f t="shared" si="728"/>
        <v/>
      </c>
      <c r="D5254" s="63">
        <f t="shared" si="729"/>
        <v>6.10680751173709</v>
      </c>
      <c r="E5254" t="str">
        <f t="shared" si="730"/>
        <v/>
      </c>
      <c r="F5254" t="str">
        <f t="shared" si="731"/>
        <v/>
      </c>
      <c r="G5254" t="str">
        <f t="shared" si="732"/>
        <v/>
      </c>
    </row>
    <row r="5255" spans="2:7">
      <c r="B5255" s="46"/>
      <c r="C5255" t="str">
        <f t="shared" si="728"/>
        <v/>
      </c>
      <c r="D5255" s="63">
        <f t="shared" si="729"/>
        <v>8.50821596244131</v>
      </c>
      <c r="E5255" t="str">
        <f t="shared" si="730"/>
        <v/>
      </c>
      <c r="F5255" t="str">
        <f t="shared" si="731"/>
        <v/>
      </c>
      <c r="G5255" t="str">
        <f t="shared" si="732"/>
        <v/>
      </c>
    </row>
    <row r="5256" spans="2:7">
      <c r="B5256" s="46"/>
      <c r="C5256" t="str">
        <f t="shared" si="728"/>
        <v/>
      </c>
      <c r="D5256" s="63">
        <f t="shared" si="729"/>
        <v>10.268779342723</v>
      </c>
      <c r="E5256" t="str">
        <f t="shared" si="730"/>
        <v/>
      </c>
      <c r="F5256" t="str">
        <f t="shared" si="731"/>
        <v/>
      </c>
      <c r="G5256" t="str">
        <f t="shared" si="732"/>
        <v/>
      </c>
    </row>
    <row r="5257" spans="2:7">
      <c r="B5257" s="46"/>
      <c r="C5257" t="str">
        <f t="shared" si="728"/>
        <v/>
      </c>
      <c r="D5257" s="63" t="str">
        <f t="shared" si="729"/>
        <v/>
      </c>
      <c r="E5257" t="str">
        <f t="shared" si="730"/>
        <v/>
      </c>
      <c r="F5257" t="str">
        <f t="shared" si="731"/>
        <v/>
      </c>
      <c r="G5257">
        <f t="shared" si="732"/>
        <v>7.67610062893082</v>
      </c>
    </row>
    <row r="5258" spans="2:7">
      <c r="B5258" s="46"/>
      <c r="C5258" t="str">
        <f t="shared" si="728"/>
        <v/>
      </c>
      <c r="D5258" s="63" t="str">
        <f t="shared" si="729"/>
        <v/>
      </c>
      <c r="E5258" t="str">
        <f t="shared" si="730"/>
        <v/>
      </c>
      <c r="F5258" t="str">
        <f t="shared" si="731"/>
        <v/>
      </c>
      <c r="G5258">
        <f t="shared" si="732"/>
        <v>10.3836477987421</v>
      </c>
    </row>
    <row r="5259" spans="2:7">
      <c r="B5259" s="46"/>
      <c r="C5259" t="str">
        <f t="shared" si="728"/>
        <v/>
      </c>
      <c r="D5259" s="63" t="str">
        <f t="shared" si="729"/>
        <v/>
      </c>
      <c r="E5259" t="str">
        <f t="shared" si="730"/>
        <v/>
      </c>
      <c r="F5259" t="str">
        <f t="shared" si="731"/>
        <v/>
      </c>
      <c r="G5259">
        <f t="shared" si="732"/>
        <v>13.2138364779874</v>
      </c>
    </row>
    <row r="5260" spans="2:7">
      <c r="B5260" s="46"/>
      <c r="C5260" t="str">
        <f t="shared" si="728"/>
        <v/>
      </c>
      <c r="D5260" s="63" t="str">
        <f t="shared" si="729"/>
        <v/>
      </c>
      <c r="E5260" t="str">
        <f t="shared" si="730"/>
        <v/>
      </c>
      <c r="F5260" t="str">
        <f t="shared" si="731"/>
        <v/>
      </c>
      <c r="G5260">
        <f t="shared" si="732"/>
        <v>14.7243186582809</v>
      </c>
    </row>
    <row r="5261" spans="2:7">
      <c r="B5261" s="46"/>
      <c r="C5261" t="str">
        <f t="shared" si="728"/>
        <v/>
      </c>
      <c r="D5261" s="63" t="str">
        <f t="shared" si="729"/>
        <v/>
      </c>
      <c r="E5261" t="str">
        <f t="shared" si="730"/>
        <v/>
      </c>
      <c r="F5261">
        <f t="shared" si="731"/>
        <v>9.17630385487529</v>
      </c>
      <c r="G5261" t="str">
        <f t="shared" si="732"/>
        <v/>
      </c>
    </row>
    <row r="5262" spans="2:7">
      <c r="B5262" s="46"/>
      <c r="C5262" t="str">
        <f t="shared" si="728"/>
        <v/>
      </c>
      <c r="D5262" s="63" t="str">
        <f t="shared" si="729"/>
        <v/>
      </c>
      <c r="E5262" t="str">
        <f t="shared" si="730"/>
        <v/>
      </c>
      <c r="F5262">
        <f t="shared" si="731"/>
        <v>12.328231292517</v>
      </c>
      <c r="G5262" t="str">
        <f t="shared" si="732"/>
        <v/>
      </c>
    </row>
    <row r="5263" spans="2:7">
      <c r="B5263" s="46"/>
      <c r="C5263" t="str">
        <f t="shared" si="728"/>
        <v/>
      </c>
      <c r="D5263" s="63" t="str">
        <f t="shared" si="729"/>
        <v/>
      </c>
      <c r="E5263" t="str">
        <f t="shared" si="730"/>
        <v/>
      </c>
      <c r="F5263">
        <f t="shared" si="731"/>
        <v>15.0017006802721</v>
      </c>
      <c r="G5263" t="str">
        <f t="shared" si="732"/>
        <v/>
      </c>
    </row>
    <row r="5264" spans="2:7">
      <c r="B5264" s="46"/>
      <c r="C5264">
        <f t="shared" si="728"/>
        <v>10.328125</v>
      </c>
      <c r="D5264" s="63" t="str">
        <f t="shared" si="729"/>
        <v/>
      </c>
      <c r="E5264" t="str">
        <f t="shared" si="730"/>
        <v/>
      </c>
      <c r="F5264" t="str">
        <f t="shared" si="731"/>
        <v/>
      </c>
      <c r="G5264" t="str">
        <f t="shared" si="732"/>
        <v/>
      </c>
    </row>
    <row r="5265" spans="2:7">
      <c r="B5265" s="46"/>
      <c r="C5265">
        <f t="shared" si="728"/>
        <v>14.5908564814815</v>
      </c>
      <c r="D5265" s="63" t="str">
        <f t="shared" si="729"/>
        <v/>
      </c>
      <c r="E5265" t="str">
        <f t="shared" si="730"/>
        <v/>
      </c>
      <c r="F5265" t="str">
        <f t="shared" si="731"/>
        <v/>
      </c>
      <c r="G5265" t="str">
        <f t="shared" si="732"/>
        <v/>
      </c>
    </row>
    <row r="5266" spans="2:7">
      <c r="B5266" s="46"/>
      <c r="C5266">
        <f t="shared" si="728"/>
        <v>14.9409722222222</v>
      </c>
      <c r="D5266" s="63" t="str">
        <f t="shared" si="729"/>
        <v/>
      </c>
      <c r="E5266" t="str">
        <f t="shared" si="730"/>
        <v/>
      </c>
      <c r="F5266" t="str">
        <f t="shared" si="731"/>
        <v/>
      </c>
      <c r="G5266" t="str">
        <f t="shared" si="732"/>
        <v/>
      </c>
    </row>
    <row r="5267" spans="2:7">
      <c r="B5267" s="46"/>
      <c r="C5267">
        <f t="shared" si="728"/>
        <v>19.2465277777778</v>
      </c>
      <c r="D5267" s="63" t="str">
        <f t="shared" si="729"/>
        <v/>
      </c>
      <c r="E5267" t="str">
        <f t="shared" si="730"/>
        <v/>
      </c>
      <c r="F5267" t="str">
        <f t="shared" si="731"/>
        <v/>
      </c>
      <c r="G5267" t="str">
        <f t="shared" si="732"/>
        <v/>
      </c>
    </row>
    <row r="5268" spans="2:7">
      <c r="B5268" s="46"/>
      <c r="C5268" t="str">
        <f t="shared" si="728"/>
        <v/>
      </c>
      <c r="D5268" s="63">
        <f t="shared" si="729"/>
        <v>15.0340375586854</v>
      </c>
      <c r="E5268" t="str">
        <f t="shared" si="730"/>
        <v/>
      </c>
      <c r="F5268" t="str">
        <f t="shared" si="731"/>
        <v/>
      </c>
      <c r="G5268" t="str">
        <f t="shared" si="732"/>
        <v/>
      </c>
    </row>
    <row r="5269" spans="2:7">
      <c r="B5269" s="46"/>
      <c r="C5269" t="str">
        <f t="shared" si="728"/>
        <v/>
      </c>
      <c r="D5269" s="63">
        <f t="shared" si="729"/>
        <v>15.0340375586854</v>
      </c>
      <c r="E5269" t="str">
        <f t="shared" si="730"/>
        <v/>
      </c>
      <c r="F5269" t="str">
        <f t="shared" si="731"/>
        <v/>
      </c>
      <c r="G5269" t="str">
        <f t="shared" si="732"/>
        <v/>
      </c>
    </row>
    <row r="5270" spans="2:7">
      <c r="B5270" s="46"/>
      <c r="C5270" t="str">
        <f t="shared" si="728"/>
        <v/>
      </c>
      <c r="D5270" s="63">
        <f t="shared" si="729"/>
        <v>16.1343896713615</v>
      </c>
      <c r="E5270" t="str">
        <f t="shared" si="730"/>
        <v/>
      </c>
      <c r="F5270" t="str">
        <f t="shared" si="731"/>
        <v/>
      </c>
      <c r="G5270" t="str">
        <f t="shared" si="732"/>
        <v/>
      </c>
    </row>
    <row r="5271" spans="2:7">
      <c r="B5271" s="46"/>
      <c r="C5271" t="str">
        <f t="shared" si="728"/>
        <v/>
      </c>
      <c r="D5271" s="63">
        <f t="shared" si="729"/>
        <v>16.8620892018779</v>
      </c>
      <c r="E5271" t="str">
        <f t="shared" si="730"/>
        <v/>
      </c>
      <c r="F5271" t="str">
        <f t="shared" si="731"/>
        <v/>
      </c>
      <c r="G5271" t="str">
        <f t="shared" si="732"/>
        <v/>
      </c>
    </row>
    <row r="5272" spans="2:7">
      <c r="B5272" s="46"/>
      <c r="C5272" t="str">
        <f t="shared" si="728"/>
        <v/>
      </c>
      <c r="D5272" s="63" t="str">
        <f t="shared" si="729"/>
        <v/>
      </c>
      <c r="E5272">
        <f t="shared" si="730"/>
        <v>16.1245098039216</v>
      </c>
      <c r="F5272" t="str">
        <f t="shared" si="731"/>
        <v/>
      </c>
      <c r="G5272" t="str">
        <f t="shared" si="732"/>
        <v/>
      </c>
    </row>
    <row r="5273" spans="2:7">
      <c r="B5273" s="46"/>
      <c r="C5273" t="str">
        <f t="shared" si="728"/>
        <v/>
      </c>
      <c r="D5273" s="63" t="str">
        <f t="shared" si="729"/>
        <v/>
      </c>
      <c r="E5273">
        <f t="shared" si="730"/>
        <v>17.9225490196078</v>
      </c>
      <c r="F5273" t="str">
        <f t="shared" si="731"/>
        <v/>
      </c>
      <c r="G5273" t="str">
        <f t="shared" si="732"/>
        <v/>
      </c>
    </row>
    <row r="5274" spans="2:7">
      <c r="B5274" s="46"/>
      <c r="C5274" t="str">
        <f t="shared" si="728"/>
        <v/>
      </c>
      <c r="D5274" s="63" t="str">
        <f t="shared" si="729"/>
        <v/>
      </c>
      <c r="E5274">
        <f t="shared" si="730"/>
        <v>18.7166666666667</v>
      </c>
      <c r="F5274" t="str">
        <f t="shared" si="731"/>
        <v/>
      </c>
      <c r="G5274" t="str">
        <f t="shared" si="732"/>
        <v/>
      </c>
    </row>
    <row r="5275" spans="2:7">
      <c r="B5275" s="46"/>
      <c r="C5275" t="str">
        <f t="shared" si="728"/>
        <v/>
      </c>
      <c r="D5275" s="63" t="str">
        <f t="shared" si="729"/>
        <v/>
      </c>
      <c r="E5275">
        <f t="shared" si="730"/>
        <v>18.9539215686275</v>
      </c>
      <c r="F5275" t="str">
        <f t="shared" si="731"/>
        <v/>
      </c>
      <c r="G5275" t="str">
        <f t="shared" si="732"/>
        <v/>
      </c>
    </row>
    <row r="5276" spans="2:7">
      <c r="B5276" s="46"/>
      <c r="C5276" t="str">
        <f t="shared" si="728"/>
        <v/>
      </c>
      <c r="D5276" s="63" t="str">
        <f t="shared" si="729"/>
        <v/>
      </c>
      <c r="E5276" t="str">
        <f t="shared" si="730"/>
        <v/>
      </c>
      <c r="F5276" t="str">
        <f t="shared" si="731"/>
        <v/>
      </c>
      <c r="G5276">
        <f t="shared" si="732"/>
        <v>15.4449685534591</v>
      </c>
    </row>
    <row r="5277" spans="2:7">
      <c r="B5277" s="46"/>
      <c r="C5277" t="str">
        <f t="shared" si="728"/>
        <v/>
      </c>
      <c r="D5277" s="63" t="str">
        <f t="shared" si="729"/>
        <v/>
      </c>
      <c r="E5277" t="str">
        <f t="shared" si="730"/>
        <v/>
      </c>
      <c r="F5277" t="str">
        <f t="shared" si="731"/>
        <v/>
      </c>
      <c r="G5277">
        <f t="shared" si="732"/>
        <v>16.4669811320755</v>
      </c>
    </row>
    <row r="5278" spans="2:7">
      <c r="B5278" s="46"/>
      <c r="C5278" t="str">
        <f t="shared" si="728"/>
        <v/>
      </c>
      <c r="D5278" s="63" t="str">
        <f t="shared" si="729"/>
        <v/>
      </c>
      <c r="E5278" t="str">
        <f t="shared" si="730"/>
        <v/>
      </c>
      <c r="F5278" t="str">
        <f t="shared" si="731"/>
        <v/>
      </c>
      <c r="G5278">
        <f t="shared" si="732"/>
        <v>17.7877358490566</v>
      </c>
    </row>
    <row r="5279" spans="2:7">
      <c r="B5279" s="46"/>
      <c r="C5279" t="str">
        <f t="shared" si="728"/>
        <v/>
      </c>
      <c r="D5279" s="63" t="str">
        <f t="shared" si="729"/>
        <v/>
      </c>
      <c r="E5279" t="str">
        <f t="shared" si="730"/>
        <v/>
      </c>
      <c r="F5279" t="str">
        <f t="shared" si="731"/>
        <v/>
      </c>
      <c r="G5279">
        <f t="shared" si="732"/>
        <v>18.377358490566</v>
      </c>
    </row>
    <row r="5280" spans="2:7">
      <c r="B5280" s="46"/>
      <c r="C5280" t="str">
        <f t="shared" si="728"/>
        <v/>
      </c>
      <c r="D5280" s="63" t="str">
        <f t="shared" si="729"/>
        <v/>
      </c>
      <c r="E5280" t="str">
        <f t="shared" si="730"/>
        <v/>
      </c>
      <c r="F5280">
        <f t="shared" si="731"/>
        <v>15.4234693877551</v>
      </c>
      <c r="G5280" t="str">
        <f t="shared" si="732"/>
        <v/>
      </c>
    </row>
    <row r="5281" spans="2:7">
      <c r="B5281" s="46"/>
      <c r="C5281" t="str">
        <f t="shared" si="728"/>
        <v/>
      </c>
      <c r="D5281" s="63" t="str">
        <f t="shared" si="729"/>
        <v/>
      </c>
      <c r="E5281" t="str">
        <f t="shared" si="730"/>
        <v/>
      </c>
      <c r="F5281">
        <f t="shared" si="731"/>
        <v>16.7698412698413</v>
      </c>
      <c r="G5281" t="str">
        <f t="shared" si="732"/>
        <v/>
      </c>
    </row>
    <row r="5282" spans="2:7">
      <c r="B5282" s="46"/>
      <c r="C5282" t="str">
        <f t="shared" si="728"/>
        <v/>
      </c>
      <c r="D5282" s="63" t="str">
        <f t="shared" si="729"/>
        <v/>
      </c>
      <c r="E5282" t="str">
        <f t="shared" si="730"/>
        <v/>
      </c>
      <c r="F5282">
        <f t="shared" si="731"/>
        <v>18.109410430839</v>
      </c>
      <c r="G5282" t="str">
        <f t="shared" si="732"/>
        <v/>
      </c>
    </row>
    <row r="5283" spans="2:7">
      <c r="B5283" s="46"/>
      <c r="C5283" t="str">
        <f t="shared" si="728"/>
        <v/>
      </c>
      <c r="D5283" s="63" t="str">
        <f t="shared" si="729"/>
        <v/>
      </c>
      <c r="E5283" t="str">
        <f t="shared" si="730"/>
        <v/>
      </c>
      <c r="F5283">
        <f t="shared" si="731"/>
        <v>20.1581632653061</v>
      </c>
      <c r="G5283" t="str">
        <f t="shared" si="732"/>
        <v/>
      </c>
    </row>
    <row r="5284" spans="2:7">
      <c r="B5284" s="46"/>
      <c r="C5284" t="str">
        <f t="shared" si="728"/>
        <v/>
      </c>
      <c r="D5284" s="63" t="str">
        <f t="shared" si="729"/>
        <v/>
      </c>
      <c r="E5284" t="str">
        <f t="shared" si="730"/>
        <v/>
      </c>
      <c r="F5284">
        <f t="shared" si="731"/>
        <v>22.1581632653061</v>
      </c>
      <c r="G5284" t="str">
        <f t="shared" si="732"/>
        <v/>
      </c>
    </row>
    <row r="5285" spans="2:7">
      <c r="B5285" s="46"/>
      <c r="C5285" t="str">
        <f t="shared" si="728"/>
        <v/>
      </c>
      <c r="D5285" s="63" t="str">
        <f t="shared" si="729"/>
        <v/>
      </c>
      <c r="E5285" t="str">
        <f t="shared" si="730"/>
        <v/>
      </c>
      <c r="F5285">
        <f t="shared" si="731"/>
        <v>22.8781179138322</v>
      </c>
      <c r="G5285" t="str">
        <f t="shared" si="732"/>
        <v/>
      </c>
    </row>
    <row r="5286" spans="2:7">
      <c r="B5286" s="46"/>
      <c r="C5286" t="str">
        <f t="shared" si="728"/>
        <v/>
      </c>
      <c r="D5286" s="63">
        <f t="shared" si="729"/>
        <v>17.3022300469484</v>
      </c>
      <c r="E5286" t="str">
        <f t="shared" si="730"/>
        <v/>
      </c>
      <c r="F5286" t="str">
        <f t="shared" si="731"/>
        <v/>
      </c>
      <c r="G5286" t="str">
        <f t="shared" si="732"/>
        <v/>
      </c>
    </row>
    <row r="5287" spans="2:7">
      <c r="B5287" s="46"/>
      <c r="C5287" t="str">
        <f t="shared" si="728"/>
        <v/>
      </c>
      <c r="D5287" s="63">
        <f t="shared" si="729"/>
        <v>22.837441314554</v>
      </c>
      <c r="E5287" t="str">
        <f t="shared" si="730"/>
        <v/>
      </c>
      <c r="F5287" t="str">
        <f t="shared" si="731"/>
        <v/>
      </c>
      <c r="G5287" t="str">
        <f t="shared" si="732"/>
        <v/>
      </c>
    </row>
    <row r="5288" spans="2:7">
      <c r="B5288" s="46"/>
      <c r="C5288" t="str">
        <f t="shared" si="728"/>
        <v/>
      </c>
      <c r="D5288" s="63">
        <f t="shared" si="729"/>
        <v>23.7089201877934</v>
      </c>
      <c r="E5288" t="str">
        <f t="shared" si="730"/>
        <v/>
      </c>
      <c r="F5288" t="str">
        <f t="shared" si="731"/>
        <v/>
      </c>
      <c r="G5288" t="str">
        <f t="shared" si="732"/>
        <v/>
      </c>
    </row>
    <row r="5289" spans="2:7">
      <c r="B5289" s="46"/>
      <c r="C5289" t="str">
        <f t="shared" si="728"/>
        <v/>
      </c>
      <c r="D5289" s="63">
        <f t="shared" si="729"/>
        <v>24.3427230046948</v>
      </c>
      <c r="E5289" t="str">
        <f t="shared" si="730"/>
        <v/>
      </c>
      <c r="F5289" t="str">
        <f t="shared" si="731"/>
        <v/>
      </c>
      <c r="G5289" t="str">
        <f t="shared" si="732"/>
        <v/>
      </c>
    </row>
    <row r="5290" spans="2:7">
      <c r="B5290" s="46"/>
      <c r="C5290" t="str">
        <f t="shared" si="728"/>
        <v/>
      </c>
      <c r="D5290" s="63">
        <f t="shared" si="729"/>
        <v>27.5704225352113</v>
      </c>
      <c r="E5290" t="str">
        <f t="shared" si="730"/>
        <v/>
      </c>
      <c r="F5290" t="str">
        <f t="shared" si="731"/>
        <v/>
      </c>
      <c r="G5290" t="str">
        <f t="shared" si="732"/>
        <v/>
      </c>
    </row>
    <row r="5291" spans="2:7">
      <c r="B5291" s="46"/>
      <c r="C5291" t="str">
        <f t="shared" si="728"/>
        <v/>
      </c>
      <c r="D5291" s="63" t="str">
        <f t="shared" si="729"/>
        <v/>
      </c>
      <c r="E5291" t="str">
        <f t="shared" si="730"/>
        <v/>
      </c>
      <c r="F5291" t="str">
        <f t="shared" si="731"/>
        <v/>
      </c>
      <c r="G5291">
        <f t="shared" si="732"/>
        <v>19.1949685534591</v>
      </c>
    </row>
    <row r="5292" spans="2:7">
      <c r="B5292" s="46"/>
      <c r="C5292" t="str">
        <f t="shared" si="728"/>
        <v/>
      </c>
      <c r="D5292" s="63" t="str">
        <f t="shared" si="729"/>
        <v/>
      </c>
      <c r="E5292" t="str">
        <f t="shared" si="730"/>
        <v/>
      </c>
      <c r="F5292" t="str">
        <f t="shared" si="731"/>
        <v/>
      </c>
      <c r="G5292">
        <f t="shared" si="732"/>
        <v>21.9606918238994</v>
      </c>
    </row>
    <row r="5293" spans="2:7">
      <c r="B5293" s="46"/>
      <c r="C5293" t="str">
        <f t="shared" si="728"/>
        <v/>
      </c>
      <c r="D5293" s="63" t="str">
        <f t="shared" si="729"/>
        <v/>
      </c>
      <c r="E5293" t="str">
        <f t="shared" si="730"/>
        <v/>
      </c>
      <c r="F5293" t="str">
        <f t="shared" si="731"/>
        <v/>
      </c>
      <c r="G5293">
        <f t="shared" si="732"/>
        <v>21.9606918238994</v>
      </c>
    </row>
    <row r="5294" spans="2:7">
      <c r="B5294" s="46"/>
      <c r="C5294" t="str">
        <f t="shared" si="728"/>
        <v/>
      </c>
      <c r="D5294" s="63" t="str">
        <f t="shared" si="729"/>
        <v/>
      </c>
      <c r="E5294" t="str">
        <f t="shared" si="730"/>
        <v/>
      </c>
      <c r="F5294" t="str">
        <f t="shared" si="731"/>
        <v/>
      </c>
      <c r="G5294">
        <f t="shared" si="732"/>
        <v>25.2222222222222</v>
      </c>
    </row>
    <row r="5295" spans="2:7">
      <c r="B5295" s="46"/>
      <c r="C5295" t="str">
        <f t="shared" si="728"/>
        <v/>
      </c>
      <c r="D5295" s="63" t="str">
        <f t="shared" si="729"/>
        <v/>
      </c>
      <c r="E5295">
        <f t="shared" si="730"/>
        <v>22.268137254902</v>
      </c>
      <c r="F5295" t="str">
        <f t="shared" si="731"/>
        <v/>
      </c>
      <c r="G5295" t="str">
        <f t="shared" si="732"/>
        <v/>
      </c>
    </row>
    <row r="5296" spans="2:7">
      <c r="B5296" s="46"/>
      <c r="C5296" t="str">
        <f t="shared" si="728"/>
        <v/>
      </c>
      <c r="D5296" s="63" t="str">
        <f t="shared" si="729"/>
        <v/>
      </c>
      <c r="E5296">
        <f t="shared" si="730"/>
        <v>22.268137254902</v>
      </c>
      <c r="F5296" t="str">
        <f t="shared" si="731"/>
        <v/>
      </c>
      <c r="G5296" t="str">
        <f t="shared" si="732"/>
        <v/>
      </c>
    </row>
    <row r="5297" spans="2:7">
      <c r="B5297" s="46"/>
      <c r="C5297" t="str">
        <f t="shared" si="728"/>
        <v/>
      </c>
      <c r="D5297" s="63" t="str">
        <f t="shared" si="729"/>
        <v/>
      </c>
      <c r="E5297">
        <f t="shared" si="730"/>
        <v>24.6995098039216</v>
      </c>
      <c r="F5297" t="str">
        <f t="shared" si="731"/>
        <v/>
      </c>
      <c r="G5297" t="str">
        <f t="shared" si="732"/>
        <v/>
      </c>
    </row>
    <row r="5298" spans="2:7">
      <c r="B5298" s="46"/>
      <c r="C5298" t="str">
        <f t="shared" si="728"/>
        <v/>
      </c>
      <c r="D5298" s="63" t="str">
        <f t="shared" si="729"/>
        <v/>
      </c>
      <c r="E5298">
        <f t="shared" si="730"/>
        <v>25.3416666666667</v>
      </c>
      <c r="F5298" t="str">
        <f t="shared" si="731"/>
        <v/>
      </c>
      <c r="G5298" t="str">
        <f t="shared" si="732"/>
        <v/>
      </c>
    </row>
    <row r="5299" spans="2:7">
      <c r="B5299" s="46"/>
      <c r="C5299">
        <f t="shared" si="728"/>
        <v>19.5358796296296</v>
      </c>
      <c r="D5299" s="63" t="str">
        <f t="shared" si="729"/>
        <v/>
      </c>
      <c r="E5299" t="str">
        <f t="shared" si="730"/>
        <v/>
      </c>
      <c r="F5299" t="str">
        <f t="shared" si="731"/>
        <v/>
      </c>
      <c r="G5299" t="str">
        <f t="shared" si="732"/>
        <v/>
      </c>
    </row>
    <row r="5300" spans="2:7">
      <c r="B5300" s="46"/>
      <c r="C5300">
        <f t="shared" si="728"/>
        <v>20.1608796296296</v>
      </c>
      <c r="D5300" s="63" t="str">
        <f t="shared" si="729"/>
        <v/>
      </c>
      <c r="E5300" t="str">
        <f t="shared" si="730"/>
        <v/>
      </c>
      <c r="F5300" t="str">
        <f t="shared" si="731"/>
        <v/>
      </c>
      <c r="G5300" t="str">
        <f t="shared" si="732"/>
        <v/>
      </c>
    </row>
    <row r="5301" spans="2:7">
      <c r="B5301" s="46"/>
      <c r="C5301">
        <f t="shared" si="728"/>
        <v>21.7233796296296</v>
      </c>
      <c r="D5301" s="63" t="str">
        <f t="shared" si="729"/>
        <v/>
      </c>
      <c r="E5301" t="str">
        <f t="shared" si="730"/>
        <v/>
      </c>
      <c r="F5301" t="str">
        <f t="shared" si="731"/>
        <v/>
      </c>
      <c r="G5301" t="str">
        <f t="shared" si="732"/>
        <v/>
      </c>
    </row>
    <row r="5302" spans="2:7">
      <c r="B5302" s="46"/>
      <c r="C5302">
        <f t="shared" si="728"/>
        <v>22.7054398148148</v>
      </c>
      <c r="D5302" s="63" t="str">
        <f t="shared" si="729"/>
        <v/>
      </c>
      <c r="E5302" t="str">
        <f t="shared" si="730"/>
        <v/>
      </c>
      <c r="F5302" t="str">
        <f t="shared" si="731"/>
        <v/>
      </c>
      <c r="G5302" t="str">
        <f t="shared" si="732"/>
        <v/>
      </c>
    </row>
    <row r="5303" spans="2:7">
      <c r="B5303" s="46"/>
      <c r="C5303">
        <f t="shared" si="728"/>
        <v>22.7054398148148</v>
      </c>
      <c r="D5303" s="63" t="str">
        <f t="shared" si="729"/>
        <v/>
      </c>
      <c r="E5303" t="str">
        <f t="shared" si="730"/>
        <v/>
      </c>
      <c r="F5303" t="str">
        <f t="shared" si="731"/>
        <v/>
      </c>
      <c r="G5303" t="str">
        <f t="shared" si="732"/>
        <v/>
      </c>
    </row>
    <row r="5304" spans="2:7">
      <c r="B5304" s="46"/>
      <c r="C5304">
        <f t="shared" ref="C5304:C5334" si="733">IF(J72=1,S72,"")</f>
        <v>22.8512731481482</v>
      </c>
      <c r="D5304" s="63" t="str">
        <f t="shared" ref="D5304:D5334" si="734">IF(J72=2,S72,"")</f>
        <v/>
      </c>
      <c r="E5304" t="str">
        <f t="shared" ref="E5304:E5334" si="735">IF(J72=3,S72,"")</f>
        <v/>
      </c>
      <c r="F5304" t="str">
        <f t="shared" ref="F5304:F5334" si="736">IF(J72=4,S72,"")</f>
        <v/>
      </c>
      <c r="G5304" t="str">
        <f t="shared" ref="G5304:G5334" si="737">IF(J72=5,S72,"")</f>
        <v/>
      </c>
    </row>
    <row r="5305" spans="2:7">
      <c r="B5305" s="46"/>
      <c r="C5305">
        <f t="shared" si="733"/>
        <v>34.4068287037037</v>
      </c>
      <c r="D5305" s="63" t="str">
        <f t="shared" si="734"/>
        <v/>
      </c>
      <c r="E5305" t="str">
        <f t="shared" si="735"/>
        <v/>
      </c>
      <c r="F5305" t="str">
        <f t="shared" si="736"/>
        <v/>
      </c>
      <c r="G5305" t="str">
        <f t="shared" si="737"/>
        <v/>
      </c>
    </row>
    <row r="5306" spans="2:7">
      <c r="B5306" s="46"/>
      <c r="C5306">
        <f t="shared" si="733"/>
        <v>34.4068287037037</v>
      </c>
      <c r="D5306" s="63" t="str">
        <f t="shared" si="734"/>
        <v/>
      </c>
      <c r="E5306" t="str">
        <f t="shared" si="735"/>
        <v/>
      </c>
      <c r="F5306" t="str">
        <f t="shared" si="736"/>
        <v/>
      </c>
      <c r="G5306" t="str">
        <f t="shared" si="737"/>
        <v/>
      </c>
    </row>
    <row r="5307" spans="2:7">
      <c r="B5307" s="46"/>
      <c r="C5307">
        <f t="shared" si="733"/>
        <v>35.5827546296296</v>
      </c>
      <c r="D5307" s="63" t="str">
        <f t="shared" si="734"/>
        <v/>
      </c>
      <c r="E5307" t="str">
        <f t="shared" si="735"/>
        <v/>
      </c>
      <c r="F5307" t="str">
        <f t="shared" si="736"/>
        <v/>
      </c>
      <c r="G5307" t="str">
        <f t="shared" si="737"/>
        <v/>
      </c>
    </row>
    <row r="5308" spans="2:7">
      <c r="B5308" s="46"/>
      <c r="C5308">
        <f t="shared" si="733"/>
        <v>36.7893518518519</v>
      </c>
      <c r="D5308" s="63" t="str">
        <f t="shared" si="734"/>
        <v/>
      </c>
      <c r="E5308" t="str">
        <f t="shared" si="735"/>
        <v/>
      </c>
      <c r="F5308" t="str">
        <f t="shared" si="736"/>
        <v/>
      </c>
      <c r="G5308" t="str">
        <f t="shared" si="737"/>
        <v/>
      </c>
    </row>
    <row r="5309" spans="2:7">
      <c r="B5309" s="46"/>
      <c r="C5309" t="str">
        <f t="shared" si="733"/>
        <v/>
      </c>
      <c r="D5309" s="63" t="str">
        <f t="shared" si="734"/>
        <v/>
      </c>
      <c r="E5309" t="str">
        <f t="shared" si="735"/>
        <v/>
      </c>
      <c r="F5309">
        <f t="shared" si="736"/>
        <v>23.4404761904762</v>
      </c>
      <c r="G5309" t="str">
        <f t="shared" si="737"/>
        <v/>
      </c>
    </row>
    <row r="5310" spans="2:7">
      <c r="B5310" s="46"/>
      <c r="C5310" t="str">
        <f t="shared" si="733"/>
        <v/>
      </c>
      <c r="D5310" s="63" t="str">
        <f t="shared" si="734"/>
        <v/>
      </c>
      <c r="E5310" t="str">
        <f t="shared" si="735"/>
        <v/>
      </c>
      <c r="F5310">
        <f t="shared" si="736"/>
        <v>24.3616780045352</v>
      </c>
      <c r="G5310" t="str">
        <f t="shared" si="737"/>
        <v/>
      </c>
    </row>
    <row r="5311" spans="2:7">
      <c r="B5311" s="46"/>
      <c r="C5311" t="str">
        <f t="shared" si="733"/>
        <v/>
      </c>
      <c r="D5311" s="63" t="str">
        <f t="shared" si="734"/>
        <v/>
      </c>
      <c r="E5311" t="str">
        <f t="shared" si="735"/>
        <v/>
      </c>
      <c r="F5311">
        <f t="shared" si="736"/>
        <v>25.8378684807256</v>
      </c>
      <c r="G5311" t="str">
        <f t="shared" si="737"/>
        <v/>
      </c>
    </row>
    <row r="5312" spans="2:7">
      <c r="B5312" s="46"/>
      <c r="C5312" t="str">
        <f t="shared" si="733"/>
        <v/>
      </c>
      <c r="D5312" s="63" t="str">
        <f t="shared" si="734"/>
        <v/>
      </c>
      <c r="E5312" t="str">
        <f t="shared" si="735"/>
        <v/>
      </c>
      <c r="F5312">
        <f t="shared" si="736"/>
        <v>29.4625850340136</v>
      </c>
      <c r="G5312" t="str">
        <f t="shared" si="737"/>
        <v/>
      </c>
    </row>
    <row r="5313" spans="2:7">
      <c r="B5313" s="46"/>
      <c r="C5313" t="str">
        <f t="shared" si="733"/>
        <v/>
      </c>
      <c r="D5313" s="63" t="str">
        <f t="shared" si="734"/>
        <v/>
      </c>
      <c r="E5313" t="str">
        <f t="shared" si="735"/>
        <v/>
      </c>
      <c r="F5313">
        <f t="shared" si="736"/>
        <v>30.092970521542</v>
      </c>
      <c r="G5313" t="str">
        <f t="shared" si="737"/>
        <v/>
      </c>
    </row>
    <row r="5314" spans="2:7">
      <c r="B5314" s="46"/>
      <c r="C5314" t="str">
        <f t="shared" si="733"/>
        <v/>
      </c>
      <c r="D5314" s="63" t="str">
        <f t="shared" si="734"/>
        <v/>
      </c>
      <c r="E5314" t="str">
        <f t="shared" si="735"/>
        <v/>
      </c>
      <c r="F5314">
        <f t="shared" si="736"/>
        <v>30.8809523809524</v>
      </c>
      <c r="G5314" t="str">
        <f t="shared" si="737"/>
        <v/>
      </c>
    </row>
    <row r="5315" spans="2:7">
      <c r="B5315" s="46"/>
      <c r="C5315" t="str">
        <f t="shared" si="733"/>
        <v/>
      </c>
      <c r="D5315" s="63" t="str">
        <f t="shared" si="734"/>
        <v/>
      </c>
      <c r="E5315" t="str">
        <f t="shared" si="735"/>
        <v/>
      </c>
      <c r="F5315" t="str">
        <f t="shared" si="736"/>
        <v/>
      </c>
      <c r="G5315">
        <f t="shared" si="737"/>
        <v>26.0235849056604</v>
      </c>
    </row>
    <row r="5316" spans="2:7">
      <c r="B5316" s="46"/>
      <c r="C5316" t="str">
        <f t="shared" si="733"/>
        <v/>
      </c>
      <c r="D5316" s="63" t="str">
        <f t="shared" si="734"/>
        <v/>
      </c>
      <c r="E5316" t="str">
        <f t="shared" si="735"/>
        <v/>
      </c>
      <c r="F5316" t="str">
        <f t="shared" si="736"/>
        <v/>
      </c>
      <c r="G5316">
        <f t="shared" si="737"/>
        <v>26.8977987421384</v>
      </c>
    </row>
    <row r="5317" spans="2:7">
      <c r="B5317" s="46"/>
      <c r="C5317" t="str">
        <f t="shared" si="733"/>
        <v/>
      </c>
      <c r="D5317" s="63" t="str">
        <f t="shared" si="734"/>
        <v/>
      </c>
      <c r="E5317" t="str">
        <f t="shared" si="735"/>
        <v/>
      </c>
      <c r="F5317" t="str">
        <f t="shared" si="736"/>
        <v/>
      </c>
      <c r="G5317">
        <f t="shared" si="737"/>
        <v>27.8448637316562</v>
      </c>
    </row>
    <row r="5318" spans="2:7">
      <c r="B5318" s="46"/>
      <c r="C5318" t="str">
        <f t="shared" si="733"/>
        <v/>
      </c>
      <c r="D5318" s="63" t="str">
        <f t="shared" si="734"/>
        <v/>
      </c>
      <c r="E5318" t="str">
        <f t="shared" si="735"/>
        <v/>
      </c>
      <c r="F5318" t="str">
        <f t="shared" si="736"/>
        <v/>
      </c>
      <c r="G5318">
        <f t="shared" si="737"/>
        <v>29.229035639413</v>
      </c>
    </row>
    <row r="5319" spans="2:7">
      <c r="B5319" s="46"/>
      <c r="C5319" t="str">
        <f t="shared" si="733"/>
        <v/>
      </c>
      <c r="D5319" s="63" t="str">
        <f t="shared" si="734"/>
        <v/>
      </c>
      <c r="E5319">
        <f t="shared" si="735"/>
        <v>25.5460784313725</v>
      </c>
      <c r="F5319" t="str">
        <f t="shared" si="736"/>
        <v/>
      </c>
      <c r="G5319" t="str">
        <f t="shared" si="737"/>
        <v/>
      </c>
    </row>
    <row r="5320" spans="2:7">
      <c r="B5320" s="46"/>
      <c r="C5320" t="str">
        <f t="shared" si="733"/>
        <v/>
      </c>
      <c r="D5320" s="63" t="str">
        <f t="shared" si="734"/>
        <v/>
      </c>
      <c r="E5320">
        <f t="shared" si="735"/>
        <v>28.8676470588235</v>
      </c>
      <c r="F5320" t="str">
        <f t="shared" si="736"/>
        <v/>
      </c>
      <c r="G5320" t="str">
        <f t="shared" si="737"/>
        <v/>
      </c>
    </row>
    <row r="5321" spans="2:7">
      <c r="B5321" s="46"/>
      <c r="C5321">
        <f t="shared" si="733"/>
        <v>39.1041666666667</v>
      </c>
      <c r="D5321" s="63" t="str">
        <f t="shared" si="734"/>
        <v/>
      </c>
      <c r="E5321" t="str">
        <f t="shared" si="735"/>
        <v/>
      </c>
      <c r="F5321" t="str">
        <f t="shared" si="736"/>
        <v/>
      </c>
      <c r="G5321" t="str">
        <f t="shared" si="737"/>
        <v/>
      </c>
    </row>
    <row r="5322" spans="2:7">
      <c r="B5322" s="46"/>
      <c r="C5322" t="str">
        <f t="shared" si="733"/>
        <v/>
      </c>
      <c r="D5322" s="63" t="str">
        <f t="shared" si="734"/>
        <v/>
      </c>
      <c r="E5322">
        <f t="shared" si="735"/>
        <v>30.843137254902</v>
      </c>
      <c r="F5322" t="str">
        <f t="shared" si="736"/>
        <v/>
      </c>
      <c r="G5322" t="str">
        <f t="shared" si="737"/>
        <v/>
      </c>
    </row>
    <row r="5323" spans="2:7">
      <c r="B5323" s="46"/>
      <c r="C5323" t="str">
        <f t="shared" si="733"/>
        <v/>
      </c>
      <c r="D5323" s="63" t="str">
        <f t="shared" si="734"/>
        <v/>
      </c>
      <c r="E5323">
        <f t="shared" si="735"/>
        <v>32.2524509803922</v>
      </c>
      <c r="F5323" t="str">
        <f t="shared" si="736"/>
        <v/>
      </c>
      <c r="G5323" t="str">
        <f t="shared" si="737"/>
        <v/>
      </c>
    </row>
    <row r="5324" spans="2:7">
      <c r="B5324" s="46"/>
      <c r="C5324" t="str">
        <f t="shared" si="733"/>
        <v/>
      </c>
      <c r="D5324" s="63">
        <f t="shared" si="734"/>
        <v>30.1643192488263</v>
      </c>
      <c r="E5324" t="str">
        <f t="shared" si="735"/>
        <v/>
      </c>
      <c r="F5324" t="str">
        <f t="shared" si="736"/>
        <v/>
      </c>
      <c r="G5324" t="str">
        <f t="shared" si="737"/>
        <v/>
      </c>
    </row>
    <row r="5325" spans="2:7">
      <c r="B5325" s="46"/>
      <c r="C5325" t="str">
        <f t="shared" si="733"/>
        <v/>
      </c>
      <c r="D5325" s="63">
        <f t="shared" si="734"/>
        <v>32.7840375586854</v>
      </c>
      <c r="E5325" t="str">
        <f t="shared" si="735"/>
        <v/>
      </c>
      <c r="F5325" t="str">
        <f t="shared" si="736"/>
        <v/>
      </c>
      <c r="G5325" t="str">
        <f t="shared" si="737"/>
        <v/>
      </c>
    </row>
    <row r="5326" spans="2:7">
      <c r="B5326" s="46"/>
      <c r="C5326" t="str">
        <f t="shared" si="733"/>
        <v/>
      </c>
      <c r="D5326" s="63">
        <f t="shared" si="734"/>
        <v>35.31279342723</v>
      </c>
      <c r="E5326" t="str">
        <f t="shared" si="735"/>
        <v/>
      </c>
      <c r="F5326" t="str">
        <f t="shared" si="736"/>
        <v/>
      </c>
      <c r="G5326" t="str">
        <f t="shared" si="737"/>
        <v/>
      </c>
    </row>
    <row r="5327" spans="2:7">
      <c r="B5327" s="46"/>
      <c r="C5327" t="str">
        <f t="shared" si="733"/>
        <v/>
      </c>
      <c r="D5327" s="63">
        <f t="shared" si="734"/>
        <v>37.6895539906103</v>
      </c>
      <c r="E5327" t="str">
        <f t="shared" si="735"/>
        <v/>
      </c>
      <c r="F5327" t="str">
        <f t="shared" si="736"/>
        <v/>
      </c>
      <c r="G5327" t="str">
        <f t="shared" si="737"/>
        <v/>
      </c>
    </row>
    <row r="5328" spans="2:7">
      <c r="B5328" s="46"/>
      <c r="C5328" t="str">
        <f t="shared" si="733"/>
        <v/>
      </c>
      <c r="D5328" s="63" t="str">
        <f t="shared" si="734"/>
        <v/>
      </c>
      <c r="E5328" t="str">
        <f t="shared" si="735"/>
        <v/>
      </c>
      <c r="F5328" t="str">
        <f t="shared" si="736"/>
        <v/>
      </c>
      <c r="G5328">
        <f t="shared" si="737"/>
        <v>31.5120545073375</v>
      </c>
    </row>
    <row r="5329" spans="2:7">
      <c r="B5329" s="46"/>
      <c r="C5329" t="str">
        <f t="shared" si="733"/>
        <v/>
      </c>
      <c r="D5329" s="63" t="str">
        <f t="shared" si="734"/>
        <v/>
      </c>
      <c r="E5329" t="str">
        <f t="shared" si="735"/>
        <v/>
      </c>
      <c r="F5329" t="str">
        <f t="shared" si="736"/>
        <v/>
      </c>
      <c r="G5329">
        <f t="shared" si="737"/>
        <v>33.3464360587002</v>
      </c>
    </row>
    <row r="5330" spans="2:7">
      <c r="B5330" s="46"/>
      <c r="C5330" t="str">
        <f t="shared" si="733"/>
        <v/>
      </c>
      <c r="D5330" s="63" t="str">
        <f t="shared" si="734"/>
        <v/>
      </c>
      <c r="E5330" t="str">
        <f t="shared" si="735"/>
        <v/>
      </c>
      <c r="F5330" t="str">
        <f t="shared" si="736"/>
        <v/>
      </c>
      <c r="G5330">
        <f t="shared" si="737"/>
        <v>35.6105870020964</v>
      </c>
    </row>
    <row r="5331" spans="2:7">
      <c r="B5331" s="46"/>
      <c r="C5331" t="str">
        <f t="shared" si="733"/>
        <v/>
      </c>
      <c r="D5331" s="63" t="str">
        <f t="shared" si="734"/>
        <v/>
      </c>
      <c r="E5331" t="str">
        <f t="shared" si="735"/>
        <v/>
      </c>
      <c r="F5331" t="str">
        <f t="shared" si="736"/>
        <v/>
      </c>
      <c r="G5331">
        <f t="shared" si="737"/>
        <v>38.1001048218029</v>
      </c>
    </row>
    <row r="5332" spans="2:7">
      <c r="B5332" s="46"/>
      <c r="C5332" t="str">
        <f t="shared" si="733"/>
        <v/>
      </c>
      <c r="D5332" s="63" t="str">
        <f t="shared" si="734"/>
        <v/>
      </c>
      <c r="E5332" t="str">
        <f t="shared" si="735"/>
        <v/>
      </c>
      <c r="F5332">
        <f t="shared" si="736"/>
        <v>32.8809523809524</v>
      </c>
      <c r="G5332" t="str">
        <f t="shared" si="737"/>
        <v/>
      </c>
    </row>
    <row r="5333" spans="2:7">
      <c r="B5333" s="46"/>
      <c r="C5333" t="str">
        <f t="shared" si="733"/>
        <v/>
      </c>
      <c r="D5333" s="63" t="str">
        <f t="shared" si="734"/>
        <v/>
      </c>
      <c r="E5333" t="str">
        <f t="shared" si="735"/>
        <v/>
      </c>
      <c r="F5333">
        <f t="shared" si="736"/>
        <v>35.4818594104308</v>
      </c>
      <c r="G5333" t="str">
        <f t="shared" si="737"/>
        <v/>
      </c>
    </row>
    <row r="5334" ht="15.75" spans="2:7">
      <c r="B5334" s="46"/>
      <c r="C5334" t="str">
        <f t="shared" si="733"/>
        <v/>
      </c>
      <c r="D5334" s="63" t="str">
        <f t="shared" si="734"/>
        <v/>
      </c>
      <c r="E5334" t="str">
        <f t="shared" si="735"/>
        <v/>
      </c>
      <c r="F5334">
        <f t="shared" si="736"/>
        <v>37.5368480725624</v>
      </c>
      <c r="G5334" t="str">
        <f t="shared" si="737"/>
        <v/>
      </c>
    </row>
    <row r="5335" spans="2:7">
      <c r="B5335" s="74" t="s">
        <v>269</v>
      </c>
      <c r="C5335" s="75">
        <f>MAX(C5240:C5334)</f>
        <v>39.1041666666667</v>
      </c>
      <c r="D5335" s="75">
        <f>MAX(D5240:D5334)</f>
        <v>37.6895539906103</v>
      </c>
      <c r="E5335" s="75">
        <f>MAX(E5240:E5334)</f>
        <v>32.2524509803922</v>
      </c>
      <c r="F5335" s="75">
        <f>MAX(F5240:F5334)</f>
        <v>37.5368480725624</v>
      </c>
      <c r="G5335" s="75">
        <f>MAX(G5240:G5334)</f>
        <v>38.1001048218029</v>
      </c>
    </row>
    <row r="5336" spans="2:7">
      <c r="B5336" s="76" t="s">
        <v>270</v>
      </c>
      <c r="C5336" s="77">
        <v>1</v>
      </c>
      <c r="D5336" s="78">
        <v>2</v>
      </c>
      <c r="E5336">
        <v>3</v>
      </c>
      <c r="F5336">
        <v>4</v>
      </c>
      <c r="G5336">
        <v>5</v>
      </c>
    </row>
    <row r="5337" spans="2:7">
      <c r="B5337" s="79" t="s">
        <v>271</v>
      </c>
      <c r="C5337" s="72">
        <f>HLOOKUP(MIN(C5335:G5335),C5335:G5336,2,FALSE)</f>
        <v>3</v>
      </c>
      <c r="D5337" s="80"/>
    </row>
    <row r="5341" ht="15.75" spans="2:7">
      <c r="B5341" s="43" t="s">
        <v>368</v>
      </c>
      <c r="C5341" s="44"/>
      <c r="D5341" s="45"/>
    </row>
    <row r="5342" spans="2:7">
      <c r="B5342" s="46"/>
      <c r="C5342" s="61" t="s">
        <v>264</v>
      </c>
      <c r="D5342" s="61" t="s">
        <v>265</v>
      </c>
      <c r="E5342" s="62" t="s">
        <v>286</v>
      </c>
      <c r="F5342" s="62" t="s">
        <v>287</v>
      </c>
      <c r="G5342" s="62" t="s">
        <v>288</v>
      </c>
    </row>
    <row r="5343" spans="2:7">
      <c r="B5343" s="46"/>
      <c r="C5343">
        <f t="shared" ref="C5343:C5406" si="738">IF(J8=1,S8,"")</f>
        <v>0.700231481481482</v>
      </c>
      <c r="D5343" s="63" t="str">
        <f t="shared" ref="D5343:D5406" si="739">IF(J8=2,S8,"")</f>
        <v/>
      </c>
      <c r="E5343" t="str">
        <f t="shared" ref="E5343:E5406" si="740">IF(J8=3,S8,"")</f>
        <v/>
      </c>
      <c r="F5343" t="str">
        <f t="shared" ref="F5343:F5406" si="741">IF(J8=4,S8,"")</f>
        <v/>
      </c>
      <c r="G5343" t="str">
        <f t="shared" ref="G5343:G5406" si="742">IF(J8=5,S8,"")</f>
        <v/>
      </c>
    </row>
    <row r="5344" spans="2:7">
      <c r="B5344" s="46"/>
      <c r="C5344" t="str">
        <f t="shared" si="738"/>
        <v/>
      </c>
      <c r="D5344" s="63">
        <f t="shared" si="739"/>
        <v>0.734154929577465</v>
      </c>
      <c r="E5344" t="str">
        <f t="shared" si="740"/>
        <v/>
      </c>
      <c r="F5344" t="str">
        <f t="shared" si="741"/>
        <v/>
      </c>
      <c r="G5344" t="str">
        <f t="shared" si="742"/>
        <v/>
      </c>
    </row>
    <row r="5345" spans="2:7">
      <c r="B5345" s="46"/>
      <c r="C5345" t="str">
        <f t="shared" si="738"/>
        <v/>
      </c>
      <c r="D5345" s="63" t="str">
        <f t="shared" si="739"/>
        <v/>
      </c>
      <c r="E5345">
        <f t="shared" si="740"/>
        <v>1.83823529411765</v>
      </c>
      <c r="F5345" t="str">
        <f t="shared" si="741"/>
        <v/>
      </c>
      <c r="G5345" t="str">
        <f t="shared" si="742"/>
        <v/>
      </c>
    </row>
    <row r="5346" spans="2:7">
      <c r="B5346" s="46"/>
      <c r="C5346" t="str">
        <f t="shared" si="738"/>
        <v/>
      </c>
      <c r="D5346" s="63" t="str">
        <f t="shared" si="739"/>
        <v/>
      </c>
      <c r="E5346" t="str">
        <f t="shared" si="740"/>
        <v/>
      </c>
      <c r="F5346">
        <f t="shared" si="741"/>
        <v>4.28571428571429</v>
      </c>
      <c r="G5346" t="str">
        <f t="shared" si="742"/>
        <v/>
      </c>
    </row>
    <row r="5347" spans="2:7">
      <c r="B5347" s="46"/>
      <c r="C5347" t="str">
        <f t="shared" si="738"/>
        <v/>
      </c>
      <c r="D5347" s="63" t="str">
        <f t="shared" si="739"/>
        <v/>
      </c>
      <c r="E5347" t="str">
        <f t="shared" si="740"/>
        <v/>
      </c>
      <c r="F5347" t="str">
        <f t="shared" si="741"/>
        <v/>
      </c>
      <c r="G5347">
        <f t="shared" si="742"/>
        <v>3.43396226415094</v>
      </c>
    </row>
    <row r="5348" spans="2:7">
      <c r="B5348" s="46"/>
      <c r="C5348" t="str">
        <f t="shared" si="738"/>
        <v/>
      </c>
      <c r="D5348" s="63" t="str">
        <f t="shared" si="739"/>
        <v/>
      </c>
      <c r="E5348">
        <f t="shared" si="740"/>
        <v>14.5833333333333</v>
      </c>
      <c r="F5348" t="str">
        <f t="shared" si="741"/>
        <v/>
      </c>
      <c r="G5348" t="str">
        <f t="shared" si="742"/>
        <v/>
      </c>
    </row>
    <row r="5349" spans="2:7">
      <c r="B5349" s="46"/>
      <c r="C5349" t="str">
        <f t="shared" si="738"/>
        <v/>
      </c>
      <c r="D5349" s="63" t="str">
        <f t="shared" si="739"/>
        <v/>
      </c>
      <c r="E5349" t="str">
        <f t="shared" si="740"/>
        <v/>
      </c>
      <c r="F5349">
        <f t="shared" si="741"/>
        <v>6.42857142857143</v>
      </c>
      <c r="G5349" t="str">
        <f t="shared" si="742"/>
        <v/>
      </c>
    </row>
    <row r="5350" spans="2:7">
      <c r="B5350" s="46"/>
      <c r="C5350" t="str">
        <f t="shared" si="738"/>
        <v/>
      </c>
      <c r="D5350" s="63" t="str">
        <f t="shared" si="739"/>
        <v/>
      </c>
      <c r="E5350" t="str">
        <f t="shared" si="740"/>
        <v/>
      </c>
      <c r="F5350" t="str">
        <f t="shared" si="741"/>
        <v/>
      </c>
      <c r="G5350">
        <f t="shared" si="742"/>
        <v>3.84591194968553</v>
      </c>
    </row>
    <row r="5351" spans="2:7">
      <c r="B5351" s="46"/>
      <c r="C5351">
        <f t="shared" si="738"/>
        <v>0.844907407407407</v>
      </c>
      <c r="D5351" s="63" t="str">
        <f t="shared" si="739"/>
        <v/>
      </c>
      <c r="E5351" t="str">
        <f t="shared" si="740"/>
        <v/>
      </c>
      <c r="F5351" t="str">
        <f t="shared" si="741"/>
        <v/>
      </c>
      <c r="G5351" t="str">
        <f t="shared" si="742"/>
        <v/>
      </c>
    </row>
    <row r="5352" spans="2:7">
      <c r="B5352" s="46"/>
      <c r="C5352">
        <f t="shared" si="738"/>
        <v>6.79803240740741</v>
      </c>
      <c r="D5352" s="63" t="str">
        <f t="shared" si="739"/>
        <v/>
      </c>
      <c r="E5352" t="str">
        <f t="shared" si="740"/>
        <v/>
      </c>
      <c r="F5352" t="str">
        <f t="shared" si="741"/>
        <v/>
      </c>
      <c r="G5352" t="str">
        <f t="shared" si="742"/>
        <v/>
      </c>
    </row>
    <row r="5353" spans="2:7">
      <c r="B5353" s="46"/>
      <c r="C5353">
        <f t="shared" si="738"/>
        <v>6.79803240740741</v>
      </c>
      <c r="D5353" s="63" t="str">
        <f t="shared" si="739"/>
        <v/>
      </c>
      <c r="E5353" t="str">
        <f t="shared" si="740"/>
        <v/>
      </c>
      <c r="F5353" t="str">
        <f t="shared" si="741"/>
        <v/>
      </c>
      <c r="G5353" t="str">
        <f t="shared" si="742"/>
        <v/>
      </c>
    </row>
    <row r="5354" spans="2:7">
      <c r="B5354" s="46"/>
      <c r="C5354">
        <f t="shared" si="738"/>
        <v>7.52719907407408</v>
      </c>
      <c r="D5354" s="63" t="str">
        <f t="shared" si="739"/>
        <v/>
      </c>
      <c r="E5354" t="str">
        <f t="shared" si="740"/>
        <v/>
      </c>
      <c r="F5354" t="str">
        <f t="shared" si="741"/>
        <v/>
      </c>
      <c r="G5354" t="str">
        <f t="shared" si="742"/>
        <v/>
      </c>
    </row>
    <row r="5355" spans="2:7">
      <c r="B5355" s="46"/>
      <c r="C5355" t="str">
        <f t="shared" si="738"/>
        <v/>
      </c>
      <c r="D5355" s="63">
        <f t="shared" si="739"/>
        <v>2.7881455399061</v>
      </c>
      <c r="E5355" t="str">
        <f t="shared" si="740"/>
        <v/>
      </c>
      <c r="F5355" t="str">
        <f t="shared" si="741"/>
        <v/>
      </c>
      <c r="G5355" t="str">
        <f t="shared" si="742"/>
        <v/>
      </c>
    </row>
    <row r="5356" spans="2:7">
      <c r="B5356" s="46"/>
      <c r="C5356" t="str">
        <f t="shared" si="738"/>
        <v/>
      </c>
      <c r="D5356" s="63">
        <f t="shared" si="739"/>
        <v>4.47535211267606</v>
      </c>
      <c r="E5356" t="str">
        <f t="shared" si="740"/>
        <v/>
      </c>
      <c r="F5356" t="str">
        <f t="shared" si="741"/>
        <v/>
      </c>
      <c r="G5356" t="str">
        <f t="shared" si="742"/>
        <v/>
      </c>
    </row>
    <row r="5357" spans="2:7">
      <c r="B5357" s="46"/>
      <c r="C5357" t="str">
        <f t="shared" si="738"/>
        <v/>
      </c>
      <c r="D5357" s="63">
        <f t="shared" si="739"/>
        <v>6.10680751173709</v>
      </c>
      <c r="E5357" t="str">
        <f t="shared" si="740"/>
        <v/>
      </c>
      <c r="F5357" t="str">
        <f t="shared" si="741"/>
        <v/>
      </c>
      <c r="G5357" t="str">
        <f t="shared" si="742"/>
        <v/>
      </c>
    </row>
    <row r="5358" spans="2:7">
      <c r="B5358" s="46"/>
      <c r="C5358" t="str">
        <f t="shared" si="738"/>
        <v/>
      </c>
      <c r="D5358" s="63">
        <f t="shared" si="739"/>
        <v>8.50821596244131</v>
      </c>
      <c r="E5358" t="str">
        <f t="shared" si="740"/>
        <v/>
      </c>
      <c r="F5358" t="str">
        <f t="shared" si="741"/>
        <v/>
      </c>
      <c r="G5358" t="str">
        <f t="shared" si="742"/>
        <v/>
      </c>
    </row>
    <row r="5359" spans="2:7">
      <c r="B5359" s="46"/>
      <c r="C5359" t="str">
        <f t="shared" si="738"/>
        <v/>
      </c>
      <c r="D5359" s="63">
        <f t="shared" si="739"/>
        <v>10.268779342723</v>
      </c>
      <c r="E5359" t="str">
        <f t="shared" si="740"/>
        <v/>
      </c>
      <c r="F5359" t="str">
        <f t="shared" si="741"/>
        <v/>
      </c>
      <c r="G5359" t="str">
        <f t="shared" si="742"/>
        <v/>
      </c>
    </row>
    <row r="5360" spans="2:7">
      <c r="B5360" s="46"/>
      <c r="C5360" t="str">
        <f t="shared" si="738"/>
        <v/>
      </c>
      <c r="D5360" s="63" t="str">
        <f t="shared" si="739"/>
        <v/>
      </c>
      <c r="E5360" t="str">
        <f t="shared" si="740"/>
        <v/>
      </c>
      <c r="F5360" t="str">
        <f t="shared" si="741"/>
        <v/>
      </c>
      <c r="G5360">
        <f t="shared" si="742"/>
        <v>7.67610062893082</v>
      </c>
    </row>
    <row r="5361" spans="2:7">
      <c r="B5361" s="46"/>
      <c r="C5361" t="str">
        <f t="shared" si="738"/>
        <v/>
      </c>
      <c r="D5361" s="63" t="str">
        <f t="shared" si="739"/>
        <v/>
      </c>
      <c r="E5361" t="str">
        <f t="shared" si="740"/>
        <v/>
      </c>
      <c r="F5361" t="str">
        <f t="shared" si="741"/>
        <v/>
      </c>
      <c r="G5361">
        <f t="shared" si="742"/>
        <v>10.3836477987421</v>
      </c>
    </row>
    <row r="5362" spans="2:7">
      <c r="B5362" s="46"/>
      <c r="C5362" t="str">
        <f t="shared" si="738"/>
        <v/>
      </c>
      <c r="D5362" s="63" t="str">
        <f t="shared" si="739"/>
        <v/>
      </c>
      <c r="E5362" t="str">
        <f t="shared" si="740"/>
        <v/>
      </c>
      <c r="F5362" t="str">
        <f t="shared" si="741"/>
        <v/>
      </c>
      <c r="G5362">
        <f t="shared" si="742"/>
        <v>13.2138364779874</v>
      </c>
    </row>
    <row r="5363" spans="2:7">
      <c r="B5363" s="46"/>
      <c r="C5363" t="str">
        <f t="shared" si="738"/>
        <v/>
      </c>
      <c r="D5363" s="63" t="str">
        <f t="shared" si="739"/>
        <v/>
      </c>
      <c r="E5363" t="str">
        <f t="shared" si="740"/>
        <v/>
      </c>
      <c r="F5363" t="str">
        <f t="shared" si="741"/>
        <v/>
      </c>
      <c r="G5363">
        <f t="shared" si="742"/>
        <v>14.7243186582809</v>
      </c>
    </row>
    <row r="5364" spans="2:7">
      <c r="B5364" s="46"/>
      <c r="C5364" t="str">
        <f t="shared" si="738"/>
        <v/>
      </c>
      <c r="D5364" s="63" t="str">
        <f t="shared" si="739"/>
        <v/>
      </c>
      <c r="E5364" t="str">
        <f t="shared" si="740"/>
        <v/>
      </c>
      <c r="F5364">
        <f t="shared" si="741"/>
        <v>9.17630385487529</v>
      </c>
      <c r="G5364" t="str">
        <f t="shared" si="742"/>
        <v/>
      </c>
    </row>
    <row r="5365" spans="2:7">
      <c r="B5365" s="46"/>
      <c r="C5365" t="str">
        <f t="shared" si="738"/>
        <v/>
      </c>
      <c r="D5365" s="63" t="str">
        <f t="shared" si="739"/>
        <v/>
      </c>
      <c r="E5365" t="str">
        <f t="shared" si="740"/>
        <v/>
      </c>
      <c r="F5365">
        <f t="shared" si="741"/>
        <v>12.328231292517</v>
      </c>
      <c r="G5365" t="str">
        <f t="shared" si="742"/>
        <v/>
      </c>
    </row>
    <row r="5366" spans="2:7">
      <c r="B5366" s="46"/>
      <c r="C5366" t="str">
        <f t="shared" si="738"/>
        <v/>
      </c>
      <c r="D5366" s="63" t="str">
        <f t="shared" si="739"/>
        <v/>
      </c>
      <c r="E5366" t="str">
        <f t="shared" si="740"/>
        <v/>
      </c>
      <c r="F5366">
        <f t="shared" si="741"/>
        <v>15.0017006802721</v>
      </c>
      <c r="G5366" t="str">
        <f t="shared" si="742"/>
        <v/>
      </c>
    </row>
    <row r="5367" spans="2:7">
      <c r="B5367" s="46"/>
      <c r="C5367">
        <f t="shared" si="738"/>
        <v>10.328125</v>
      </c>
      <c r="D5367" s="63" t="str">
        <f t="shared" si="739"/>
        <v/>
      </c>
      <c r="E5367" t="str">
        <f t="shared" si="740"/>
        <v/>
      </c>
      <c r="F5367" t="str">
        <f t="shared" si="741"/>
        <v/>
      </c>
      <c r="G5367" t="str">
        <f t="shared" si="742"/>
        <v/>
      </c>
    </row>
    <row r="5368" spans="2:7">
      <c r="B5368" s="46"/>
      <c r="C5368">
        <f t="shared" si="738"/>
        <v>14.5908564814815</v>
      </c>
      <c r="D5368" s="63" t="str">
        <f t="shared" si="739"/>
        <v/>
      </c>
      <c r="E5368" t="str">
        <f t="shared" si="740"/>
        <v/>
      </c>
      <c r="F5368" t="str">
        <f t="shared" si="741"/>
        <v/>
      </c>
      <c r="G5368" t="str">
        <f t="shared" si="742"/>
        <v/>
      </c>
    </row>
    <row r="5369" spans="2:7">
      <c r="B5369" s="46"/>
      <c r="C5369">
        <f t="shared" si="738"/>
        <v>14.9409722222222</v>
      </c>
      <c r="D5369" s="63" t="str">
        <f t="shared" si="739"/>
        <v/>
      </c>
      <c r="E5369" t="str">
        <f t="shared" si="740"/>
        <v/>
      </c>
      <c r="F5369" t="str">
        <f t="shared" si="741"/>
        <v/>
      </c>
      <c r="G5369" t="str">
        <f t="shared" si="742"/>
        <v/>
      </c>
    </row>
    <row r="5370" spans="2:7">
      <c r="B5370" s="46"/>
      <c r="C5370">
        <f t="shared" si="738"/>
        <v>19.2465277777778</v>
      </c>
      <c r="D5370" s="63" t="str">
        <f t="shared" si="739"/>
        <v/>
      </c>
      <c r="E5370" t="str">
        <f t="shared" si="740"/>
        <v/>
      </c>
      <c r="F5370" t="str">
        <f t="shared" si="741"/>
        <v/>
      </c>
      <c r="G5370" t="str">
        <f t="shared" si="742"/>
        <v/>
      </c>
    </row>
    <row r="5371" spans="2:7">
      <c r="B5371" s="46"/>
      <c r="C5371" t="str">
        <f t="shared" si="738"/>
        <v/>
      </c>
      <c r="D5371" s="63">
        <f t="shared" si="739"/>
        <v>15.0340375586854</v>
      </c>
      <c r="E5371" t="str">
        <f t="shared" si="740"/>
        <v/>
      </c>
      <c r="F5371" t="str">
        <f t="shared" si="741"/>
        <v/>
      </c>
      <c r="G5371" t="str">
        <f t="shared" si="742"/>
        <v/>
      </c>
    </row>
    <row r="5372" spans="2:7">
      <c r="B5372" s="46"/>
      <c r="C5372" t="str">
        <f t="shared" si="738"/>
        <v/>
      </c>
      <c r="D5372" s="63">
        <f t="shared" si="739"/>
        <v>15.0340375586854</v>
      </c>
      <c r="E5372" t="str">
        <f t="shared" si="740"/>
        <v/>
      </c>
      <c r="F5372" t="str">
        <f t="shared" si="741"/>
        <v/>
      </c>
      <c r="G5372" t="str">
        <f t="shared" si="742"/>
        <v/>
      </c>
    </row>
    <row r="5373" spans="2:7">
      <c r="B5373" s="46"/>
      <c r="C5373" t="str">
        <f t="shared" si="738"/>
        <v/>
      </c>
      <c r="D5373" s="63">
        <f t="shared" si="739"/>
        <v>16.1343896713615</v>
      </c>
      <c r="E5373" t="str">
        <f t="shared" si="740"/>
        <v/>
      </c>
      <c r="F5373" t="str">
        <f t="shared" si="741"/>
        <v/>
      </c>
      <c r="G5373" t="str">
        <f t="shared" si="742"/>
        <v/>
      </c>
    </row>
    <row r="5374" spans="2:7">
      <c r="B5374" s="46"/>
      <c r="C5374" t="str">
        <f t="shared" si="738"/>
        <v/>
      </c>
      <c r="D5374" s="63">
        <f t="shared" si="739"/>
        <v>16.8620892018779</v>
      </c>
      <c r="E5374" t="str">
        <f t="shared" si="740"/>
        <v/>
      </c>
      <c r="F5374" t="str">
        <f t="shared" si="741"/>
        <v/>
      </c>
      <c r="G5374" t="str">
        <f t="shared" si="742"/>
        <v/>
      </c>
    </row>
    <row r="5375" spans="2:7">
      <c r="B5375" s="46"/>
      <c r="C5375" t="str">
        <f t="shared" si="738"/>
        <v/>
      </c>
      <c r="D5375" s="63" t="str">
        <f t="shared" si="739"/>
        <v/>
      </c>
      <c r="E5375">
        <f t="shared" si="740"/>
        <v>16.1245098039216</v>
      </c>
      <c r="F5375" t="str">
        <f t="shared" si="741"/>
        <v/>
      </c>
      <c r="G5375" t="str">
        <f t="shared" si="742"/>
        <v/>
      </c>
    </row>
    <row r="5376" spans="2:7">
      <c r="B5376" s="46"/>
      <c r="C5376" t="str">
        <f t="shared" si="738"/>
        <v/>
      </c>
      <c r="D5376" s="63" t="str">
        <f t="shared" si="739"/>
        <v/>
      </c>
      <c r="E5376">
        <f t="shared" si="740"/>
        <v>17.9225490196078</v>
      </c>
      <c r="F5376" t="str">
        <f t="shared" si="741"/>
        <v/>
      </c>
      <c r="G5376" t="str">
        <f t="shared" si="742"/>
        <v/>
      </c>
    </row>
    <row r="5377" spans="2:7">
      <c r="B5377" s="46"/>
      <c r="C5377" t="str">
        <f t="shared" si="738"/>
        <v/>
      </c>
      <c r="D5377" s="63" t="str">
        <f t="shared" si="739"/>
        <v/>
      </c>
      <c r="E5377">
        <f t="shared" si="740"/>
        <v>18.7166666666667</v>
      </c>
      <c r="F5377" t="str">
        <f t="shared" si="741"/>
        <v/>
      </c>
      <c r="G5377" t="str">
        <f t="shared" si="742"/>
        <v/>
      </c>
    </row>
    <row r="5378" spans="2:7">
      <c r="B5378" s="46"/>
      <c r="C5378" t="str">
        <f t="shared" si="738"/>
        <v/>
      </c>
      <c r="D5378" s="63" t="str">
        <f t="shared" si="739"/>
        <v/>
      </c>
      <c r="E5378">
        <f t="shared" si="740"/>
        <v>18.9539215686275</v>
      </c>
      <c r="F5378" t="str">
        <f t="shared" si="741"/>
        <v/>
      </c>
      <c r="G5378" t="str">
        <f t="shared" si="742"/>
        <v/>
      </c>
    </row>
    <row r="5379" spans="2:7">
      <c r="B5379" s="46"/>
      <c r="C5379" t="str">
        <f t="shared" si="738"/>
        <v/>
      </c>
      <c r="D5379" s="63" t="str">
        <f t="shared" si="739"/>
        <v/>
      </c>
      <c r="E5379" t="str">
        <f t="shared" si="740"/>
        <v/>
      </c>
      <c r="F5379" t="str">
        <f t="shared" si="741"/>
        <v/>
      </c>
      <c r="G5379">
        <f t="shared" si="742"/>
        <v>15.4449685534591</v>
      </c>
    </row>
    <row r="5380" spans="2:7">
      <c r="B5380" s="46"/>
      <c r="C5380" t="str">
        <f t="shared" si="738"/>
        <v/>
      </c>
      <c r="D5380" s="63" t="str">
        <f t="shared" si="739"/>
        <v/>
      </c>
      <c r="E5380" t="str">
        <f t="shared" si="740"/>
        <v/>
      </c>
      <c r="F5380" t="str">
        <f t="shared" si="741"/>
        <v/>
      </c>
      <c r="G5380">
        <f t="shared" si="742"/>
        <v>16.4669811320755</v>
      </c>
    </row>
    <row r="5381" spans="2:7">
      <c r="B5381" s="46"/>
      <c r="C5381" t="str">
        <f t="shared" si="738"/>
        <v/>
      </c>
      <c r="D5381" s="63" t="str">
        <f t="shared" si="739"/>
        <v/>
      </c>
      <c r="E5381" t="str">
        <f t="shared" si="740"/>
        <v/>
      </c>
      <c r="F5381" t="str">
        <f t="shared" si="741"/>
        <v/>
      </c>
      <c r="G5381">
        <f t="shared" si="742"/>
        <v>17.7877358490566</v>
      </c>
    </row>
    <row r="5382" spans="2:7">
      <c r="B5382" s="46"/>
      <c r="C5382" t="str">
        <f t="shared" si="738"/>
        <v/>
      </c>
      <c r="D5382" s="63" t="str">
        <f t="shared" si="739"/>
        <v/>
      </c>
      <c r="E5382" t="str">
        <f t="shared" si="740"/>
        <v/>
      </c>
      <c r="F5382" t="str">
        <f t="shared" si="741"/>
        <v/>
      </c>
      <c r="G5382">
        <f t="shared" si="742"/>
        <v>18.377358490566</v>
      </c>
    </row>
    <row r="5383" spans="2:7">
      <c r="B5383" s="46"/>
      <c r="C5383" t="str">
        <f t="shared" si="738"/>
        <v/>
      </c>
      <c r="D5383" s="63" t="str">
        <f t="shared" si="739"/>
        <v/>
      </c>
      <c r="E5383" t="str">
        <f t="shared" si="740"/>
        <v/>
      </c>
      <c r="F5383">
        <f t="shared" si="741"/>
        <v>15.4234693877551</v>
      </c>
      <c r="G5383" t="str">
        <f t="shared" si="742"/>
        <v/>
      </c>
    </row>
    <row r="5384" spans="2:7">
      <c r="B5384" s="46"/>
      <c r="C5384" t="str">
        <f t="shared" si="738"/>
        <v/>
      </c>
      <c r="D5384" s="63" t="str">
        <f t="shared" si="739"/>
        <v/>
      </c>
      <c r="E5384" t="str">
        <f t="shared" si="740"/>
        <v/>
      </c>
      <c r="F5384">
        <f t="shared" si="741"/>
        <v>16.7698412698413</v>
      </c>
      <c r="G5384" t="str">
        <f t="shared" si="742"/>
        <v/>
      </c>
    </row>
    <row r="5385" spans="2:7">
      <c r="B5385" s="46"/>
      <c r="C5385" t="str">
        <f t="shared" si="738"/>
        <v/>
      </c>
      <c r="D5385" s="63" t="str">
        <f t="shared" si="739"/>
        <v/>
      </c>
      <c r="E5385" t="str">
        <f t="shared" si="740"/>
        <v/>
      </c>
      <c r="F5385">
        <f t="shared" si="741"/>
        <v>18.109410430839</v>
      </c>
      <c r="G5385" t="str">
        <f t="shared" si="742"/>
        <v/>
      </c>
    </row>
    <row r="5386" spans="2:7">
      <c r="B5386" s="46"/>
      <c r="C5386" t="str">
        <f t="shared" si="738"/>
        <v/>
      </c>
      <c r="D5386" s="63" t="str">
        <f t="shared" si="739"/>
        <v/>
      </c>
      <c r="E5386" t="str">
        <f t="shared" si="740"/>
        <v/>
      </c>
      <c r="F5386">
        <f t="shared" si="741"/>
        <v>20.1581632653061</v>
      </c>
      <c r="G5386" t="str">
        <f t="shared" si="742"/>
        <v/>
      </c>
    </row>
    <row r="5387" spans="2:7">
      <c r="B5387" s="46"/>
      <c r="C5387" t="str">
        <f t="shared" si="738"/>
        <v/>
      </c>
      <c r="D5387" s="63" t="str">
        <f t="shared" si="739"/>
        <v/>
      </c>
      <c r="E5387" t="str">
        <f t="shared" si="740"/>
        <v/>
      </c>
      <c r="F5387">
        <f t="shared" si="741"/>
        <v>22.1581632653061</v>
      </c>
      <c r="G5387" t="str">
        <f t="shared" si="742"/>
        <v/>
      </c>
    </row>
    <row r="5388" spans="2:7">
      <c r="B5388" s="46"/>
      <c r="C5388" t="str">
        <f t="shared" si="738"/>
        <v/>
      </c>
      <c r="D5388" s="63" t="str">
        <f t="shared" si="739"/>
        <v/>
      </c>
      <c r="E5388" t="str">
        <f t="shared" si="740"/>
        <v/>
      </c>
      <c r="F5388">
        <f t="shared" si="741"/>
        <v>22.8781179138322</v>
      </c>
      <c r="G5388" t="str">
        <f t="shared" si="742"/>
        <v/>
      </c>
    </row>
    <row r="5389" spans="2:7">
      <c r="B5389" s="46"/>
      <c r="C5389" t="str">
        <f t="shared" si="738"/>
        <v/>
      </c>
      <c r="D5389" s="63">
        <f t="shared" si="739"/>
        <v>17.3022300469484</v>
      </c>
      <c r="E5389" t="str">
        <f t="shared" si="740"/>
        <v/>
      </c>
      <c r="F5389" t="str">
        <f t="shared" si="741"/>
        <v/>
      </c>
      <c r="G5389" t="str">
        <f t="shared" si="742"/>
        <v/>
      </c>
    </row>
    <row r="5390" spans="2:7">
      <c r="B5390" s="46"/>
      <c r="C5390" t="str">
        <f t="shared" si="738"/>
        <v/>
      </c>
      <c r="D5390" s="63">
        <f t="shared" si="739"/>
        <v>22.837441314554</v>
      </c>
      <c r="E5390" t="str">
        <f t="shared" si="740"/>
        <v/>
      </c>
      <c r="F5390" t="str">
        <f t="shared" si="741"/>
        <v/>
      </c>
      <c r="G5390" t="str">
        <f t="shared" si="742"/>
        <v/>
      </c>
    </row>
    <row r="5391" spans="2:7">
      <c r="B5391" s="46"/>
      <c r="C5391" t="str">
        <f t="shared" si="738"/>
        <v/>
      </c>
      <c r="D5391" s="63">
        <f t="shared" si="739"/>
        <v>23.7089201877934</v>
      </c>
      <c r="E5391" t="str">
        <f t="shared" si="740"/>
        <v/>
      </c>
      <c r="F5391" t="str">
        <f t="shared" si="741"/>
        <v/>
      </c>
      <c r="G5391" t="str">
        <f t="shared" si="742"/>
        <v/>
      </c>
    </row>
    <row r="5392" spans="2:7">
      <c r="B5392" s="46"/>
      <c r="C5392" t="str">
        <f t="shared" si="738"/>
        <v/>
      </c>
      <c r="D5392" s="63">
        <f t="shared" si="739"/>
        <v>24.3427230046948</v>
      </c>
      <c r="E5392" t="str">
        <f t="shared" si="740"/>
        <v/>
      </c>
      <c r="F5392" t="str">
        <f t="shared" si="741"/>
        <v/>
      </c>
      <c r="G5392" t="str">
        <f t="shared" si="742"/>
        <v/>
      </c>
    </row>
    <row r="5393" spans="2:7">
      <c r="B5393" s="46"/>
      <c r="C5393" t="str">
        <f t="shared" si="738"/>
        <v/>
      </c>
      <c r="D5393" s="63">
        <f t="shared" si="739"/>
        <v>27.5704225352113</v>
      </c>
      <c r="E5393" t="str">
        <f t="shared" si="740"/>
        <v/>
      </c>
      <c r="F5393" t="str">
        <f t="shared" si="741"/>
        <v/>
      </c>
      <c r="G5393" t="str">
        <f t="shared" si="742"/>
        <v/>
      </c>
    </row>
    <row r="5394" spans="2:7">
      <c r="B5394" s="46"/>
      <c r="C5394" t="str">
        <f t="shared" si="738"/>
        <v/>
      </c>
      <c r="D5394" s="63" t="str">
        <f t="shared" si="739"/>
        <v/>
      </c>
      <c r="E5394" t="str">
        <f t="shared" si="740"/>
        <v/>
      </c>
      <c r="F5394" t="str">
        <f t="shared" si="741"/>
        <v/>
      </c>
      <c r="G5394">
        <f t="shared" si="742"/>
        <v>19.1949685534591</v>
      </c>
    </row>
    <row r="5395" spans="2:7">
      <c r="B5395" s="46"/>
      <c r="C5395" t="str">
        <f t="shared" si="738"/>
        <v/>
      </c>
      <c r="D5395" s="63" t="str">
        <f t="shared" si="739"/>
        <v/>
      </c>
      <c r="E5395" t="str">
        <f t="shared" si="740"/>
        <v/>
      </c>
      <c r="F5395" t="str">
        <f t="shared" si="741"/>
        <v/>
      </c>
      <c r="G5395">
        <f t="shared" si="742"/>
        <v>21.9606918238994</v>
      </c>
    </row>
    <row r="5396" spans="2:7">
      <c r="B5396" s="46"/>
      <c r="C5396" t="str">
        <f t="shared" si="738"/>
        <v/>
      </c>
      <c r="D5396" s="63" t="str">
        <f t="shared" si="739"/>
        <v/>
      </c>
      <c r="E5396" t="str">
        <f t="shared" si="740"/>
        <v/>
      </c>
      <c r="F5396" t="str">
        <f t="shared" si="741"/>
        <v/>
      </c>
      <c r="G5396">
        <f t="shared" si="742"/>
        <v>21.9606918238994</v>
      </c>
    </row>
    <row r="5397" spans="2:7">
      <c r="B5397" s="46"/>
      <c r="C5397" t="str">
        <f t="shared" si="738"/>
        <v/>
      </c>
      <c r="D5397" s="63" t="str">
        <f t="shared" si="739"/>
        <v/>
      </c>
      <c r="E5397" t="str">
        <f t="shared" si="740"/>
        <v/>
      </c>
      <c r="F5397" t="str">
        <f t="shared" si="741"/>
        <v/>
      </c>
      <c r="G5397">
        <f t="shared" si="742"/>
        <v>25.2222222222222</v>
      </c>
    </row>
    <row r="5398" spans="2:7">
      <c r="B5398" s="46"/>
      <c r="C5398" t="str">
        <f t="shared" si="738"/>
        <v/>
      </c>
      <c r="D5398" s="63" t="str">
        <f t="shared" si="739"/>
        <v/>
      </c>
      <c r="E5398">
        <f t="shared" si="740"/>
        <v>22.268137254902</v>
      </c>
      <c r="F5398" t="str">
        <f t="shared" si="741"/>
        <v/>
      </c>
      <c r="G5398" t="str">
        <f t="shared" si="742"/>
        <v/>
      </c>
    </row>
    <row r="5399" spans="2:7">
      <c r="B5399" s="46"/>
      <c r="C5399" t="str">
        <f t="shared" si="738"/>
        <v/>
      </c>
      <c r="D5399" s="63" t="str">
        <f t="shared" si="739"/>
        <v/>
      </c>
      <c r="E5399">
        <f t="shared" si="740"/>
        <v>22.268137254902</v>
      </c>
      <c r="F5399" t="str">
        <f t="shared" si="741"/>
        <v/>
      </c>
      <c r="G5399" t="str">
        <f t="shared" si="742"/>
        <v/>
      </c>
    </row>
    <row r="5400" spans="2:7">
      <c r="B5400" s="46"/>
      <c r="C5400" t="str">
        <f t="shared" si="738"/>
        <v/>
      </c>
      <c r="D5400" s="63" t="str">
        <f t="shared" si="739"/>
        <v/>
      </c>
      <c r="E5400">
        <f t="shared" si="740"/>
        <v>24.6995098039216</v>
      </c>
      <c r="F5400" t="str">
        <f t="shared" si="741"/>
        <v/>
      </c>
      <c r="G5400" t="str">
        <f t="shared" si="742"/>
        <v/>
      </c>
    </row>
    <row r="5401" spans="2:7">
      <c r="B5401" s="46"/>
      <c r="C5401" t="str">
        <f t="shared" si="738"/>
        <v/>
      </c>
      <c r="D5401" s="63" t="str">
        <f t="shared" si="739"/>
        <v/>
      </c>
      <c r="E5401">
        <f t="shared" si="740"/>
        <v>25.3416666666667</v>
      </c>
      <c r="F5401" t="str">
        <f t="shared" si="741"/>
        <v/>
      </c>
      <c r="G5401" t="str">
        <f t="shared" si="742"/>
        <v/>
      </c>
    </row>
    <row r="5402" spans="2:7">
      <c r="B5402" s="46"/>
      <c r="C5402">
        <f t="shared" si="738"/>
        <v>19.5358796296296</v>
      </c>
      <c r="D5402" s="63" t="str">
        <f t="shared" si="739"/>
        <v/>
      </c>
      <c r="E5402" t="str">
        <f t="shared" si="740"/>
        <v/>
      </c>
      <c r="F5402" t="str">
        <f t="shared" si="741"/>
        <v/>
      </c>
      <c r="G5402" t="str">
        <f t="shared" si="742"/>
        <v/>
      </c>
    </row>
    <row r="5403" spans="2:7">
      <c r="B5403" s="46"/>
      <c r="C5403">
        <f t="shared" si="738"/>
        <v>20.1608796296296</v>
      </c>
      <c r="D5403" s="63" t="str">
        <f t="shared" si="739"/>
        <v/>
      </c>
      <c r="E5403" t="str">
        <f t="shared" si="740"/>
        <v/>
      </c>
      <c r="F5403" t="str">
        <f t="shared" si="741"/>
        <v/>
      </c>
      <c r="G5403" t="str">
        <f t="shared" si="742"/>
        <v/>
      </c>
    </row>
    <row r="5404" spans="2:7">
      <c r="B5404" s="46"/>
      <c r="C5404">
        <f t="shared" si="738"/>
        <v>21.7233796296296</v>
      </c>
      <c r="D5404" s="63" t="str">
        <f t="shared" si="739"/>
        <v/>
      </c>
      <c r="E5404" t="str">
        <f t="shared" si="740"/>
        <v/>
      </c>
      <c r="F5404" t="str">
        <f t="shared" si="741"/>
        <v/>
      </c>
      <c r="G5404" t="str">
        <f t="shared" si="742"/>
        <v/>
      </c>
    </row>
    <row r="5405" spans="2:7">
      <c r="B5405" s="46"/>
      <c r="C5405">
        <f t="shared" si="738"/>
        <v>22.7054398148148</v>
      </c>
      <c r="D5405" s="63" t="str">
        <f t="shared" si="739"/>
        <v/>
      </c>
      <c r="E5405" t="str">
        <f t="shared" si="740"/>
        <v/>
      </c>
      <c r="F5405" t="str">
        <f t="shared" si="741"/>
        <v/>
      </c>
      <c r="G5405" t="str">
        <f t="shared" si="742"/>
        <v/>
      </c>
    </row>
    <row r="5406" spans="2:7">
      <c r="B5406" s="46"/>
      <c r="C5406">
        <f t="shared" si="738"/>
        <v>22.7054398148148</v>
      </c>
      <c r="D5406" s="63" t="str">
        <f t="shared" si="739"/>
        <v/>
      </c>
      <c r="E5406" t="str">
        <f t="shared" si="740"/>
        <v/>
      </c>
      <c r="F5406" t="str">
        <f t="shared" si="741"/>
        <v/>
      </c>
      <c r="G5406" t="str">
        <f t="shared" si="742"/>
        <v/>
      </c>
    </row>
    <row r="5407" spans="2:7">
      <c r="B5407" s="46"/>
      <c r="C5407">
        <f t="shared" ref="C5407:C5438" si="743">IF(J72=1,S72,"")</f>
        <v>22.8512731481482</v>
      </c>
      <c r="D5407" s="63" t="str">
        <f t="shared" ref="D5407:D5438" si="744">IF(J72=2,S72,"")</f>
        <v/>
      </c>
      <c r="E5407" t="str">
        <f t="shared" ref="E5407:E5438" si="745">IF(J72=3,S72,"")</f>
        <v/>
      </c>
      <c r="F5407" t="str">
        <f t="shared" ref="F5407:F5438" si="746">IF(J72=4,S72,"")</f>
        <v/>
      </c>
      <c r="G5407" t="str">
        <f t="shared" ref="G5407:G5438" si="747">IF(J72=5,S72,"")</f>
        <v/>
      </c>
    </row>
    <row r="5408" spans="2:7">
      <c r="B5408" s="46"/>
      <c r="C5408">
        <f t="shared" si="743"/>
        <v>34.4068287037037</v>
      </c>
      <c r="D5408" s="63" t="str">
        <f t="shared" si="744"/>
        <v/>
      </c>
      <c r="E5408" t="str">
        <f t="shared" si="745"/>
        <v/>
      </c>
      <c r="F5408" t="str">
        <f t="shared" si="746"/>
        <v/>
      </c>
      <c r="G5408" t="str">
        <f t="shared" si="747"/>
        <v/>
      </c>
    </row>
    <row r="5409" spans="2:7">
      <c r="B5409" s="46"/>
      <c r="C5409">
        <f t="shared" si="743"/>
        <v>34.4068287037037</v>
      </c>
      <c r="D5409" s="63" t="str">
        <f t="shared" si="744"/>
        <v/>
      </c>
      <c r="E5409" t="str">
        <f t="shared" si="745"/>
        <v/>
      </c>
      <c r="F5409" t="str">
        <f t="shared" si="746"/>
        <v/>
      </c>
      <c r="G5409" t="str">
        <f t="shared" si="747"/>
        <v/>
      </c>
    </row>
    <row r="5410" spans="2:7">
      <c r="B5410" s="46"/>
      <c r="C5410">
        <f t="shared" si="743"/>
        <v>35.5827546296296</v>
      </c>
      <c r="D5410" s="63" t="str">
        <f t="shared" si="744"/>
        <v/>
      </c>
      <c r="E5410" t="str">
        <f t="shared" si="745"/>
        <v/>
      </c>
      <c r="F5410" t="str">
        <f t="shared" si="746"/>
        <v/>
      </c>
      <c r="G5410" t="str">
        <f t="shared" si="747"/>
        <v/>
      </c>
    </row>
    <row r="5411" spans="2:7">
      <c r="B5411" s="46"/>
      <c r="C5411">
        <f t="shared" si="743"/>
        <v>36.7893518518519</v>
      </c>
      <c r="D5411" s="63" t="str">
        <f t="shared" si="744"/>
        <v/>
      </c>
      <c r="E5411" t="str">
        <f t="shared" si="745"/>
        <v/>
      </c>
      <c r="F5411" t="str">
        <f t="shared" si="746"/>
        <v/>
      </c>
      <c r="G5411" t="str">
        <f t="shared" si="747"/>
        <v/>
      </c>
    </row>
    <row r="5412" spans="2:7">
      <c r="B5412" s="46"/>
      <c r="C5412" t="str">
        <f t="shared" si="743"/>
        <v/>
      </c>
      <c r="D5412" s="63" t="str">
        <f t="shared" si="744"/>
        <v/>
      </c>
      <c r="E5412" t="str">
        <f t="shared" si="745"/>
        <v/>
      </c>
      <c r="F5412">
        <f t="shared" si="746"/>
        <v>23.4404761904762</v>
      </c>
      <c r="G5412" t="str">
        <f t="shared" si="747"/>
        <v/>
      </c>
    </row>
    <row r="5413" spans="2:7">
      <c r="B5413" s="46"/>
      <c r="C5413" t="str">
        <f t="shared" si="743"/>
        <v/>
      </c>
      <c r="D5413" s="63" t="str">
        <f t="shared" si="744"/>
        <v/>
      </c>
      <c r="E5413" t="str">
        <f t="shared" si="745"/>
        <v/>
      </c>
      <c r="F5413">
        <f t="shared" si="746"/>
        <v>24.3616780045352</v>
      </c>
      <c r="G5413" t="str">
        <f t="shared" si="747"/>
        <v/>
      </c>
    </row>
    <row r="5414" spans="2:7">
      <c r="B5414" s="46"/>
      <c r="C5414" t="str">
        <f t="shared" si="743"/>
        <v/>
      </c>
      <c r="D5414" s="63" t="str">
        <f t="shared" si="744"/>
        <v/>
      </c>
      <c r="E5414" t="str">
        <f t="shared" si="745"/>
        <v/>
      </c>
      <c r="F5414">
        <f t="shared" si="746"/>
        <v>25.8378684807256</v>
      </c>
      <c r="G5414" t="str">
        <f t="shared" si="747"/>
        <v/>
      </c>
    </row>
    <row r="5415" spans="2:7">
      <c r="B5415" s="46"/>
      <c r="C5415" t="str">
        <f t="shared" si="743"/>
        <v/>
      </c>
      <c r="D5415" s="63" t="str">
        <f t="shared" si="744"/>
        <v/>
      </c>
      <c r="E5415" t="str">
        <f t="shared" si="745"/>
        <v/>
      </c>
      <c r="F5415">
        <f t="shared" si="746"/>
        <v>29.4625850340136</v>
      </c>
      <c r="G5415" t="str">
        <f t="shared" si="747"/>
        <v/>
      </c>
    </row>
    <row r="5416" spans="2:7">
      <c r="B5416" s="46"/>
      <c r="C5416" t="str">
        <f t="shared" si="743"/>
        <v/>
      </c>
      <c r="D5416" s="63" t="str">
        <f t="shared" si="744"/>
        <v/>
      </c>
      <c r="E5416" t="str">
        <f t="shared" si="745"/>
        <v/>
      </c>
      <c r="F5416">
        <f t="shared" si="746"/>
        <v>30.092970521542</v>
      </c>
      <c r="G5416" t="str">
        <f t="shared" si="747"/>
        <v/>
      </c>
    </row>
    <row r="5417" spans="2:7">
      <c r="B5417" s="46"/>
      <c r="C5417" t="str">
        <f t="shared" si="743"/>
        <v/>
      </c>
      <c r="D5417" s="63" t="str">
        <f t="shared" si="744"/>
        <v/>
      </c>
      <c r="E5417" t="str">
        <f t="shared" si="745"/>
        <v/>
      </c>
      <c r="F5417">
        <f t="shared" si="746"/>
        <v>30.8809523809524</v>
      </c>
      <c r="G5417" t="str">
        <f t="shared" si="747"/>
        <v/>
      </c>
    </row>
    <row r="5418" spans="2:7">
      <c r="B5418" s="46"/>
      <c r="C5418" t="str">
        <f t="shared" si="743"/>
        <v/>
      </c>
      <c r="D5418" s="63" t="str">
        <f t="shared" si="744"/>
        <v/>
      </c>
      <c r="E5418" t="str">
        <f t="shared" si="745"/>
        <v/>
      </c>
      <c r="F5418" t="str">
        <f t="shared" si="746"/>
        <v/>
      </c>
      <c r="G5418">
        <f t="shared" si="747"/>
        <v>26.0235849056604</v>
      </c>
    </row>
    <row r="5419" spans="2:7">
      <c r="B5419" s="46"/>
      <c r="C5419" t="str">
        <f t="shared" si="743"/>
        <v/>
      </c>
      <c r="D5419" s="63" t="str">
        <f t="shared" si="744"/>
        <v/>
      </c>
      <c r="E5419" t="str">
        <f t="shared" si="745"/>
        <v/>
      </c>
      <c r="F5419" t="str">
        <f t="shared" si="746"/>
        <v/>
      </c>
      <c r="G5419">
        <f t="shared" si="747"/>
        <v>26.8977987421384</v>
      </c>
    </row>
    <row r="5420" spans="2:7">
      <c r="B5420" s="46"/>
      <c r="C5420" t="str">
        <f t="shared" si="743"/>
        <v/>
      </c>
      <c r="D5420" s="63" t="str">
        <f t="shared" si="744"/>
        <v/>
      </c>
      <c r="E5420" t="str">
        <f t="shared" si="745"/>
        <v/>
      </c>
      <c r="F5420" t="str">
        <f t="shared" si="746"/>
        <v/>
      </c>
      <c r="G5420">
        <f t="shared" si="747"/>
        <v>27.8448637316562</v>
      </c>
    </row>
    <row r="5421" spans="2:7">
      <c r="B5421" s="46"/>
      <c r="C5421" t="str">
        <f t="shared" si="743"/>
        <v/>
      </c>
      <c r="D5421" s="63" t="str">
        <f t="shared" si="744"/>
        <v/>
      </c>
      <c r="E5421" t="str">
        <f t="shared" si="745"/>
        <v/>
      </c>
      <c r="F5421" t="str">
        <f t="shared" si="746"/>
        <v/>
      </c>
      <c r="G5421">
        <f t="shared" si="747"/>
        <v>29.229035639413</v>
      </c>
    </row>
    <row r="5422" spans="2:7">
      <c r="B5422" s="46"/>
      <c r="C5422" t="str">
        <f t="shared" si="743"/>
        <v/>
      </c>
      <c r="D5422" s="63" t="str">
        <f t="shared" si="744"/>
        <v/>
      </c>
      <c r="E5422">
        <f t="shared" si="745"/>
        <v>25.5460784313725</v>
      </c>
      <c r="F5422" t="str">
        <f t="shared" si="746"/>
        <v/>
      </c>
      <c r="G5422" t="str">
        <f t="shared" si="747"/>
        <v/>
      </c>
    </row>
    <row r="5423" spans="2:7">
      <c r="B5423" s="46"/>
      <c r="C5423" t="str">
        <f t="shared" si="743"/>
        <v/>
      </c>
      <c r="D5423" s="63" t="str">
        <f t="shared" si="744"/>
        <v/>
      </c>
      <c r="E5423">
        <f t="shared" si="745"/>
        <v>28.8676470588235</v>
      </c>
      <c r="F5423" t="str">
        <f t="shared" si="746"/>
        <v/>
      </c>
      <c r="G5423" t="str">
        <f t="shared" si="747"/>
        <v/>
      </c>
    </row>
    <row r="5424" spans="2:7">
      <c r="B5424" s="46"/>
      <c r="C5424">
        <f t="shared" si="743"/>
        <v>39.1041666666667</v>
      </c>
      <c r="D5424" s="63" t="str">
        <f t="shared" si="744"/>
        <v/>
      </c>
      <c r="E5424" t="str">
        <f t="shared" si="745"/>
        <v/>
      </c>
      <c r="F5424" t="str">
        <f t="shared" si="746"/>
        <v/>
      </c>
      <c r="G5424" t="str">
        <f t="shared" si="747"/>
        <v/>
      </c>
    </row>
    <row r="5425" spans="2:7">
      <c r="B5425" s="46"/>
      <c r="C5425" t="str">
        <f t="shared" si="743"/>
        <v/>
      </c>
      <c r="D5425" s="63" t="str">
        <f t="shared" si="744"/>
        <v/>
      </c>
      <c r="E5425">
        <f t="shared" si="745"/>
        <v>30.843137254902</v>
      </c>
      <c r="F5425" t="str">
        <f t="shared" si="746"/>
        <v/>
      </c>
      <c r="G5425" t="str">
        <f t="shared" si="747"/>
        <v/>
      </c>
    </row>
    <row r="5426" spans="2:7">
      <c r="B5426" s="46"/>
      <c r="C5426" t="str">
        <f t="shared" si="743"/>
        <v/>
      </c>
      <c r="D5426" s="63" t="str">
        <f t="shared" si="744"/>
        <v/>
      </c>
      <c r="E5426">
        <f t="shared" si="745"/>
        <v>32.2524509803922</v>
      </c>
      <c r="F5426" t="str">
        <f t="shared" si="746"/>
        <v/>
      </c>
      <c r="G5426" t="str">
        <f t="shared" si="747"/>
        <v/>
      </c>
    </row>
    <row r="5427" spans="2:7">
      <c r="B5427" s="46"/>
      <c r="C5427" t="str">
        <f t="shared" si="743"/>
        <v/>
      </c>
      <c r="D5427" s="63">
        <f t="shared" si="744"/>
        <v>30.1643192488263</v>
      </c>
      <c r="E5427" t="str">
        <f t="shared" si="745"/>
        <v/>
      </c>
      <c r="F5427" t="str">
        <f t="shared" si="746"/>
        <v/>
      </c>
      <c r="G5427" t="str">
        <f t="shared" si="747"/>
        <v/>
      </c>
    </row>
    <row r="5428" spans="2:7">
      <c r="B5428" s="46"/>
      <c r="C5428" t="str">
        <f t="shared" si="743"/>
        <v/>
      </c>
      <c r="D5428" s="63">
        <f t="shared" si="744"/>
        <v>32.7840375586854</v>
      </c>
      <c r="E5428" t="str">
        <f t="shared" si="745"/>
        <v/>
      </c>
      <c r="F5428" t="str">
        <f t="shared" si="746"/>
        <v/>
      </c>
      <c r="G5428" t="str">
        <f t="shared" si="747"/>
        <v/>
      </c>
    </row>
    <row r="5429" spans="2:7">
      <c r="B5429" s="46"/>
      <c r="C5429" t="str">
        <f t="shared" si="743"/>
        <v/>
      </c>
      <c r="D5429" s="63">
        <f t="shared" si="744"/>
        <v>35.31279342723</v>
      </c>
      <c r="E5429" t="str">
        <f t="shared" si="745"/>
        <v/>
      </c>
      <c r="F5429" t="str">
        <f t="shared" si="746"/>
        <v/>
      </c>
      <c r="G5429" t="str">
        <f t="shared" si="747"/>
        <v/>
      </c>
    </row>
    <row r="5430" spans="2:7">
      <c r="B5430" s="46"/>
      <c r="C5430" t="str">
        <f t="shared" si="743"/>
        <v/>
      </c>
      <c r="D5430" s="63">
        <f t="shared" si="744"/>
        <v>37.6895539906103</v>
      </c>
      <c r="E5430" t="str">
        <f t="shared" si="745"/>
        <v/>
      </c>
      <c r="F5430" t="str">
        <f t="shared" si="746"/>
        <v/>
      </c>
      <c r="G5430" t="str">
        <f t="shared" si="747"/>
        <v/>
      </c>
    </row>
    <row r="5431" spans="2:7">
      <c r="B5431" s="46"/>
      <c r="C5431" t="str">
        <f t="shared" si="743"/>
        <v/>
      </c>
      <c r="D5431" s="63" t="str">
        <f t="shared" si="744"/>
        <v/>
      </c>
      <c r="E5431" t="str">
        <f t="shared" si="745"/>
        <v/>
      </c>
      <c r="F5431" t="str">
        <f t="shared" si="746"/>
        <v/>
      </c>
      <c r="G5431">
        <f t="shared" si="747"/>
        <v>31.5120545073375</v>
      </c>
    </row>
    <row r="5432" spans="2:7">
      <c r="B5432" s="46"/>
      <c r="C5432" t="str">
        <f t="shared" si="743"/>
        <v/>
      </c>
      <c r="D5432" s="63" t="str">
        <f t="shared" si="744"/>
        <v/>
      </c>
      <c r="E5432" t="str">
        <f t="shared" si="745"/>
        <v/>
      </c>
      <c r="F5432" t="str">
        <f t="shared" si="746"/>
        <v/>
      </c>
      <c r="G5432">
        <f t="shared" si="747"/>
        <v>33.3464360587002</v>
      </c>
    </row>
    <row r="5433" spans="2:7">
      <c r="B5433" s="46"/>
      <c r="C5433" t="str">
        <f t="shared" si="743"/>
        <v/>
      </c>
      <c r="D5433" s="63" t="str">
        <f t="shared" si="744"/>
        <v/>
      </c>
      <c r="E5433" t="str">
        <f t="shared" si="745"/>
        <v/>
      </c>
      <c r="F5433" t="str">
        <f t="shared" si="746"/>
        <v/>
      </c>
      <c r="G5433">
        <f t="shared" si="747"/>
        <v>35.6105870020964</v>
      </c>
    </row>
    <row r="5434" spans="2:7">
      <c r="B5434" s="46"/>
      <c r="C5434" t="str">
        <f t="shared" si="743"/>
        <v/>
      </c>
      <c r="D5434" s="63" t="str">
        <f t="shared" si="744"/>
        <v/>
      </c>
      <c r="E5434" t="str">
        <f t="shared" si="745"/>
        <v/>
      </c>
      <c r="F5434" t="str">
        <f t="shared" si="746"/>
        <v/>
      </c>
      <c r="G5434">
        <f t="shared" si="747"/>
        <v>38.1001048218029</v>
      </c>
    </row>
    <row r="5435" spans="2:7">
      <c r="B5435" s="46"/>
      <c r="C5435" t="str">
        <f t="shared" si="743"/>
        <v/>
      </c>
      <c r="D5435" s="63" t="str">
        <f t="shared" si="744"/>
        <v/>
      </c>
      <c r="E5435" t="str">
        <f t="shared" si="745"/>
        <v/>
      </c>
      <c r="F5435">
        <f t="shared" si="746"/>
        <v>32.8809523809524</v>
      </c>
      <c r="G5435" t="str">
        <f t="shared" si="747"/>
        <v/>
      </c>
    </row>
    <row r="5436" spans="2:7">
      <c r="B5436" s="46"/>
      <c r="C5436" t="str">
        <f t="shared" si="743"/>
        <v/>
      </c>
      <c r="D5436" s="63" t="str">
        <f t="shared" si="744"/>
        <v/>
      </c>
      <c r="E5436" t="str">
        <f t="shared" si="745"/>
        <v/>
      </c>
      <c r="F5436">
        <f t="shared" si="746"/>
        <v>35.4818594104308</v>
      </c>
      <c r="G5436" t="str">
        <f t="shared" si="747"/>
        <v/>
      </c>
    </row>
    <row r="5437" spans="2:7">
      <c r="B5437" s="46"/>
      <c r="C5437" t="str">
        <f t="shared" si="743"/>
        <v/>
      </c>
      <c r="D5437" s="63" t="str">
        <f t="shared" si="744"/>
        <v/>
      </c>
      <c r="E5437" t="str">
        <f t="shared" si="745"/>
        <v/>
      </c>
      <c r="F5437">
        <f t="shared" si="746"/>
        <v>37.5368480725624</v>
      </c>
      <c r="G5437" t="str">
        <f t="shared" si="747"/>
        <v/>
      </c>
    </row>
    <row r="5438" ht="15.75" spans="2:7">
      <c r="B5438" s="46"/>
      <c r="C5438" t="str">
        <f t="shared" si="743"/>
        <v/>
      </c>
      <c r="D5438" s="63" t="str">
        <f t="shared" si="744"/>
        <v/>
      </c>
      <c r="E5438" t="str">
        <f t="shared" si="745"/>
        <v/>
      </c>
      <c r="F5438">
        <f t="shared" si="746"/>
        <v>38.4580498866213</v>
      </c>
      <c r="G5438" t="str">
        <f t="shared" si="747"/>
        <v/>
      </c>
    </row>
    <row r="5439" spans="2:7">
      <c r="B5439" s="74" t="s">
        <v>269</v>
      </c>
      <c r="C5439" s="75">
        <f>MAX(C5343:C5438)</f>
        <v>39.1041666666667</v>
      </c>
      <c r="D5439" s="75">
        <f>MAX(D5343:D5438)</f>
        <v>37.6895539906103</v>
      </c>
      <c r="E5439" s="75">
        <f>MAX(E5343:E5438)</f>
        <v>32.2524509803922</v>
      </c>
      <c r="F5439" s="75">
        <f>MAX(F5343:F5438)</f>
        <v>38.4580498866213</v>
      </c>
      <c r="G5439" s="75">
        <f>MAX(G5343:G5438)</f>
        <v>38.1001048218029</v>
      </c>
    </row>
    <row r="5440" spans="2:7">
      <c r="B5440" s="76" t="s">
        <v>270</v>
      </c>
      <c r="C5440" s="77">
        <v>1</v>
      </c>
      <c r="D5440" s="78">
        <v>2</v>
      </c>
      <c r="E5440">
        <v>3</v>
      </c>
      <c r="F5440">
        <v>4</v>
      </c>
      <c r="G5440">
        <v>5</v>
      </c>
    </row>
    <row r="5441" spans="2:7">
      <c r="B5441" s="79" t="s">
        <v>271</v>
      </c>
      <c r="C5441" s="72">
        <f>HLOOKUP(MIN(C5439:G5439),C5439:G5440,2,FALSE)</f>
        <v>3</v>
      </c>
      <c r="D5441" s="80"/>
    </row>
    <row r="5445" ht="15.75" spans="2:7">
      <c r="B5445" s="43" t="s">
        <v>369</v>
      </c>
      <c r="C5445" s="44"/>
      <c r="D5445" s="45"/>
    </row>
    <row r="5446" spans="2:7">
      <c r="B5446" s="46"/>
      <c r="C5446" s="61" t="s">
        <v>264</v>
      </c>
      <c r="D5446" s="61" t="s">
        <v>265</v>
      </c>
      <c r="E5446" s="62" t="s">
        <v>286</v>
      </c>
      <c r="F5446" s="62" t="s">
        <v>287</v>
      </c>
      <c r="G5446" s="62" t="s">
        <v>288</v>
      </c>
    </row>
    <row r="5447" spans="2:7">
      <c r="B5447" s="46"/>
      <c r="C5447">
        <f t="shared" ref="C5447:C5510" si="748">IF(J8=1,S8,"")</f>
        <v>0.700231481481482</v>
      </c>
      <c r="D5447" s="63" t="str">
        <f t="shared" ref="D5447:D5510" si="749">IF(J8=2,S8,"")</f>
        <v/>
      </c>
      <c r="E5447" t="str">
        <f t="shared" ref="E5447:E5510" si="750">IF(J8=3,S8,"")</f>
        <v/>
      </c>
      <c r="F5447" t="str">
        <f t="shared" ref="F5447:F5510" si="751">IF(J8=4,S8,"")</f>
        <v/>
      </c>
      <c r="G5447" t="str">
        <f t="shared" ref="G5447:G5510" si="752">IF(J8=5,S8,"")</f>
        <v/>
      </c>
    </row>
    <row r="5448" spans="2:7">
      <c r="B5448" s="46"/>
      <c r="C5448" t="str">
        <f t="shared" si="748"/>
        <v/>
      </c>
      <c r="D5448" s="63">
        <f t="shared" si="749"/>
        <v>0.734154929577465</v>
      </c>
      <c r="E5448" t="str">
        <f t="shared" si="750"/>
        <v/>
      </c>
      <c r="F5448" t="str">
        <f t="shared" si="751"/>
        <v/>
      </c>
      <c r="G5448" t="str">
        <f t="shared" si="752"/>
        <v/>
      </c>
    </row>
    <row r="5449" spans="2:7">
      <c r="B5449" s="46"/>
      <c r="C5449" t="str">
        <f t="shared" si="748"/>
        <v/>
      </c>
      <c r="D5449" s="63" t="str">
        <f t="shared" si="749"/>
        <v/>
      </c>
      <c r="E5449">
        <f t="shared" si="750"/>
        <v>1.83823529411765</v>
      </c>
      <c r="F5449" t="str">
        <f t="shared" si="751"/>
        <v/>
      </c>
      <c r="G5449" t="str">
        <f t="shared" si="752"/>
        <v/>
      </c>
    </row>
    <row r="5450" spans="2:7">
      <c r="B5450" s="46"/>
      <c r="C5450" t="str">
        <f t="shared" si="748"/>
        <v/>
      </c>
      <c r="D5450" s="63" t="str">
        <f t="shared" si="749"/>
        <v/>
      </c>
      <c r="E5450" t="str">
        <f t="shared" si="750"/>
        <v/>
      </c>
      <c r="F5450">
        <f t="shared" si="751"/>
        <v>4.28571428571429</v>
      </c>
      <c r="G5450" t="str">
        <f t="shared" si="752"/>
        <v/>
      </c>
    </row>
    <row r="5451" spans="2:7">
      <c r="B5451" s="46"/>
      <c r="C5451" t="str">
        <f t="shared" si="748"/>
        <v/>
      </c>
      <c r="D5451" s="63" t="str">
        <f t="shared" si="749"/>
        <v/>
      </c>
      <c r="E5451" t="str">
        <f t="shared" si="750"/>
        <v/>
      </c>
      <c r="F5451" t="str">
        <f t="shared" si="751"/>
        <v/>
      </c>
      <c r="G5451">
        <f t="shared" si="752"/>
        <v>3.43396226415094</v>
      </c>
    </row>
    <row r="5452" spans="2:7">
      <c r="B5452" s="46"/>
      <c r="C5452" t="str">
        <f t="shared" si="748"/>
        <v/>
      </c>
      <c r="D5452" s="63" t="str">
        <f t="shared" si="749"/>
        <v/>
      </c>
      <c r="E5452">
        <f t="shared" si="750"/>
        <v>14.5833333333333</v>
      </c>
      <c r="F5452" t="str">
        <f t="shared" si="751"/>
        <v/>
      </c>
      <c r="G5452" t="str">
        <f t="shared" si="752"/>
        <v/>
      </c>
    </row>
    <row r="5453" spans="2:7">
      <c r="B5453" s="46"/>
      <c r="C5453" t="str">
        <f t="shared" si="748"/>
        <v/>
      </c>
      <c r="D5453" s="63" t="str">
        <f t="shared" si="749"/>
        <v/>
      </c>
      <c r="E5453" t="str">
        <f t="shared" si="750"/>
        <v/>
      </c>
      <c r="F5453">
        <f t="shared" si="751"/>
        <v>6.42857142857143</v>
      </c>
      <c r="G5453" t="str">
        <f t="shared" si="752"/>
        <v/>
      </c>
    </row>
    <row r="5454" spans="2:7">
      <c r="B5454" s="46"/>
      <c r="C5454" t="str">
        <f t="shared" si="748"/>
        <v/>
      </c>
      <c r="D5454" s="63" t="str">
        <f t="shared" si="749"/>
        <v/>
      </c>
      <c r="E5454" t="str">
        <f t="shared" si="750"/>
        <v/>
      </c>
      <c r="F5454" t="str">
        <f t="shared" si="751"/>
        <v/>
      </c>
      <c r="G5454">
        <f t="shared" si="752"/>
        <v>3.84591194968553</v>
      </c>
    </row>
    <row r="5455" spans="2:7">
      <c r="B5455" s="46"/>
      <c r="C5455">
        <f t="shared" si="748"/>
        <v>0.844907407407407</v>
      </c>
      <c r="D5455" s="63" t="str">
        <f t="shared" si="749"/>
        <v/>
      </c>
      <c r="E5455" t="str">
        <f t="shared" si="750"/>
        <v/>
      </c>
      <c r="F5455" t="str">
        <f t="shared" si="751"/>
        <v/>
      </c>
      <c r="G5455" t="str">
        <f t="shared" si="752"/>
        <v/>
      </c>
    </row>
    <row r="5456" spans="2:7">
      <c r="B5456" s="46"/>
      <c r="C5456">
        <f t="shared" si="748"/>
        <v>6.79803240740741</v>
      </c>
      <c r="D5456" s="63" t="str">
        <f t="shared" si="749"/>
        <v/>
      </c>
      <c r="E5456" t="str">
        <f t="shared" si="750"/>
        <v/>
      </c>
      <c r="F5456" t="str">
        <f t="shared" si="751"/>
        <v/>
      </c>
      <c r="G5456" t="str">
        <f t="shared" si="752"/>
        <v/>
      </c>
    </row>
    <row r="5457" spans="2:7">
      <c r="B5457" s="46"/>
      <c r="C5457">
        <f t="shared" si="748"/>
        <v>6.79803240740741</v>
      </c>
      <c r="D5457" s="63" t="str">
        <f t="shared" si="749"/>
        <v/>
      </c>
      <c r="E5457" t="str">
        <f t="shared" si="750"/>
        <v/>
      </c>
      <c r="F5457" t="str">
        <f t="shared" si="751"/>
        <v/>
      </c>
      <c r="G5457" t="str">
        <f t="shared" si="752"/>
        <v/>
      </c>
    </row>
    <row r="5458" spans="2:7">
      <c r="B5458" s="46"/>
      <c r="C5458">
        <f t="shared" si="748"/>
        <v>7.52719907407408</v>
      </c>
      <c r="D5458" s="63" t="str">
        <f t="shared" si="749"/>
        <v/>
      </c>
      <c r="E5458" t="str">
        <f t="shared" si="750"/>
        <v/>
      </c>
      <c r="F5458" t="str">
        <f t="shared" si="751"/>
        <v/>
      </c>
      <c r="G5458" t="str">
        <f t="shared" si="752"/>
        <v/>
      </c>
    </row>
    <row r="5459" spans="2:7">
      <c r="B5459" s="46"/>
      <c r="C5459" t="str">
        <f t="shared" si="748"/>
        <v/>
      </c>
      <c r="D5459" s="63">
        <f t="shared" si="749"/>
        <v>2.7881455399061</v>
      </c>
      <c r="E5459" t="str">
        <f t="shared" si="750"/>
        <v/>
      </c>
      <c r="F5459" t="str">
        <f t="shared" si="751"/>
        <v/>
      </c>
      <c r="G5459" t="str">
        <f t="shared" si="752"/>
        <v/>
      </c>
    </row>
    <row r="5460" spans="2:7">
      <c r="B5460" s="46"/>
      <c r="C5460" t="str">
        <f t="shared" si="748"/>
        <v/>
      </c>
      <c r="D5460" s="63">
        <f t="shared" si="749"/>
        <v>4.47535211267606</v>
      </c>
      <c r="E5460" t="str">
        <f t="shared" si="750"/>
        <v/>
      </c>
      <c r="F5460" t="str">
        <f t="shared" si="751"/>
        <v/>
      </c>
      <c r="G5460" t="str">
        <f t="shared" si="752"/>
        <v/>
      </c>
    </row>
    <row r="5461" spans="2:7">
      <c r="B5461" s="46"/>
      <c r="C5461" t="str">
        <f t="shared" si="748"/>
        <v/>
      </c>
      <c r="D5461" s="63">
        <f t="shared" si="749"/>
        <v>6.10680751173709</v>
      </c>
      <c r="E5461" t="str">
        <f t="shared" si="750"/>
        <v/>
      </c>
      <c r="F5461" t="str">
        <f t="shared" si="751"/>
        <v/>
      </c>
      <c r="G5461" t="str">
        <f t="shared" si="752"/>
        <v/>
      </c>
    </row>
    <row r="5462" spans="2:7">
      <c r="B5462" s="46"/>
      <c r="C5462" t="str">
        <f t="shared" si="748"/>
        <v/>
      </c>
      <c r="D5462" s="63">
        <f t="shared" si="749"/>
        <v>8.50821596244131</v>
      </c>
      <c r="E5462" t="str">
        <f t="shared" si="750"/>
        <v/>
      </c>
      <c r="F5462" t="str">
        <f t="shared" si="751"/>
        <v/>
      </c>
      <c r="G5462" t="str">
        <f t="shared" si="752"/>
        <v/>
      </c>
    </row>
    <row r="5463" spans="2:7">
      <c r="B5463" s="46"/>
      <c r="C5463" t="str">
        <f t="shared" si="748"/>
        <v/>
      </c>
      <c r="D5463" s="63">
        <f t="shared" si="749"/>
        <v>10.268779342723</v>
      </c>
      <c r="E5463" t="str">
        <f t="shared" si="750"/>
        <v/>
      </c>
      <c r="F5463" t="str">
        <f t="shared" si="751"/>
        <v/>
      </c>
      <c r="G5463" t="str">
        <f t="shared" si="752"/>
        <v/>
      </c>
    </row>
    <row r="5464" spans="2:7">
      <c r="B5464" s="46"/>
      <c r="C5464" t="str">
        <f t="shared" si="748"/>
        <v/>
      </c>
      <c r="D5464" s="63" t="str">
        <f t="shared" si="749"/>
        <v/>
      </c>
      <c r="E5464" t="str">
        <f t="shared" si="750"/>
        <v/>
      </c>
      <c r="F5464" t="str">
        <f t="shared" si="751"/>
        <v/>
      </c>
      <c r="G5464">
        <f t="shared" si="752"/>
        <v>7.67610062893082</v>
      </c>
    </row>
    <row r="5465" spans="2:7">
      <c r="B5465" s="46"/>
      <c r="C5465" t="str">
        <f t="shared" si="748"/>
        <v/>
      </c>
      <c r="D5465" s="63" t="str">
        <f t="shared" si="749"/>
        <v/>
      </c>
      <c r="E5465" t="str">
        <f t="shared" si="750"/>
        <v/>
      </c>
      <c r="F5465" t="str">
        <f t="shared" si="751"/>
        <v/>
      </c>
      <c r="G5465">
        <f t="shared" si="752"/>
        <v>10.3836477987421</v>
      </c>
    </row>
    <row r="5466" spans="2:7">
      <c r="B5466" s="46"/>
      <c r="C5466" t="str">
        <f t="shared" si="748"/>
        <v/>
      </c>
      <c r="D5466" s="63" t="str">
        <f t="shared" si="749"/>
        <v/>
      </c>
      <c r="E5466" t="str">
        <f t="shared" si="750"/>
        <v/>
      </c>
      <c r="F5466" t="str">
        <f t="shared" si="751"/>
        <v/>
      </c>
      <c r="G5466">
        <f t="shared" si="752"/>
        <v>13.2138364779874</v>
      </c>
    </row>
    <row r="5467" spans="2:7">
      <c r="B5467" s="46"/>
      <c r="C5467" t="str">
        <f t="shared" si="748"/>
        <v/>
      </c>
      <c r="D5467" s="63" t="str">
        <f t="shared" si="749"/>
        <v/>
      </c>
      <c r="E5467" t="str">
        <f t="shared" si="750"/>
        <v/>
      </c>
      <c r="F5467" t="str">
        <f t="shared" si="751"/>
        <v/>
      </c>
      <c r="G5467">
        <f t="shared" si="752"/>
        <v>14.7243186582809</v>
      </c>
    </row>
    <row r="5468" spans="2:7">
      <c r="B5468" s="46"/>
      <c r="C5468" t="str">
        <f t="shared" si="748"/>
        <v/>
      </c>
      <c r="D5468" s="63" t="str">
        <f t="shared" si="749"/>
        <v/>
      </c>
      <c r="E5468" t="str">
        <f t="shared" si="750"/>
        <v/>
      </c>
      <c r="F5468">
        <f t="shared" si="751"/>
        <v>9.17630385487529</v>
      </c>
      <c r="G5468" t="str">
        <f t="shared" si="752"/>
        <v/>
      </c>
    </row>
    <row r="5469" spans="2:7">
      <c r="B5469" s="46"/>
      <c r="C5469" t="str">
        <f t="shared" si="748"/>
        <v/>
      </c>
      <c r="D5469" s="63" t="str">
        <f t="shared" si="749"/>
        <v/>
      </c>
      <c r="E5469" t="str">
        <f t="shared" si="750"/>
        <v/>
      </c>
      <c r="F5469">
        <f t="shared" si="751"/>
        <v>12.328231292517</v>
      </c>
      <c r="G5469" t="str">
        <f t="shared" si="752"/>
        <v/>
      </c>
    </row>
    <row r="5470" spans="2:7">
      <c r="B5470" s="46"/>
      <c r="C5470" t="str">
        <f t="shared" si="748"/>
        <v/>
      </c>
      <c r="D5470" s="63" t="str">
        <f t="shared" si="749"/>
        <v/>
      </c>
      <c r="E5470" t="str">
        <f t="shared" si="750"/>
        <v/>
      </c>
      <c r="F5470">
        <f t="shared" si="751"/>
        <v>15.0017006802721</v>
      </c>
      <c r="G5470" t="str">
        <f t="shared" si="752"/>
        <v/>
      </c>
    </row>
    <row r="5471" spans="2:7">
      <c r="B5471" s="46"/>
      <c r="C5471">
        <f t="shared" si="748"/>
        <v>10.328125</v>
      </c>
      <c r="D5471" s="63" t="str">
        <f t="shared" si="749"/>
        <v/>
      </c>
      <c r="E5471" t="str">
        <f t="shared" si="750"/>
        <v/>
      </c>
      <c r="F5471" t="str">
        <f t="shared" si="751"/>
        <v/>
      </c>
      <c r="G5471" t="str">
        <f t="shared" si="752"/>
        <v/>
      </c>
    </row>
    <row r="5472" spans="2:7">
      <c r="B5472" s="46"/>
      <c r="C5472">
        <f t="shared" si="748"/>
        <v>14.5908564814815</v>
      </c>
      <c r="D5472" s="63" t="str">
        <f t="shared" si="749"/>
        <v/>
      </c>
      <c r="E5472" t="str">
        <f t="shared" si="750"/>
        <v/>
      </c>
      <c r="F5472" t="str">
        <f t="shared" si="751"/>
        <v/>
      </c>
      <c r="G5472" t="str">
        <f t="shared" si="752"/>
        <v/>
      </c>
    </row>
    <row r="5473" spans="2:7">
      <c r="B5473" s="46"/>
      <c r="C5473">
        <f t="shared" si="748"/>
        <v>14.9409722222222</v>
      </c>
      <c r="D5473" s="63" t="str">
        <f t="shared" si="749"/>
        <v/>
      </c>
      <c r="E5473" t="str">
        <f t="shared" si="750"/>
        <v/>
      </c>
      <c r="F5473" t="str">
        <f t="shared" si="751"/>
        <v/>
      </c>
      <c r="G5473" t="str">
        <f t="shared" si="752"/>
        <v/>
      </c>
    </row>
    <row r="5474" spans="2:7">
      <c r="B5474" s="46"/>
      <c r="C5474">
        <f t="shared" si="748"/>
        <v>19.2465277777778</v>
      </c>
      <c r="D5474" s="63" t="str">
        <f t="shared" si="749"/>
        <v/>
      </c>
      <c r="E5474" t="str">
        <f t="shared" si="750"/>
        <v/>
      </c>
      <c r="F5474" t="str">
        <f t="shared" si="751"/>
        <v/>
      </c>
      <c r="G5474" t="str">
        <f t="shared" si="752"/>
        <v/>
      </c>
    </row>
    <row r="5475" spans="2:7">
      <c r="B5475" s="46"/>
      <c r="C5475" t="str">
        <f t="shared" si="748"/>
        <v/>
      </c>
      <c r="D5475" s="63">
        <f t="shared" si="749"/>
        <v>15.0340375586854</v>
      </c>
      <c r="E5475" t="str">
        <f t="shared" si="750"/>
        <v/>
      </c>
      <c r="F5475" t="str">
        <f t="shared" si="751"/>
        <v/>
      </c>
      <c r="G5475" t="str">
        <f t="shared" si="752"/>
        <v/>
      </c>
    </row>
    <row r="5476" spans="2:7">
      <c r="B5476" s="46"/>
      <c r="C5476" t="str">
        <f t="shared" si="748"/>
        <v/>
      </c>
      <c r="D5476" s="63">
        <f t="shared" si="749"/>
        <v>15.0340375586854</v>
      </c>
      <c r="E5476" t="str">
        <f t="shared" si="750"/>
        <v/>
      </c>
      <c r="F5476" t="str">
        <f t="shared" si="751"/>
        <v/>
      </c>
      <c r="G5476" t="str">
        <f t="shared" si="752"/>
        <v/>
      </c>
    </row>
    <row r="5477" spans="2:7">
      <c r="B5477" s="46"/>
      <c r="C5477" t="str">
        <f t="shared" si="748"/>
        <v/>
      </c>
      <c r="D5477" s="63">
        <f t="shared" si="749"/>
        <v>16.1343896713615</v>
      </c>
      <c r="E5477" t="str">
        <f t="shared" si="750"/>
        <v/>
      </c>
      <c r="F5477" t="str">
        <f t="shared" si="751"/>
        <v/>
      </c>
      <c r="G5477" t="str">
        <f t="shared" si="752"/>
        <v/>
      </c>
    </row>
    <row r="5478" spans="2:7">
      <c r="B5478" s="46"/>
      <c r="C5478" t="str">
        <f t="shared" si="748"/>
        <v/>
      </c>
      <c r="D5478" s="63">
        <f t="shared" si="749"/>
        <v>16.8620892018779</v>
      </c>
      <c r="E5478" t="str">
        <f t="shared" si="750"/>
        <v/>
      </c>
      <c r="F5478" t="str">
        <f t="shared" si="751"/>
        <v/>
      </c>
      <c r="G5478" t="str">
        <f t="shared" si="752"/>
        <v/>
      </c>
    </row>
    <row r="5479" spans="2:7">
      <c r="B5479" s="46"/>
      <c r="C5479" t="str">
        <f t="shared" si="748"/>
        <v/>
      </c>
      <c r="D5479" s="63" t="str">
        <f t="shared" si="749"/>
        <v/>
      </c>
      <c r="E5479">
        <f t="shared" si="750"/>
        <v>16.1245098039216</v>
      </c>
      <c r="F5479" t="str">
        <f t="shared" si="751"/>
        <v/>
      </c>
      <c r="G5479" t="str">
        <f t="shared" si="752"/>
        <v/>
      </c>
    </row>
    <row r="5480" spans="2:7">
      <c r="B5480" s="46"/>
      <c r="C5480" t="str">
        <f t="shared" si="748"/>
        <v/>
      </c>
      <c r="D5480" s="63" t="str">
        <f t="shared" si="749"/>
        <v/>
      </c>
      <c r="E5480">
        <f t="shared" si="750"/>
        <v>17.9225490196078</v>
      </c>
      <c r="F5480" t="str">
        <f t="shared" si="751"/>
        <v/>
      </c>
      <c r="G5480" t="str">
        <f t="shared" si="752"/>
        <v/>
      </c>
    </row>
    <row r="5481" spans="2:7">
      <c r="B5481" s="46"/>
      <c r="C5481" t="str">
        <f t="shared" si="748"/>
        <v/>
      </c>
      <c r="D5481" s="63" t="str">
        <f t="shared" si="749"/>
        <v/>
      </c>
      <c r="E5481">
        <f t="shared" si="750"/>
        <v>18.7166666666667</v>
      </c>
      <c r="F5481" t="str">
        <f t="shared" si="751"/>
        <v/>
      </c>
      <c r="G5481" t="str">
        <f t="shared" si="752"/>
        <v/>
      </c>
    </row>
    <row r="5482" spans="2:7">
      <c r="B5482" s="46"/>
      <c r="C5482" t="str">
        <f t="shared" si="748"/>
        <v/>
      </c>
      <c r="D5482" s="63" t="str">
        <f t="shared" si="749"/>
        <v/>
      </c>
      <c r="E5482">
        <f t="shared" si="750"/>
        <v>18.9539215686275</v>
      </c>
      <c r="F5482" t="str">
        <f t="shared" si="751"/>
        <v/>
      </c>
      <c r="G5482" t="str">
        <f t="shared" si="752"/>
        <v/>
      </c>
    </row>
    <row r="5483" spans="2:7">
      <c r="B5483" s="46"/>
      <c r="C5483" t="str">
        <f t="shared" si="748"/>
        <v/>
      </c>
      <c r="D5483" s="63" t="str">
        <f t="shared" si="749"/>
        <v/>
      </c>
      <c r="E5483" t="str">
        <f t="shared" si="750"/>
        <v/>
      </c>
      <c r="F5483" t="str">
        <f t="shared" si="751"/>
        <v/>
      </c>
      <c r="G5483">
        <f t="shared" si="752"/>
        <v>15.4449685534591</v>
      </c>
    </row>
    <row r="5484" spans="2:7">
      <c r="B5484" s="46"/>
      <c r="C5484" t="str">
        <f t="shared" si="748"/>
        <v/>
      </c>
      <c r="D5484" s="63" t="str">
        <f t="shared" si="749"/>
        <v/>
      </c>
      <c r="E5484" t="str">
        <f t="shared" si="750"/>
        <v/>
      </c>
      <c r="F5484" t="str">
        <f t="shared" si="751"/>
        <v/>
      </c>
      <c r="G5484">
        <f t="shared" si="752"/>
        <v>16.4669811320755</v>
      </c>
    </row>
    <row r="5485" spans="2:7">
      <c r="B5485" s="46"/>
      <c r="C5485" t="str">
        <f t="shared" si="748"/>
        <v/>
      </c>
      <c r="D5485" s="63" t="str">
        <f t="shared" si="749"/>
        <v/>
      </c>
      <c r="E5485" t="str">
        <f t="shared" si="750"/>
        <v/>
      </c>
      <c r="F5485" t="str">
        <f t="shared" si="751"/>
        <v/>
      </c>
      <c r="G5485">
        <f t="shared" si="752"/>
        <v>17.7877358490566</v>
      </c>
    </row>
    <row r="5486" spans="2:7">
      <c r="B5486" s="46"/>
      <c r="C5486" t="str">
        <f t="shared" si="748"/>
        <v/>
      </c>
      <c r="D5486" s="63" t="str">
        <f t="shared" si="749"/>
        <v/>
      </c>
      <c r="E5486" t="str">
        <f t="shared" si="750"/>
        <v/>
      </c>
      <c r="F5486" t="str">
        <f t="shared" si="751"/>
        <v/>
      </c>
      <c r="G5486">
        <f t="shared" si="752"/>
        <v>18.377358490566</v>
      </c>
    </row>
    <row r="5487" spans="2:7">
      <c r="B5487" s="46"/>
      <c r="C5487" t="str">
        <f t="shared" si="748"/>
        <v/>
      </c>
      <c r="D5487" s="63" t="str">
        <f t="shared" si="749"/>
        <v/>
      </c>
      <c r="E5487" t="str">
        <f t="shared" si="750"/>
        <v/>
      </c>
      <c r="F5487">
        <f t="shared" si="751"/>
        <v>15.4234693877551</v>
      </c>
      <c r="G5487" t="str">
        <f t="shared" si="752"/>
        <v/>
      </c>
    </row>
    <row r="5488" spans="2:7">
      <c r="B5488" s="46"/>
      <c r="C5488" t="str">
        <f t="shared" si="748"/>
        <v/>
      </c>
      <c r="D5488" s="63" t="str">
        <f t="shared" si="749"/>
        <v/>
      </c>
      <c r="E5488" t="str">
        <f t="shared" si="750"/>
        <v/>
      </c>
      <c r="F5488">
        <f t="shared" si="751"/>
        <v>16.7698412698413</v>
      </c>
      <c r="G5488" t="str">
        <f t="shared" si="752"/>
        <v/>
      </c>
    </row>
    <row r="5489" spans="2:7">
      <c r="B5489" s="46"/>
      <c r="C5489" t="str">
        <f t="shared" si="748"/>
        <v/>
      </c>
      <c r="D5489" s="63" t="str">
        <f t="shared" si="749"/>
        <v/>
      </c>
      <c r="E5489" t="str">
        <f t="shared" si="750"/>
        <v/>
      </c>
      <c r="F5489">
        <f t="shared" si="751"/>
        <v>18.109410430839</v>
      </c>
      <c r="G5489" t="str">
        <f t="shared" si="752"/>
        <v/>
      </c>
    </row>
    <row r="5490" spans="2:7">
      <c r="B5490" s="46"/>
      <c r="C5490" t="str">
        <f t="shared" si="748"/>
        <v/>
      </c>
      <c r="D5490" s="63" t="str">
        <f t="shared" si="749"/>
        <v/>
      </c>
      <c r="E5490" t="str">
        <f t="shared" si="750"/>
        <v/>
      </c>
      <c r="F5490">
        <f t="shared" si="751"/>
        <v>20.1581632653061</v>
      </c>
      <c r="G5490" t="str">
        <f t="shared" si="752"/>
        <v/>
      </c>
    </row>
    <row r="5491" spans="2:7">
      <c r="B5491" s="46"/>
      <c r="C5491" t="str">
        <f t="shared" si="748"/>
        <v/>
      </c>
      <c r="D5491" s="63" t="str">
        <f t="shared" si="749"/>
        <v/>
      </c>
      <c r="E5491" t="str">
        <f t="shared" si="750"/>
        <v/>
      </c>
      <c r="F5491">
        <f t="shared" si="751"/>
        <v>22.1581632653061</v>
      </c>
      <c r="G5491" t="str">
        <f t="shared" si="752"/>
        <v/>
      </c>
    </row>
    <row r="5492" spans="2:7">
      <c r="B5492" s="46"/>
      <c r="C5492" t="str">
        <f t="shared" si="748"/>
        <v/>
      </c>
      <c r="D5492" s="63" t="str">
        <f t="shared" si="749"/>
        <v/>
      </c>
      <c r="E5492" t="str">
        <f t="shared" si="750"/>
        <v/>
      </c>
      <c r="F5492">
        <f t="shared" si="751"/>
        <v>22.8781179138322</v>
      </c>
      <c r="G5492" t="str">
        <f t="shared" si="752"/>
        <v/>
      </c>
    </row>
    <row r="5493" spans="2:7">
      <c r="B5493" s="46"/>
      <c r="C5493" t="str">
        <f t="shared" si="748"/>
        <v/>
      </c>
      <c r="D5493" s="63">
        <f t="shared" si="749"/>
        <v>17.3022300469484</v>
      </c>
      <c r="E5493" t="str">
        <f t="shared" si="750"/>
        <v/>
      </c>
      <c r="F5493" t="str">
        <f t="shared" si="751"/>
        <v/>
      </c>
      <c r="G5493" t="str">
        <f t="shared" si="752"/>
        <v/>
      </c>
    </row>
    <row r="5494" spans="2:7">
      <c r="B5494" s="46"/>
      <c r="C5494" t="str">
        <f t="shared" si="748"/>
        <v/>
      </c>
      <c r="D5494" s="63">
        <f t="shared" si="749"/>
        <v>22.837441314554</v>
      </c>
      <c r="E5494" t="str">
        <f t="shared" si="750"/>
        <v/>
      </c>
      <c r="F5494" t="str">
        <f t="shared" si="751"/>
        <v/>
      </c>
      <c r="G5494" t="str">
        <f t="shared" si="752"/>
        <v/>
      </c>
    </row>
    <row r="5495" spans="2:7">
      <c r="B5495" s="46"/>
      <c r="C5495" t="str">
        <f t="shared" si="748"/>
        <v/>
      </c>
      <c r="D5495" s="63">
        <f t="shared" si="749"/>
        <v>23.7089201877934</v>
      </c>
      <c r="E5495" t="str">
        <f t="shared" si="750"/>
        <v/>
      </c>
      <c r="F5495" t="str">
        <f t="shared" si="751"/>
        <v/>
      </c>
      <c r="G5495" t="str">
        <f t="shared" si="752"/>
        <v/>
      </c>
    </row>
    <row r="5496" spans="2:7">
      <c r="B5496" s="46"/>
      <c r="C5496" t="str">
        <f t="shared" si="748"/>
        <v/>
      </c>
      <c r="D5496" s="63">
        <f t="shared" si="749"/>
        <v>24.3427230046948</v>
      </c>
      <c r="E5496" t="str">
        <f t="shared" si="750"/>
        <v/>
      </c>
      <c r="F5496" t="str">
        <f t="shared" si="751"/>
        <v/>
      </c>
      <c r="G5496" t="str">
        <f t="shared" si="752"/>
        <v/>
      </c>
    </row>
    <row r="5497" spans="2:7">
      <c r="B5497" s="46"/>
      <c r="C5497" t="str">
        <f t="shared" si="748"/>
        <v/>
      </c>
      <c r="D5497" s="63">
        <f t="shared" si="749"/>
        <v>27.5704225352113</v>
      </c>
      <c r="E5497" t="str">
        <f t="shared" si="750"/>
        <v/>
      </c>
      <c r="F5497" t="str">
        <f t="shared" si="751"/>
        <v/>
      </c>
      <c r="G5497" t="str">
        <f t="shared" si="752"/>
        <v/>
      </c>
    </row>
    <row r="5498" spans="2:7">
      <c r="B5498" s="46"/>
      <c r="C5498" t="str">
        <f t="shared" si="748"/>
        <v/>
      </c>
      <c r="D5498" s="63" t="str">
        <f t="shared" si="749"/>
        <v/>
      </c>
      <c r="E5498" t="str">
        <f t="shared" si="750"/>
        <v/>
      </c>
      <c r="F5498" t="str">
        <f t="shared" si="751"/>
        <v/>
      </c>
      <c r="G5498">
        <f t="shared" si="752"/>
        <v>19.1949685534591</v>
      </c>
    </row>
    <row r="5499" spans="2:7">
      <c r="B5499" s="46"/>
      <c r="C5499" t="str">
        <f t="shared" si="748"/>
        <v/>
      </c>
      <c r="D5499" s="63" t="str">
        <f t="shared" si="749"/>
        <v/>
      </c>
      <c r="E5499" t="str">
        <f t="shared" si="750"/>
        <v/>
      </c>
      <c r="F5499" t="str">
        <f t="shared" si="751"/>
        <v/>
      </c>
      <c r="G5499">
        <f t="shared" si="752"/>
        <v>21.9606918238994</v>
      </c>
    </row>
    <row r="5500" spans="2:7">
      <c r="B5500" s="46"/>
      <c r="C5500" t="str">
        <f t="shared" si="748"/>
        <v/>
      </c>
      <c r="D5500" s="63" t="str">
        <f t="shared" si="749"/>
        <v/>
      </c>
      <c r="E5500" t="str">
        <f t="shared" si="750"/>
        <v/>
      </c>
      <c r="F5500" t="str">
        <f t="shared" si="751"/>
        <v/>
      </c>
      <c r="G5500">
        <f t="shared" si="752"/>
        <v>21.9606918238994</v>
      </c>
    </row>
    <row r="5501" spans="2:7">
      <c r="B5501" s="46"/>
      <c r="C5501" t="str">
        <f t="shared" si="748"/>
        <v/>
      </c>
      <c r="D5501" s="63" t="str">
        <f t="shared" si="749"/>
        <v/>
      </c>
      <c r="E5501" t="str">
        <f t="shared" si="750"/>
        <v/>
      </c>
      <c r="F5501" t="str">
        <f t="shared" si="751"/>
        <v/>
      </c>
      <c r="G5501">
        <f t="shared" si="752"/>
        <v>25.2222222222222</v>
      </c>
    </row>
    <row r="5502" spans="2:7">
      <c r="B5502" s="46"/>
      <c r="C5502" t="str">
        <f t="shared" si="748"/>
        <v/>
      </c>
      <c r="D5502" s="63" t="str">
        <f t="shared" si="749"/>
        <v/>
      </c>
      <c r="E5502">
        <f t="shared" si="750"/>
        <v>22.268137254902</v>
      </c>
      <c r="F5502" t="str">
        <f t="shared" si="751"/>
        <v/>
      </c>
      <c r="G5502" t="str">
        <f t="shared" si="752"/>
        <v/>
      </c>
    </row>
    <row r="5503" spans="2:7">
      <c r="B5503" s="46"/>
      <c r="C5503" t="str">
        <f t="shared" si="748"/>
        <v/>
      </c>
      <c r="D5503" s="63" t="str">
        <f t="shared" si="749"/>
        <v/>
      </c>
      <c r="E5503">
        <f t="shared" si="750"/>
        <v>22.268137254902</v>
      </c>
      <c r="F5503" t="str">
        <f t="shared" si="751"/>
        <v/>
      </c>
      <c r="G5503" t="str">
        <f t="shared" si="752"/>
        <v/>
      </c>
    </row>
    <row r="5504" spans="2:7">
      <c r="B5504" s="46"/>
      <c r="C5504" t="str">
        <f t="shared" si="748"/>
        <v/>
      </c>
      <c r="D5504" s="63" t="str">
        <f t="shared" si="749"/>
        <v/>
      </c>
      <c r="E5504">
        <f t="shared" si="750"/>
        <v>24.6995098039216</v>
      </c>
      <c r="F5504" t="str">
        <f t="shared" si="751"/>
        <v/>
      </c>
      <c r="G5504" t="str">
        <f t="shared" si="752"/>
        <v/>
      </c>
    </row>
    <row r="5505" spans="2:7">
      <c r="B5505" s="46"/>
      <c r="C5505" t="str">
        <f t="shared" si="748"/>
        <v/>
      </c>
      <c r="D5505" s="63" t="str">
        <f t="shared" si="749"/>
        <v/>
      </c>
      <c r="E5505">
        <f t="shared" si="750"/>
        <v>25.3416666666667</v>
      </c>
      <c r="F5505" t="str">
        <f t="shared" si="751"/>
        <v/>
      </c>
      <c r="G5505" t="str">
        <f t="shared" si="752"/>
        <v/>
      </c>
    </row>
    <row r="5506" spans="2:7">
      <c r="B5506" s="46"/>
      <c r="C5506">
        <f t="shared" si="748"/>
        <v>19.5358796296296</v>
      </c>
      <c r="D5506" s="63" t="str">
        <f t="shared" si="749"/>
        <v/>
      </c>
      <c r="E5506" t="str">
        <f t="shared" si="750"/>
        <v/>
      </c>
      <c r="F5506" t="str">
        <f t="shared" si="751"/>
        <v/>
      </c>
      <c r="G5506" t="str">
        <f t="shared" si="752"/>
        <v/>
      </c>
    </row>
    <row r="5507" spans="2:7">
      <c r="B5507" s="46"/>
      <c r="C5507">
        <f t="shared" si="748"/>
        <v>20.1608796296296</v>
      </c>
      <c r="D5507" s="63" t="str">
        <f t="shared" si="749"/>
        <v/>
      </c>
      <c r="E5507" t="str">
        <f t="shared" si="750"/>
        <v/>
      </c>
      <c r="F5507" t="str">
        <f t="shared" si="751"/>
        <v/>
      </c>
      <c r="G5507" t="str">
        <f t="shared" si="752"/>
        <v/>
      </c>
    </row>
    <row r="5508" spans="2:7">
      <c r="B5508" s="46"/>
      <c r="C5508">
        <f t="shared" si="748"/>
        <v>21.7233796296296</v>
      </c>
      <c r="D5508" s="63" t="str">
        <f t="shared" si="749"/>
        <v/>
      </c>
      <c r="E5508" t="str">
        <f t="shared" si="750"/>
        <v/>
      </c>
      <c r="F5508" t="str">
        <f t="shared" si="751"/>
        <v/>
      </c>
      <c r="G5508" t="str">
        <f t="shared" si="752"/>
        <v/>
      </c>
    </row>
    <row r="5509" spans="2:7">
      <c r="B5509" s="46"/>
      <c r="C5509">
        <f t="shared" si="748"/>
        <v>22.7054398148148</v>
      </c>
      <c r="D5509" s="63" t="str">
        <f t="shared" si="749"/>
        <v/>
      </c>
      <c r="E5509" t="str">
        <f t="shared" si="750"/>
        <v/>
      </c>
      <c r="F5509" t="str">
        <f t="shared" si="751"/>
        <v/>
      </c>
      <c r="G5509" t="str">
        <f t="shared" si="752"/>
        <v/>
      </c>
    </row>
    <row r="5510" spans="2:7">
      <c r="B5510" s="46"/>
      <c r="C5510">
        <f t="shared" si="748"/>
        <v>22.7054398148148</v>
      </c>
      <c r="D5510" s="63" t="str">
        <f t="shared" si="749"/>
        <v/>
      </c>
      <c r="E5510" t="str">
        <f t="shared" si="750"/>
        <v/>
      </c>
      <c r="F5510" t="str">
        <f t="shared" si="751"/>
        <v/>
      </c>
      <c r="G5510" t="str">
        <f t="shared" si="752"/>
        <v/>
      </c>
    </row>
    <row r="5511" spans="2:7">
      <c r="B5511" s="46"/>
      <c r="C5511">
        <f t="shared" ref="C5511:C5545" si="753">IF(J72=1,S72,"")</f>
        <v>22.8512731481482</v>
      </c>
      <c r="D5511" s="63" t="str">
        <f t="shared" ref="D5511:D5545" si="754">IF(J72=2,S72,"")</f>
        <v/>
      </c>
      <c r="E5511" t="str">
        <f t="shared" ref="E5511:E5545" si="755">IF(J72=3,S72,"")</f>
        <v/>
      </c>
      <c r="F5511" t="str">
        <f t="shared" ref="F5511:F5545" si="756">IF(J72=4,S72,"")</f>
        <v/>
      </c>
      <c r="G5511" t="str">
        <f t="shared" ref="G5511:G5545" si="757">IF(J72=5,S72,"")</f>
        <v/>
      </c>
    </row>
    <row r="5512" spans="2:7">
      <c r="B5512" s="46"/>
      <c r="C5512">
        <f t="shared" si="753"/>
        <v>34.4068287037037</v>
      </c>
      <c r="D5512" s="63" t="str">
        <f t="shared" si="754"/>
        <v/>
      </c>
      <c r="E5512" t="str">
        <f t="shared" si="755"/>
        <v/>
      </c>
      <c r="F5512" t="str">
        <f t="shared" si="756"/>
        <v/>
      </c>
      <c r="G5512" t="str">
        <f t="shared" si="757"/>
        <v/>
      </c>
    </row>
    <row r="5513" spans="2:7">
      <c r="B5513" s="46"/>
      <c r="C5513">
        <f t="shared" si="753"/>
        <v>34.4068287037037</v>
      </c>
      <c r="D5513" s="63" t="str">
        <f t="shared" si="754"/>
        <v/>
      </c>
      <c r="E5513" t="str">
        <f t="shared" si="755"/>
        <v/>
      </c>
      <c r="F5513" t="str">
        <f t="shared" si="756"/>
        <v/>
      </c>
      <c r="G5513" t="str">
        <f t="shared" si="757"/>
        <v/>
      </c>
    </row>
    <row r="5514" spans="2:7">
      <c r="B5514" s="46"/>
      <c r="C5514">
        <f t="shared" si="753"/>
        <v>35.5827546296296</v>
      </c>
      <c r="D5514" s="63" t="str">
        <f t="shared" si="754"/>
        <v/>
      </c>
      <c r="E5514" t="str">
        <f t="shared" si="755"/>
        <v/>
      </c>
      <c r="F5514" t="str">
        <f t="shared" si="756"/>
        <v/>
      </c>
      <c r="G5514" t="str">
        <f t="shared" si="757"/>
        <v/>
      </c>
    </row>
    <row r="5515" spans="2:7">
      <c r="B5515" s="46"/>
      <c r="C5515">
        <f t="shared" si="753"/>
        <v>36.7893518518519</v>
      </c>
      <c r="D5515" s="63" t="str">
        <f t="shared" si="754"/>
        <v/>
      </c>
      <c r="E5515" t="str">
        <f t="shared" si="755"/>
        <v/>
      </c>
      <c r="F5515" t="str">
        <f t="shared" si="756"/>
        <v/>
      </c>
      <c r="G5515" t="str">
        <f t="shared" si="757"/>
        <v/>
      </c>
    </row>
    <row r="5516" spans="2:7">
      <c r="B5516" s="46"/>
      <c r="C5516" t="str">
        <f t="shared" si="753"/>
        <v/>
      </c>
      <c r="D5516" s="63" t="str">
        <f t="shared" si="754"/>
        <v/>
      </c>
      <c r="E5516" t="str">
        <f t="shared" si="755"/>
        <v/>
      </c>
      <c r="F5516">
        <f t="shared" si="756"/>
        <v>23.4404761904762</v>
      </c>
      <c r="G5516" t="str">
        <f t="shared" si="757"/>
        <v/>
      </c>
    </row>
    <row r="5517" spans="2:7">
      <c r="B5517" s="46"/>
      <c r="C5517" t="str">
        <f t="shared" si="753"/>
        <v/>
      </c>
      <c r="D5517" s="63" t="str">
        <f t="shared" si="754"/>
        <v/>
      </c>
      <c r="E5517" t="str">
        <f t="shared" si="755"/>
        <v/>
      </c>
      <c r="F5517">
        <f t="shared" si="756"/>
        <v>24.3616780045352</v>
      </c>
      <c r="G5517" t="str">
        <f t="shared" si="757"/>
        <v/>
      </c>
    </row>
    <row r="5518" spans="2:7">
      <c r="B5518" s="46"/>
      <c r="C5518" t="str">
        <f t="shared" si="753"/>
        <v/>
      </c>
      <c r="D5518" s="63" t="str">
        <f t="shared" si="754"/>
        <v/>
      </c>
      <c r="E5518" t="str">
        <f t="shared" si="755"/>
        <v/>
      </c>
      <c r="F5518">
        <f t="shared" si="756"/>
        <v>25.8378684807256</v>
      </c>
      <c r="G5518" t="str">
        <f t="shared" si="757"/>
        <v/>
      </c>
    </row>
    <row r="5519" spans="2:7">
      <c r="B5519" s="46"/>
      <c r="C5519" t="str">
        <f t="shared" si="753"/>
        <v/>
      </c>
      <c r="D5519" s="63" t="str">
        <f t="shared" si="754"/>
        <v/>
      </c>
      <c r="E5519" t="str">
        <f t="shared" si="755"/>
        <v/>
      </c>
      <c r="F5519">
        <f t="shared" si="756"/>
        <v>29.4625850340136</v>
      </c>
      <c r="G5519" t="str">
        <f t="shared" si="757"/>
        <v/>
      </c>
    </row>
    <row r="5520" spans="2:7">
      <c r="B5520" s="46"/>
      <c r="C5520" t="str">
        <f t="shared" si="753"/>
        <v/>
      </c>
      <c r="D5520" s="63" t="str">
        <f t="shared" si="754"/>
        <v/>
      </c>
      <c r="E5520" t="str">
        <f t="shared" si="755"/>
        <v/>
      </c>
      <c r="F5520">
        <f t="shared" si="756"/>
        <v>30.092970521542</v>
      </c>
      <c r="G5520" t="str">
        <f t="shared" si="757"/>
        <v/>
      </c>
    </row>
    <row r="5521" spans="2:7">
      <c r="B5521" s="46"/>
      <c r="C5521" t="str">
        <f t="shared" si="753"/>
        <v/>
      </c>
      <c r="D5521" s="63" t="str">
        <f t="shared" si="754"/>
        <v/>
      </c>
      <c r="E5521" t="str">
        <f t="shared" si="755"/>
        <v/>
      </c>
      <c r="F5521">
        <f t="shared" si="756"/>
        <v>30.8809523809524</v>
      </c>
      <c r="G5521" t="str">
        <f t="shared" si="757"/>
        <v/>
      </c>
    </row>
    <row r="5522" spans="2:7">
      <c r="B5522" s="46"/>
      <c r="C5522" t="str">
        <f t="shared" si="753"/>
        <v/>
      </c>
      <c r="D5522" s="63" t="str">
        <f t="shared" si="754"/>
        <v/>
      </c>
      <c r="E5522" t="str">
        <f t="shared" si="755"/>
        <v/>
      </c>
      <c r="F5522" t="str">
        <f t="shared" si="756"/>
        <v/>
      </c>
      <c r="G5522">
        <f t="shared" si="757"/>
        <v>26.0235849056604</v>
      </c>
    </row>
    <row r="5523" spans="2:7">
      <c r="B5523" s="46"/>
      <c r="C5523" t="str">
        <f t="shared" si="753"/>
        <v/>
      </c>
      <c r="D5523" s="63" t="str">
        <f t="shared" si="754"/>
        <v/>
      </c>
      <c r="E5523" t="str">
        <f t="shared" si="755"/>
        <v/>
      </c>
      <c r="F5523" t="str">
        <f t="shared" si="756"/>
        <v/>
      </c>
      <c r="G5523">
        <f t="shared" si="757"/>
        <v>26.8977987421384</v>
      </c>
    </row>
    <row r="5524" spans="2:7">
      <c r="B5524" s="46"/>
      <c r="C5524" t="str">
        <f t="shared" si="753"/>
        <v/>
      </c>
      <c r="D5524" s="63" t="str">
        <f t="shared" si="754"/>
        <v/>
      </c>
      <c r="E5524" t="str">
        <f t="shared" si="755"/>
        <v/>
      </c>
      <c r="F5524" t="str">
        <f t="shared" si="756"/>
        <v/>
      </c>
      <c r="G5524">
        <f t="shared" si="757"/>
        <v>27.8448637316562</v>
      </c>
    </row>
    <row r="5525" spans="2:7">
      <c r="B5525" s="46"/>
      <c r="C5525" t="str">
        <f t="shared" si="753"/>
        <v/>
      </c>
      <c r="D5525" s="63" t="str">
        <f t="shared" si="754"/>
        <v/>
      </c>
      <c r="E5525" t="str">
        <f t="shared" si="755"/>
        <v/>
      </c>
      <c r="F5525" t="str">
        <f t="shared" si="756"/>
        <v/>
      </c>
      <c r="G5525">
        <f t="shared" si="757"/>
        <v>29.229035639413</v>
      </c>
    </row>
    <row r="5526" spans="2:7">
      <c r="B5526" s="46"/>
      <c r="C5526" t="str">
        <f t="shared" si="753"/>
        <v/>
      </c>
      <c r="D5526" s="63" t="str">
        <f t="shared" si="754"/>
        <v/>
      </c>
      <c r="E5526">
        <f t="shared" si="755"/>
        <v>25.5460784313725</v>
      </c>
      <c r="F5526" t="str">
        <f t="shared" si="756"/>
        <v/>
      </c>
      <c r="G5526" t="str">
        <f t="shared" si="757"/>
        <v/>
      </c>
    </row>
    <row r="5527" spans="2:7">
      <c r="B5527" s="46"/>
      <c r="C5527" t="str">
        <f t="shared" si="753"/>
        <v/>
      </c>
      <c r="D5527" s="63" t="str">
        <f t="shared" si="754"/>
        <v/>
      </c>
      <c r="E5527">
        <f t="shared" si="755"/>
        <v>28.8676470588235</v>
      </c>
      <c r="F5527" t="str">
        <f t="shared" si="756"/>
        <v/>
      </c>
      <c r="G5527" t="str">
        <f t="shared" si="757"/>
        <v/>
      </c>
    </row>
    <row r="5528" spans="2:7">
      <c r="B5528" s="46"/>
      <c r="C5528">
        <f t="shared" si="753"/>
        <v>39.1041666666667</v>
      </c>
      <c r="D5528" s="63" t="str">
        <f t="shared" si="754"/>
        <v/>
      </c>
      <c r="E5528" t="str">
        <f t="shared" si="755"/>
        <v/>
      </c>
      <c r="F5528" t="str">
        <f t="shared" si="756"/>
        <v/>
      </c>
      <c r="G5528" t="str">
        <f t="shared" si="757"/>
        <v/>
      </c>
    </row>
    <row r="5529" spans="2:7">
      <c r="B5529" s="46"/>
      <c r="C5529" t="str">
        <f t="shared" si="753"/>
        <v/>
      </c>
      <c r="D5529" s="63" t="str">
        <f t="shared" si="754"/>
        <v/>
      </c>
      <c r="E5529">
        <f t="shared" si="755"/>
        <v>30.843137254902</v>
      </c>
      <c r="F5529" t="str">
        <f t="shared" si="756"/>
        <v/>
      </c>
      <c r="G5529" t="str">
        <f t="shared" si="757"/>
        <v/>
      </c>
    </row>
    <row r="5530" spans="2:7">
      <c r="B5530" s="46"/>
      <c r="C5530" t="str">
        <f t="shared" si="753"/>
        <v/>
      </c>
      <c r="D5530" s="63" t="str">
        <f t="shared" si="754"/>
        <v/>
      </c>
      <c r="E5530">
        <f t="shared" si="755"/>
        <v>32.2524509803922</v>
      </c>
      <c r="F5530" t="str">
        <f t="shared" si="756"/>
        <v/>
      </c>
      <c r="G5530" t="str">
        <f t="shared" si="757"/>
        <v/>
      </c>
    </row>
    <row r="5531" spans="2:7">
      <c r="B5531" s="46"/>
      <c r="C5531" t="str">
        <f t="shared" si="753"/>
        <v/>
      </c>
      <c r="D5531" s="63">
        <f t="shared" si="754"/>
        <v>30.1643192488263</v>
      </c>
      <c r="E5531" t="str">
        <f t="shared" si="755"/>
        <v/>
      </c>
      <c r="F5531" t="str">
        <f t="shared" si="756"/>
        <v/>
      </c>
      <c r="G5531" t="str">
        <f t="shared" si="757"/>
        <v/>
      </c>
    </row>
    <row r="5532" spans="2:7">
      <c r="B5532" s="46"/>
      <c r="C5532" t="str">
        <f t="shared" si="753"/>
        <v/>
      </c>
      <c r="D5532" s="63">
        <f t="shared" si="754"/>
        <v>32.7840375586854</v>
      </c>
      <c r="E5532" t="str">
        <f t="shared" si="755"/>
        <v/>
      </c>
      <c r="F5532" t="str">
        <f t="shared" si="756"/>
        <v/>
      </c>
      <c r="G5532" t="str">
        <f t="shared" si="757"/>
        <v/>
      </c>
    </row>
    <row r="5533" spans="2:7">
      <c r="B5533" s="46"/>
      <c r="C5533" t="str">
        <f t="shared" si="753"/>
        <v/>
      </c>
      <c r="D5533" s="63">
        <f t="shared" si="754"/>
        <v>35.31279342723</v>
      </c>
      <c r="E5533" t="str">
        <f t="shared" si="755"/>
        <v/>
      </c>
      <c r="F5533" t="str">
        <f t="shared" si="756"/>
        <v/>
      </c>
      <c r="G5533" t="str">
        <f t="shared" si="757"/>
        <v/>
      </c>
    </row>
    <row r="5534" spans="2:7">
      <c r="B5534" s="46"/>
      <c r="C5534" t="str">
        <f t="shared" si="753"/>
        <v/>
      </c>
      <c r="D5534" s="63">
        <f t="shared" si="754"/>
        <v>37.6895539906103</v>
      </c>
      <c r="E5534" t="str">
        <f t="shared" si="755"/>
        <v/>
      </c>
      <c r="F5534" t="str">
        <f t="shared" si="756"/>
        <v/>
      </c>
      <c r="G5534" t="str">
        <f t="shared" si="757"/>
        <v/>
      </c>
    </row>
    <row r="5535" spans="2:7">
      <c r="B5535" s="46"/>
      <c r="C5535" t="str">
        <f t="shared" si="753"/>
        <v/>
      </c>
      <c r="D5535" s="63" t="str">
        <f t="shared" si="754"/>
        <v/>
      </c>
      <c r="E5535" t="str">
        <f t="shared" si="755"/>
        <v/>
      </c>
      <c r="F5535" t="str">
        <f t="shared" si="756"/>
        <v/>
      </c>
      <c r="G5535">
        <f t="shared" si="757"/>
        <v>31.5120545073375</v>
      </c>
    </row>
    <row r="5536" spans="2:7">
      <c r="B5536" s="46"/>
      <c r="C5536" t="str">
        <f t="shared" si="753"/>
        <v/>
      </c>
      <c r="D5536" s="63" t="str">
        <f t="shared" si="754"/>
        <v/>
      </c>
      <c r="E5536" t="str">
        <f t="shared" si="755"/>
        <v/>
      </c>
      <c r="F5536" t="str">
        <f t="shared" si="756"/>
        <v/>
      </c>
      <c r="G5536">
        <f t="shared" si="757"/>
        <v>33.3464360587002</v>
      </c>
    </row>
    <row r="5537" spans="2:7">
      <c r="B5537" s="46"/>
      <c r="C5537" t="str">
        <f t="shared" si="753"/>
        <v/>
      </c>
      <c r="D5537" s="63" t="str">
        <f t="shared" si="754"/>
        <v/>
      </c>
      <c r="E5537" t="str">
        <f t="shared" si="755"/>
        <v/>
      </c>
      <c r="F5537" t="str">
        <f t="shared" si="756"/>
        <v/>
      </c>
      <c r="G5537">
        <f t="shared" si="757"/>
        <v>35.6105870020964</v>
      </c>
    </row>
    <row r="5538" spans="2:7">
      <c r="B5538" s="46"/>
      <c r="C5538" t="str">
        <f t="shared" si="753"/>
        <v/>
      </c>
      <c r="D5538" s="63" t="str">
        <f t="shared" si="754"/>
        <v/>
      </c>
      <c r="E5538" t="str">
        <f t="shared" si="755"/>
        <v/>
      </c>
      <c r="F5538" t="str">
        <f t="shared" si="756"/>
        <v/>
      </c>
      <c r="G5538">
        <f t="shared" si="757"/>
        <v>38.1001048218029</v>
      </c>
    </row>
    <row r="5539" spans="2:7">
      <c r="B5539" s="46"/>
      <c r="C5539" t="str">
        <f t="shared" si="753"/>
        <v/>
      </c>
      <c r="D5539" s="63" t="str">
        <f t="shared" si="754"/>
        <v/>
      </c>
      <c r="E5539" t="str">
        <f t="shared" si="755"/>
        <v/>
      </c>
      <c r="F5539">
        <f t="shared" si="756"/>
        <v>32.8809523809524</v>
      </c>
      <c r="G5539" t="str">
        <f t="shared" si="757"/>
        <v/>
      </c>
    </row>
    <row r="5540" spans="2:7">
      <c r="B5540" s="46"/>
      <c r="C5540" t="str">
        <f t="shared" si="753"/>
        <v/>
      </c>
      <c r="D5540" s="63" t="str">
        <f t="shared" si="754"/>
        <v/>
      </c>
      <c r="E5540" t="str">
        <f t="shared" si="755"/>
        <v/>
      </c>
      <c r="F5540">
        <f t="shared" si="756"/>
        <v>35.4818594104308</v>
      </c>
      <c r="G5540" t="str">
        <f t="shared" si="757"/>
        <v/>
      </c>
    </row>
    <row r="5541" spans="2:7">
      <c r="B5541" s="46"/>
      <c r="C5541" t="str">
        <f t="shared" si="753"/>
        <v/>
      </c>
      <c r="D5541" s="63" t="str">
        <f t="shared" si="754"/>
        <v/>
      </c>
      <c r="E5541" t="str">
        <f t="shared" si="755"/>
        <v/>
      </c>
      <c r="F5541">
        <f t="shared" si="756"/>
        <v>37.5368480725624</v>
      </c>
      <c r="G5541" t="str">
        <f t="shared" si="757"/>
        <v/>
      </c>
    </row>
    <row r="5542" spans="2:7">
      <c r="B5542" s="46"/>
      <c r="C5542" t="str">
        <f t="shared" si="753"/>
        <v/>
      </c>
      <c r="D5542" s="63" t="str">
        <f t="shared" si="754"/>
        <v/>
      </c>
      <c r="E5542" t="str">
        <f t="shared" si="755"/>
        <v/>
      </c>
      <c r="F5542">
        <f t="shared" si="756"/>
        <v>38.4580498866213</v>
      </c>
      <c r="G5542" t="str">
        <f t="shared" si="757"/>
        <v/>
      </c>
    </row>
    <row r="5543" spans="2:7">
      <c r="B5543" s="46"/>
      <c r="C5543" t="str">
        <f t="shared" si="753"/>
        <v/>
      </c>
      <c r="D5543" s="63" t="str">
        <f t="shared" si="754"/>
        <v/>
      </c>
      <c r="E5543">
        <f t="shared" si="755"/>
        <v>34.3877450980392</v>
      </c>
      <c r="F5543" t="str">
        <f t="shared" si="756"/>
        <v/>
      </c>
      <c r="G5543" t="str">
        <f t="shared" si="757"/>
        <v/>
      </c>
    </row>
    <row r="5544" spans="2:7">
      <c r="B5544" s="46"/>
      <c r="C5544" t="str">
        <f t="shared" si="753"/>
        <v/>
      </c>
      <c r="D5544" s="63" t="str">
        <f t="shared" si="754"/>
        <v/>
      </c>
      <c r="E5544">
        <f t="shared" si="755"/>
        <v>38.2663725490196</v>
      </c>
      <c r="F5544" t="str">
        <f t="shared" si="756"/>
        <v/>
      </c>
      <c r="G5544" t="str">
        <f t="shared" si="757"/>
        <v/>
      </c>
    </row>
    <row r="5545" ht="15.75" spans="2:7">
      <c r="B5545" s="46"/>
      <c r="C5545" t="str">
        <f t="shared" si="753"/>
        <v/>
      </c>
      <c r="D5545" s="63" t="str">
        <f t="shared" si="754"/>
        <v/>
      </c>
      <c r="E5545">
        <f t="shared" si="755"/>
        <v>39.8075490196078</v>
      </c>
      <c r="F5545" t="str">
        <f t="shared" si="756"/>
        <v/>
      </c>
      <c r="G5545" t="str">
        <f t="shared" si="757"/>
        <v/>
      </c>
    </row>
    <row r="5546" spans="2:7">
      <c r="B5546" s="74" t="s">
        <v>269</v>
      </c>
      <c r="C5546" s="75">
        <f>MAX(C5447:C5545)</f>
        <v>39.1041666666667</v>
      </c>
      <c r="D5546" s="75">
        <f t="shared" ref="D5546:G5546" si="758">MAX(D5447:D5545)</f>
        <v>37.6895539906103</v>
      </c>
      <c r="E5546" s="75">
        <f t="shared" si="758"/>
        <v>39.8075490196078</v>
      </c>
      <c r="F5546" s="75">
        <f t="shared" si="758"/>
        <v>38.4580498866213</v>
      </c>
      <c r="G5546" s="75">
        <f t="shared" si="758"/>
        <v>38.1001048218029</v>
      </c>
    </row>
    <row r="5547" spans="2:7">
      <c r="B5547" s="76" t="s">
        <v>270</v>
      </c>
      <c r="C5547" s="77">
        <v>1</v>
      </c>
      <c r="D5547" s="78">
        <v>2</v>
      </c>
      <c r="E5547">
        <v>3</v>
      </c>
      <c r="F5547">
        <v>4</v>
      </c>
      <c r="G5547">
        <v>5</v>
      </c>
    </row>
    <row r="5548" spans="2:7">
      <c r="B5548" s="79" t="s">
        <v>271</v>
      </c>
      <c r="C5548" s="72">
        <f>HLOOKUP(MIN(C5546:G5546),C5546:G5547,2,FALSE)</f>
        <v>2</v>
      </c>
      <c r="D5548" s="80"/>
    </row>
    <row r="5552" spans="2:7">
      <c r="B5552" s="43"/>
      <c r="C5552" s="44"/>
      <c r="D5552" s="46"/>
    </row>
    <row r="5553" spans="2:4">
      <c r="B5553" s="46"/>
      <c r="C5553" s="83"/>
      <c r="D5553" s="83"/>
    </row>
    <row r="5554" spans="2:4">
      <c r="B5554" s="46"/>
      <c r="D5554" s="63"/>
    </row>
    <row r="5555" spans="2:4">
      <c r="B5555" s="46"/>
      <c r="D5555" s="63"/>
    </row>
    <row r="5556" spans="2:4">
      <c r="B5556" s="46"/>
      <c r="D5556" s="63"/>
    </row>
    <row r="5557" spans="2:4">
      <c r="B5557" s="46"/>
      <c r="D5557" s="63"/>
    </row>
    <row r="5558" spans="2:4">
      <c r="B5558" s="46"/>
      <c r="D5558" s="63"/>
    </row>
    <row r="5559" spans="2:4">
      <c r="B5559" s="46"/>
      <c r="D5559" s="63"/>
    </row>
    <row r="5560" spans="2:4">
      <c r="B5560" s="46"/>
      <c r="D5560" s="63"/>
    </row>
    <row r="5561" spans="2:4">
      <c r="B5561" s="46"/>
      <c r="D5561" s="63"/>
    </row>
    <row r="5562" spans="2:4">
      <c r="B5562" s="46"/>
      <c r="D5562" s="63"/>
    </row>
    <row r="5563" spans="2:4">
      <c r="B5563" s="46"/>
      <c r="D5563" s="63"/>
    </row>
    <row r="5564" spans="2:4">
      <c r="B5564" s="46"/>
      <c r="D5564" s="63"/>
    </row>
    <row r="5565" spans="2:4">
      <c r="B5565" s="46"/>
      <c r="D5565" s="63"/>
    </row>
    <row r="5566" spans="2:4">
      <c r="B5566" s="46"/>
      <c r="D5566" s="63"/>
    </row>
    <row r="5567" spans="2:4">
      <c r="B5567" s="46"/>
      <c r="D5567" s="63"/>
    </row>
    <row r="5568" spans="2:4">
      <c r="B5568" s="46"/>
      <c r="D5568" s="63"/>
    </row>
    <row r="5569" spans="2:7">
      <c r="B5569" s="46"/>
      <c r="D5569" s="63"/>
    </row>
    <row r="5570" spans="2:7">
      <c r="B5570" s="46"/>
      <c r="D5570" s="63"/>
    </row>
    <row r="5571" spans="2:7">
      <c r="B5571" s="46"/>
      <c r="D5571" s="63"/>
    </row>
    <row r="5572" spans="2:7">
      <c r="B5572" s="46"/>
      <c r="C5572" s="81"/>
      <c r="D5572" s="81"/>
      <c r="E5572" s="81"/>
      <c r="F5572" s="81"/>
      <c r="G5572" s="81"/>
    </row>
    <row r="5573" spans="2:7">
      <c r="B5573" s="46"/>
      <c r="C5573" s="58"/>
      <c r="D5573" s="58"/>
    </row>
    <row r="5574" spans="2:7">
      <c r="B5574" s="46"/>
      <c r="C5574" s="58"/>
      <c r="D5574" s="46"/>
    </row>
    <row r="5578" spans="2:7">
      <c r="B5578" s="43"/>
      <c r="C5578" s="44"/>
      <c r="D5578" s="46"/>
    </row>
    <row r="5579" spans="2:7">
      <c r="B5579" s="46"/>
      <c r="C5579" s="83"/>
      <c r="D5579" s="83"/>
    </row>
    <row r="5580" spans="2:7">
      <c r="B5580" s="46"/>
      <c r="D5580" s="63"/>
    </row>
    <row r="5581" spans="2:7">
      <c r="B5581" s="46"/>
      <c r="D5581" s="63"/>
    </row>
    <row r="5582" spans="2:7">
      <c r="B5582" s="46"/>
      <c r="D5582" s="63"/>
    </row>
    <row r="5583" spans="2:7">
      <c r="B5583" s="46"/>
      <c r="D5583" s="63"/>
    </row>
    <row r="5584" spans="2:7">
      <c r="B5584" s="46"/>
      <c r="D5584" s="63"/>
    </row>
    <row r="5585" spans="2:7">
      <c r="B5585" s="46"/>
      <c r="D5585" s="63"/>
    </row>
    <row r="5586" spans="2:7">
      <c r="B5586" s="46"/>
      <c r="D5586" s="63"/>
    </row>
    <row r="5587" spans="2:7">
      <c r="B5587" s="46"/>
      <c r="D5587" s="63"/>
    </row>
    <row r="5588" spans="2:7">
      <c r="B5588" s="46"/>
      <c r="D5588" s="63"/>
    </row>
    <row r="5589" spans="2:7">
      <c r="B5589" s="46"/>
      <c r="D5589" s="63"/>
    </row>
    <row r="5590" spans="2:7">
      <c r="B5590" s="46"/>
      <c r="D5590" s="63"/>
    </row>
    <row r="5591" spans="2:7">
      <c r="B5591" s="46"/>
      <c r="D5591" s="63"/>
    </row>
    <row r="5592" spans="2:7">
      <c r="B5592" s="46"/>
      <c r="D5592" s="63"/>
    </row>
    <row r="5593" spans="2:7">
      <c r="B5593" s="46"/>
      <c r="D5593" s="63"/>
    </row>
    <row r="5594" spans="2:7">
      <c r="B5594" s="46"/>
      <c r="D5594" s="63"/>
    </row>
    <row r="5595" spans="2:7">
      <c r="B5595" s="46"/>
      <c r="D5595" s="63"/>
    </row>
    <row r="5596" spans="2:7">
      <c r="B5596" s="46"/>
      <c r="D5596" s="63"/>
    </row>
    <row r="5597" spans="2:7">
      <c r="B5597" s="46"/>
      <c r="D5597" s="63"/>
    </row>
    <row r="5598" spans="2:7">
      <c r="B5598" s="46"/>
      <c r="C5598" s="81"/>
      <c r="D5598" s="81"/>
      <c r="E5598" s="81"/>
      <c r="F5598" s="81"/>
      <c r="G5598" s="81"/>
    </row>
    <row r="5599" spans="2:7">
      <c r="B5599" s="46"/>
      <c r="C5599" s="58"/>
      <c r="D5599" s="58"/>
    </row>
    <row r="5600" spans="2:7">
      <c r="B5600" s="46"/>
      <c r="C5600" s="58"/>
      <c r="D5600" s="46"/>
    </row>
    <row r="5602" spans="2:4">
      <c r="B5602" s="43"/>
      <c r="C5602" s="44"/>
      <c r="D5602" s="46"/>
    </row>
    <row r="5603" spans="2:4">
      <c r="B5603" s="46"/>
      <c r="C5603" s="83"/>
      <c r="D5603" s="83"/>
    </row>
    <row r="5604" spans="2:4">
      <c r="B5604" s="46"/>
      <c r="D5604" s="63"/>
    </row>
    <row r="5605" spans="2:4">
      <c r="B5605" s="46"/>
      <c r="D5605" s="63"/>
    </row>
    <row r="5606" spans="2:4">
      <c r="B5606" s="46"/>
      <c r="D5606" s="63"/>
    </row>
    <row r="5607" spans="2:4">
      <c r="B5607" s="46"/>
      <c r="D5607" s="63"/>
    </row>
    <row r="5608" spans="2:4">
      <c r="B5608" s="46"/>
      <c r="D5608" s="63"/>
    </row>
    <row r="5609" spans="2:4">
      <c r="B5609" s="46"/>
      <c r="D5609" s="63"/>
    </row>
    <row r="5610" spans="2:4">
      <c r="B5610" s="46"/>
      <c r="D5610" s="63"/>
    </row>
    <row r="5611" spans="2:4">
      <c r="B5611" s="46"/>
      <c r="D5611" s="63"/>
    </row>
    <row r="5612" spans="2:4">
      <c r="B5612" s="46"/>
      <c r="D5612" s="63"/>
    </row>
    <row r="5613" spans="2:4">
      <c r="B5613" s="46"/>
      <c r="D5613" s="63"/>
    </row>
    <row r="5614" spans="2:4">
      <c r="B5614" s="46"/>
      <c r="D5614" s="63"/>
    </row>
    <row r="5615" spans="2:4">
      <c r="B5615" s="46"/>
      <c r="D5615" s="63"/>
    </row>
    <row r="5616" spans="2:4">
      <c r="B5616" s="46"/>
      <c r="D5616" s="63"/>
    </row>
    <row r="5617" spans="2:7">
      <c r="B5617" s="46"/>
      <c r="D5617" s="63"/>
    </row>
    <row r="5618" spans="2:7">
      <c r="B5618" s="46"/>
      <c r="D5618" s="63"/>
    </row>
    <row r="5619" spans="2:7">
      <c r="B5619" s="46"/>
      <c r="D5619" s="63"/>
    </row>
    <row r="5620" spans="2:7">
      <c r="B5620" s="46"/>
      <c r="D5620" s="63"/>
    </row>
    <row r="5621" spans="2:7">
      <c r="B5621" s="46"/>
      <c r="D5621" s="63"/>
    </row>
    <row r="5622" spans="2:7">
      <c r="B5622" s="46"/>
      <c r="C5622" s="81"/>
      <c r="D5622" s="81"/>
      <c r="E5622" s="81"/>
      <c r="F5622" s="81"/>
      <c r="G5622" s="81"/>
    </row>
    <row r="5623" spans="2:7">
      <c r="B5623" s="46"/>
      <c r="C5623" s="58"/>
      <c r="D5623" s="58"/>
    </row>
    <row r="5624" spans="2:7">
      <c r="B5624" s="46"/>
      <c r="C5624" s="58"/>
      <c r="D5624" s="46"/>
    </row>
    <row r="5627" spans="2:7">
      <c r="B5627" s="43"/>
      <c r="C5627" s="44"/>
      <c r="D5627" s="46"/>
    </row>
    <row r="5628" spans="2:7">
      <c r="B5628" s="46"/>
      <c r="C5628" s="83"/>
      <c r="D5628" s="83"/>
    </row>
    <row r="5629" spans="2:7">
      <c r="B5629" s="46"/>
      <c r="D5629" s="63"/>
    </row>
    <row r="5630" spans="2:7">
      <c r="B5630" s="46"/>
      <c r="D5630" s="63"/>
    </row>
    <row r="5631" spans="2:7">
      <c r="B5631" s="46"/>
      <c r="D5631" s="63"/>
    </row>
    <row r="5632" spans="2:7">
      <c r="B5632" s="46"/>
      <c r="D5632" s="63"/>
    </row>
    <row r="5633" spans="2:7">
      <c r="B5633" s="46"/>
      <c r="D5633" s="63"/>
    </row>
    <row r="5634" spans="2:7">
      <c r="B5634" s="46"/>
      <c r="D5634" s="63"/>
    </row>
    <row r="5635" spans="2:7">
      <c r="B5635" s="46"/>
      <c r="D5635" s="63"/>
    </row>
    <row r="5636" spans="2:7">
      <c r="B5636" s="46"/>
      <c r="D5636" s="63"/>
    </row>
    <row r="5637" spans="2:7">
      <c r="B5637" s="46"/>
      <c r="D5637" s="63"/>
    </row>
    <row r="5638" spans="2:7">
      <c r="B5638" s="46"/>
      <c r="D5638" s="63"/>
    </row>
    <row r="5639" spans="2:7">
      <c r="B5639" s="46"/>
      <c r="D5639" s="63"/>
    </row>
    <row r="5640" spans="2:7">
      <c r="B5640" s="46"/>
      <c r="D5640" s="63"/>
    </row>
    <row r="5641" spans="2:7">
      <c r="B5641" s="46"/>
      <c r="D5641" s="63"/>
    </row>
    <row r="5642" spans="2:7">
      <c r="B5642" s="46"/>
      <c r="D5642" s="63"/>
    </row>
    <row r="5643" spans="2:7">
      <c r="B5643" s="46"/>
      <c r="D5643" s="63"/>
    </row>
    <row r="5644" spans="2:7">
      <c r="B5644" s="46"/>
      <c r="D5644" s="63"/>
    </row>
    <row r="5645" spans="2:7">
      <c r="B5645" s="46"/>
      <c r="D5645" s="63"/>
    </row>
    <row r="5646" spans="2:7">
      <c r="B5646" s="46"/>
      <c r="D5646" s="63"/>
    </row>
    <row r="5647" spans="2:7">
      <c r="B5647" s="46"/>
      <c r="C5647" s="81"/>
      <c r="D5647" s="81"/>
      <c r="E5647" s="81"/>
      <c r="F5647" s="81"/>
      <c r="G5647" s="81"/>
    </row>
    <row r="5648" spans="2:7">
      <c r="B5648" s="46"/>
      <c r="C5648" s="58"/>
      <c r="D5648" s="58"/>
    </row>
    <row r="5649" spans="2:4">
      <c r="B5649" s="46"/>
      <c r="C5649" s="58"/>
      <c r="D5649" s="46"/>
    </row>
    <row r="5652" spans="2:4">
      <c r="B5652" s="43"/>
      <c r="C5652" s="44"/>
      <c r="D5652" s="46"/>
    </row>
    <row r="5653" spans="2:4">
      <c r="B5653" s="46"/>
      <c r="C5653" s="83"/>
      <c r="D5653" s="83"/>
    </row>
    <row r="5654" spans="2:4">
      <c r="B5654" s="46"/>
      <c r="D5654" s="63"/>
    </row>
    <row r="5655" spans="2:4">
      <c r="B5655" s="46"/>
      <c r="D5655" s="63"/>
    </row>
    <row r="5656" spans="2:4">
      <c r="B5656" s="46"/>
      <c r="D5656" s="63"/>
    </row>
    <row r="5657" spans="2:4">
      <c r="B5657" s="46"/>
      <c r="D5657" s="63"/>
    </row>
    <row r="5658" spans="2:4">
      <c r="B5658" s="46"/>
      <c r="D5658" s="63"/>
    </row>
    <row r="5659" spans="2:4">
      <c r="B5659" s="46"/>
      <c r="D5659" s="63"/>
    </row>
    <row r="5660" spans="2:4">
      <c r="B5660" s="46"/>
      <c r="D5660" s="63"/>
    </row>
    <row r="5661" spans="2:4">
      <c r="B5661" s="46"/>
      <c r="D5661" s="63"/>
    </row>
    <row r="5662" spans="2:4">
      <c r="B5662" s="46"/>
      <c r="D5662" s="63"/>
    </row>
    <row r="5663" spans="2:4">
      <c r="B5663" s="46"/>
      <c r="D5663" s="63"/>
    </row>
    <row r="5664" spans="2:4">
      <c r="B5664" s="46"/>
      <c r="D5664" s="63"/>
    </row>
    <row r="5665" spans="2:7">
      <c r="B5665" s="46"/>
      <c r="D5665" s="63"/>
    </row>
    <row r="5666" spans="2:7">
      <c r="B5666" s="46"/>
      <c r="D5666" s="63"/>
    </row>
    <row r="5667" spans="2:7">
      <c r="B5667" s="46"/>
      <c r="D5667" s="63"/>
    </row>
    <row r="5668" spans="2:7">
      <c r="B5668" s="46"/>
      <c r="D5668" s="63"/>
    </row>
    <row r="5669" spans="2:7">
      <c r="B5669" s="46"/>
      <c r="D5669" s="63"/>
    </row>
    <row r="5670" spans="2:7">
      <c r="B5670" s="46"/>
      <c r="D5670" s="63"/>
    </row>
    <row r="5671" spans="2:7">
      <c r="B5671" s="46"/>
      <c r="D5671" s="63"/>
    </row>
    <row r="5672" spans="2:7">
      <c r="B5672" s="46"/>
      <c r="C5672" s="81"/>
      <c r="D5672" s="81"/>
      <c r="E5672" s="81"/>
      <c r="F5672" s="81"/>
      <c r="G5672" s="81"/>
    </row>
    <row r="5673" spans="2:7">
      <c r="B5673" s="46"/>
      <c r="C5673" s="58"/>
      <c r="D5673" s="58"/>
    </row>
    <row r="5674" spans="2:7">
      <c r="B5674" s="46"/>
      <c r="C5674" s="58"/>
      <c r="D5674" s="46"/>
    </row>
    <row r="5679" spans="2:7">
      <c r="B5679" s="46"/>
      <c r="C5679" s="83"/>
      <c r="D5679" s="83"/>
    </row>
    <row r="5680" spans="2:7">
      <c r="B5680" s="46"/>
      <c r="D5680" s="63"/>
    </row>
    <row r="5681" spans="2:4">
      <c r="B5681" s="46"/>
      <c r="D5681" s="63"/>
    </row>
    <row r="5682" spans="2:4">
      <c r="B5682" s="46"/>
      <c r="D5682" s="63"/>
    </row>
    <row r="5683" spans="2:4">
      <c r="B5683" s="46"/>
      <c r="D5683" s="63"/>
    </row>
    <row r="5684" spans="2:4">
      <c r="B5684" s="46"/>
      <c r="D5684" s="63"/>
    </row>
    <row r="5685" spans="2:4">
      <c r="B5685" s="46"/>
      <c r="D5685" s="63"/>
    </row>
    <row r="5686" spans="2:4">
      <c r="B5686" s="46"/>
      <c r="D5686" s="63"/>
    </row>
    <row r="5687" spans="2:4">
      <c r="B5687" s="46"/>
      <c r="D5687" s="63"/>
    </row>
    <row r="5688" spans="2:4">
      <c r="B5688" s="46"/>
      <c r="D5688" s="63"/>
    </row>
    <row r="5689" spans="2:4">
      <c r="B5689" s="46"/>
      <c r="D5689" s="63"/>
    </row>
    <row r="5690" spans="2:4">
      <c r="B5690" s="46"/>
      <c r="D5690" s="63"/>
    </row>
    <row r="5691" spans="2:4">
      <c r="B5691" s="46"/>
      <c r="D5691" s="63"/>
    </row>
    <row r="5692" spans="2:4">
      <c r="B5692" s="46"/>
      <c r="D5692" s="63"/>
    </row>
    <row r="5693" spans="2:4">
      <c r="B5693" s="46"/>
      <c r="D5693" s="63"/>
    </row>
    <row r="5694" spans="2:4">
      <c r="B5694" s="46"/>
      <c r="D5694" s="63"/>
    </row>
    <row r="5695" spans="2:4">
      <c r="B5695" s="46"/>
      <c r="D5695" s="63"/>
    </row>
    <row r="5696" spans="2:4">
      <c r="B5696" s="46"/>
      <c r="D5696" s="63"/>
    </row>
    <row r="5697" spans="2:4">
      <c r="B5697" s="46"/>
      <c r="D5697" s="63"/>
    </row>
    <row r="5698" spans="2:4">
      <c r="B5698" s="46"/>
      <c r="D5698" s="63"/>
    </row>
    <row r="5699" spans="2:4">
      <c r="B5699" s="46"/>
      <c r="D5699" s="63"/>
    </row>
    <row r="5700" spans="2:4">
      <c r="B5700" s="46"/>
      <c r="D5700" s="63"/>
    </row>
    <row r="5701" spans="2:4">
      <c r="B5701" s="46"/>
      <c r="D5701" s="63"/>
    </row>
    <row r="5702" spans="2:4">
      <c r="B5702" s="46"/>
      <c r="D5702" s="63"/>
    </row>
    <row r="5703" spans="2:4">
      <c r="B5703" s="46"/>
      <c r="D5703" s="63"/>
    </row>
    <row r="5704" spans="2:4">
      <c r="B5704" s="46"/>
      <c r="D5704" s="63"/>
    </row>
    <row r="5705" spans="2:4">
      <c r="B5705" s="46"/>
      <c r="D5705" s="63"/>
    </row>
    <row r="5706" spans="2:4">
      <c r="B5706" s="46"/>
      <c r="D5706" s="63"/>
    </row>
    <row r="5707" spans="2:4">
      <c r="B5707" s="46"/>
      <c r="D5707" s="63"/>
    </row>
    <row r="5708" spans="2:4">
      <c r="B5708" s="46"/>
      <c r="D5708" s="63"/>
    </row>
    <row r="5709" spans="2:4">
      <c r="B5709" s="46"/>
      <c r="D5709" s="63"/>
    </row>
    <row r="5710" spans="2:4">
      <c r="B5710" s="46"/>
      <c r="D5710" s="63"/>
    </row>
    <row r="5711" spans="2:4">
      <c r="B5711" s="46"/>
      <c r="D5711" s="63"/>
    </row>
    <row r="5712" spans="2:4">
      <c r="B5712" s="46"/>
      <c r="D5712" s="63"/>
    </row>
    <row r="5713" spans="2:4">
      <c r="B5713" s="46"/>
      <c r="D5713" s="63"/>
    </row>
    <row r="5714" spans="2:4">
      <c r="B5714" s="46"/>
      <c r="D5714" s="63"/>
    </row>
    <row r="5715" spans="2:4">
      <c r="B5715" s="46"/>
      <c r="D5715" s="63"/>
    </row>
    <row r="5716" spans="2:4">
      <c r="B5716" s="46"/>
      <c r="D5716" s="63"/>
    </row>
    <row r="5717" spans="2:4">
      <c r="B5717" s="46"/>
      <c r="D5717" s="63"/>
    </row>
    <row r="5718" spans="2:4">
      <c r="B5718" s="46"/>
      <c r="D5718" s="63"/>
    </row>
    <row r="5719" spans="2:4">
      <c r="B5719" s="46"/>
      <c r="D5719" s="63"/>
    </row>
    <row r="5720" spans="2:4">
      <c r="B5720" s="46"/>
      <c r="D5720" s="63"/>
    </row>
    <row r="5721" spans="2:4">
      <c r="B5721" s="46"/>
      <c r="D5721" s="63"/>
    </row>
    <row r="5722" spans="2:4">
      <c r="B5722" s="46"/>
      <c r="D5722" s="63"/>
    </row>
    <row r="5723" spans="2:4">
      <c r="B5723" s="46"/>
      <c r="D5723" s="63"/>
    </row>
    <row r="5724" spans="2:4">
      <c r="B5724" s="46"/>
      <c r="D5724" s="63"/>
    </row>
    <row r="5725" spans="2:4">
      <c r="B5725" s="46"/>
      <c r="D5725" s="63"/>
    </row>
    <row r="5726" spans="2:4">
      <c r="B5726" s="46"/>
      <c r="D5726" s="63"/>
    </row>
    <row r="5727" spans="2:4">
      <c r="B5727" s="46"/>
      <c r="D5727" s="63"/>
    </row>
    <row r="5728" spans="2:4">
      <c r="B5728" s="46"/>
      <c r="D5728" s="63"/>
    </row>
    <row r="5729" spans="2:7">
      <c r="B5729" s="46"/>
      <c r="D5729" s="63"/>
    </row>
    <row r="5730" spans="2:7">
      <c r="B5730" s="46"/>
      <c r="D5730" s="63"/>
    </row>
    <row r="5731" spans="2:7">
      <c r="B5731" s="46"/>
      <c r="D5731" s="63"/>
    </row>
    <row r="5732" spans="2:7">
      <c r="B5732" s="46"/>
      <c r="D5732" s="63"/>
    </row>
    <row r="5733" spans="2:7">
      <c r="B5733" s="46"/>
      <c r="D5733" s="63"/>
    </row>
    <row r="5734" spans="2:7">
      <c r="B5734" s="46"/>
      <c r="D5734" s="63"/>
    </row>
    <row r="5735" spans="2:7">
      <c r="B5735" s="46"/>
      <c r="D5735" s="63"/>
    </row>
    <row r="5736" spans="2:7">
      <c r="B5736" s="46"/>
      <c r="D5736" s="63"/>
    </row>
    <row r="5737" spans="2:7">
      <c r="B5737" s="46"/>
      <c r="C5737" s="81"/>
      <c r="D5737" s="81"/>
      <c r="E5737" s="81"/>
      <c r="F5737" s="81"/>
      <c r="G5737" s="81"/>
    </row>
    <row r="5738" spans="2:7">
      <c r="B5738" s="46"/>
      <c r="C5738" s="58"/>
      <c r="D5738" s="58"/>
    </row>
    <row r="5739" spans="2:7">
      <c r="B5739" s="46"/>
      <c r="C5739" s="58"/>
      <c r="D5739" s="46"/>
    </row>
  </sheetData>
  <mergeCells count="8">
    <mergeCell ref="B5:C5"/>
    <mergeCell ref="J5:K5"/>
    <mergeCell ref="B6:C6"/>
    <mergeCell ref="L6:O6"/>
    <mergeCell ref="P6:S6"/>
    <mergeCell ref="B2:T3"/>
    <mergeCell ref="E5:F6"/>
    <mergeCell ref="G5:H6"/>
  </mergeCells>
  <pageMargins left="0.7" right="0.7" top="0.787401575" bottom="0.787401575" header="0.3" footer="0.3"/>
  <pageSetup paperSize="9" orientation="portrait"/>
  <headerFooter/>
  <drawing r:id="rId1"/>
  <legacyDrawing r:id="rId2"/>
  <controls>
    <mc:AlternateContent xmlns:mc="http://schemas.openxmlformats.org/markup-compatibility/2006">
      <mc:Choice Requires="x14">
        <control shapeId="5121" r:id="rId3" name="ToggleButton1">
          <controlPr defaultSize="0" r:id="rId4">
            <anchor moveWithCells="1">
              <from>
                <xdr:col>4</xdr:col>
                <xdr:colOff>152400</xdr:colOff>
                <xdr:row>4</xdr:row>
                <xdr:rowOff>6350</xdr:rowOff>
              </from>
              <to>
                <xdr:col>4</xdr:col>
                <xdr:colOff>1200150</xdr:colOff>
                <xdr:row>5</xdr:row>
                <xdr:rowOff>139700</xdr:rowOff>
              </to>
            </anchor>
          </controlPr>
        </control>
      </mc:Choice>
      <mc:Fallback>
        <control shapeId="5121" r:id="rId3" name="ToggleButton1"/>
      </mc:Fallback>
    </mc:AlternateContent>
    <mc:AlternateContent xmlns:mc="http://schemas.openxmlformats.org/markup-compatibility/2006">
      <mc:Choice Requires="x14">
        <control shapeId="5122" r:id="rId5" name="CommandButton1">
          <controlPr defaultSize="0" r:id="rId6">
            <anchor moveWithCells="1">
              <from>
                <xdr:col>5</xdr:col>
                <xdr:colOff>635000</xdr:colOff>
                <xdr:row>4</xdr:row>
                <xdr:rowOff>6350</xdr:rowOff>
              </from>
              <to>
                <xdr:col>6</xdr:col>
                <xdr:colOff>457200</xdr:colOff>
                <xdr:row>5</xdr:row>
                <xdr:rowOff>133350</xdr:rowOff>
              </to>
            </anchor>
          </controlPr>
        </control>
      </mc:Choice>
      <mc:Fallback>
        <control shapeId="5122" r:id="rId5" name="CommandButton1"/>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DataMashup xmlns="http://schemas.microsoft.com/DataMashup">AAAAAGwDAABQSwMECgAAAAAAh07iQAAAAAAAAAAAAAAAAAcAAABDb25maWcvUEsDBBQAAAAIAIdO4kASOP6YnwAAAPMAAAASAAAAQ29uZmlnL1BhY2thZ2UueG1shY9NC4IwHMa/iuzuNmdRyN958JoRBNF1zDVHOsPNJn36jDK6dXtefofngWLq2uiuBmd6m6MEUxQpK/vaWJ2j0V/iLSo4HIS8Cq2iGbYum1ydo8b7W0ZICAGHFPeDJozShJyr3VE2qhPoC5v/cGys88JKhTic3mM4w8lqg9N1iimQJYTK2EUzzOa9r/YnhHJs/Tgo/mjicg9ksUA+H/gTUEsDBAoAAAAAAIdO4kAAAAAAAAAAAAAAAAAJAAAARm9ybXVsYXMvUEsDBBQAAAAIAIdO4kAoike4DgAAABEAAAATAAAARm9ybXVsYXMvU2VjdGlvbjEubStOTS7JzM9TCIbQhtYAUEsDBBQAAAAIAIdO4kB/v9PKnQAAAOQAAAATAAAAW0NvbnRlbnRfVHlwZXNdLnhtbG2PSw7CMAxErxJ5n7qwQAg17aJwAy4QBfcjmo8aF4Xbk9AdYunxPM+46ZJdxIvWOHun4FDVIMgZ/5jdqGDjQZ6ha5v7O1AU2eqigok5XBCjmcjqWPlALm8Gv1rNeVxHDNo89Uh4rOsTGu+YHEsuN6BtrjTobWFxS1neYzMOot99JUoBU2IsMv4F7I9dh7DMRnN+ApO0UdoC4rd2+wFQSwECFAAUAAAACACHTuJAf7/Typ0AAADkAAAAEwAAAAAAAAABACAAAABaAQAAW0NvbnRlbnRfVHlwZXNdLnhtbFBLAQIUAAoAAAAAAIdO4kAAAAAAAAAAAAAAAAAHAAAAAAAAAAAAEAAAAAAAAABDb25maWcvUEsBAhQAFAAAAAgAh07iQBI4/pifAAAA8wAAABIAAAAAAAAAAQAgAAAAJQAAAENvbmZpZy9QYWNrYWdlLnhtbFBLAQIUAAoAAAAAAIdO4kAAAAAAAAAAAAAAAAAJAAAAAAAAAAAAEAAAAPQAAABGb3JtdWxhcy9QSwECFAAUAAAACACHTuJAKIpHuA4AAAARAAAAEwAAAAAAAAABACAAAAAbAQAARm9ybXVsYXMvU2VjdGlvbjEubVBLBQYAAAAABQAFAC4BAAAoAgAAAAAOAQAAPD94bWwgdmVyc2lvbj0iMS4wIiBlbmNvZGluZz0idXRmLTgiID8+PFBlcm1pc3Npb25MaXN0IHhtbG5zOnhzZD0iaHR0cDovL3d3dy53My5vcmcvMjAwMS9YTUxTY2hlbWEiIHhtbG5zOnhzaT0iaHR0cDovL3d3dy53My5vcmcvMjAwMS9YTUxTY2hlbWEtaW5zdGFuY2UiPjxDYW5FdmFsdWF0ZUZ1dHVyZVBhY2thZ2VzPmZhbHNlPC9DYW5FdmFsdWF0ZUZ1dHVyZVBhY2thZ2VzPjxGaXJld2FsbEVuYWJsZWQ+dHJ1ZTwvRmlyZXdhbGxFbmFibGVkPjwvUGVybWlzc2lvbkxpc3Q+lQEAAAAAAABzAQAAPD94bWwgdmVyc2lvbj0iMS4wIiBlbmNvZGluZz0idXRmLTgiID8+PExvY2FsUGFja2FnZU1ldGFkYXRhRmlsZSB4bWxuczp4c2Q9Imh0dHA6Ly93d3cudzMub3JnLzIwMDEvWE1MU2NoZW1hIiB4bWxuczp4c2k9Imh0dHA6Ly93d3cudzMub3JnLzIwMDEvWE1MU2NoZW1hLWluc3RhbmNlIj48SXRlbXM+PEl0ZW0+PEl0ZW1Mb2NhdGlvbj48SXRlbVR5cGU+QWxsRm9ybXVsYXM8L0l0ZW1UeXBlPjxJdGVtUGF0aCAvPjwvSXRlbUxvY2F0aW9uPjxTdGFibGVFbnRyaWVzPjxFbnRyeSBUeXBlPSJSZWxhdGlvbnNoaXBzIiBWYWx1ZT0ic0FBQUFBQT09IiAvPjwvU3RhYmxlRW50cmllcz48L0l0ZW0+PC9JdGVtcz48L0xvY2FsUGFja2FnZU1ldGFkYXRhRmlsZT4WAAAAUEsFBgAAAAAAAAAAAAAAAAAAAAAAACYBAAABAAAA0Iyd3wEV0RGMegDAT8KX6wEAAAAAcjgJcSrUSb9yNurc6/+zAAAAAAIAAAAAABBmAAAAAQAAIAAAAKbyjBRW31y5xM0a96AHbv5VozqiGPOxdxRkOwB4RpzcAAAAAA6AAAAAAgAAIAAAALpgy23kPWgtFJuYorz/SK4flWciEC3SuazlR2m+NX7NUAAAAACGvWANgUdhu4KK4V7qKN67eK9cByoBZSpn+A1ar40Fb/g2Xsl5xOG61OdPT32WiEuiYjZ5uvyI16gjlE53mVp+SxDQcSIGGp3K/gCB1tkNQAAAAKoIBPujOrsphA+kYTI7bBJnxJUzoxghY/GTg/wrxhE6na/MkSHu77xGOlsx01Q6UIcbx0Fr1ugxGFMTlPOVRFc=</DataMashup>
</file>

<file path=customXml/itemProps1.xml><?xml version="1.0" encoding="utf-8"?>
<ds:datastoreItem xmlns:ds="http://schemas.openxmlformats.org/officeDocument/2006/customXml" ds:itemID="{E8A6313D-5BDA-4634-B7B2-80794470F5C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6</vt:i4>
      </vt:variant>
    </vt:vector>
  </HeadingPairs>
  <TitlesOfParts>
    <vt:vector size="6" baseType="lpstr">
      <vt:lpstr>Anweisungen</vt:lpstr>
      <vt:lpstr>Aufträge</vt:lpstr>
      <vt:lpstr>APE und OEE</vt:lpstr>
      <vt:lpstr>Prozesszeit </vt:lpstr>
      <vt:lpstr>Bestellung_Produktionsdatum</vt:lpstr>
      <vt:lpstr>Planning</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2023-06-07T16:29:00Z</dcterms:created>
  <dcterms:modified xsi:type="dcterms:W3CDTF">2026-03-26T08:50:01Z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9A3CB821FF7C4E81BD67F7EC5CB1E4B3_12</vt:lpwstr>
  </property>
  <property fmtid="{D5CDD505-2E9C-101B-9397-08002B2CF9AE}" pid="3" name="KSOProductBuildVer">
    <vt:lpwstr>1036-12.1.0.25242</vt:lpwstr>
  </property>
  <property fmtid="{D5CDD505-2E9C-101B-9397-08002B2CF9AE}" pid="4" name="CalculationRule">
    <vt:i4>0</vt:i4>
  </property>
</Properties>
</file>